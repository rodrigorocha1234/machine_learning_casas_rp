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apartamento_rp_2026071200" sheetId="1" state="visible" r:id="rId3"/>
  </sheets>
  <definedNames>
    <definedName function="false" hidden="true" localSheetId="0" name="_xlnm._FilterDatabase" vbProcedure="false">dados_apartamento_rp_2026071200!$A$1:$H$546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<sst xmlns="http://schemas.openxmlformats.org/spreadsheetml/2006/main" count="11432" uniqueCount="4739">
  <si>
    <t xml:space="preserve">codigo</t>
  </si>
  <si>
    <t xml:space="preserve">apartamento</t>
  </si>
  <si>
    <t xml:space="preserve">qtd_quartos</t>
  </si>
  <si>
    <t xml:space="preserve">qtd_banheiros</t>
  </si>
  <si>
    <t xml:space="preserve">qtd_garagem</t>
  </si>
  <si>
    <t xml:space="preserve">metragem</t>
  </si>
  <si>
    <t xml:space="preserve">valor_venda</t>
  </si>
  <si>
    <t xml:space="preserve">bairro</t>
  </si>
  <si>
    <t xml:space="preserve">Apartamento de 108m² com 03 suítes para locação e venda   Jardim Olhos d´agua</t>
  </si>
  <si>
    <t xml:space="preserve">R$ 1.000.000,00</t>
  </si>
  <si>
    <t xml:space="preserve">Apartamento de 152m² com 03 suítes à venda   Nova Aliança</t>
  </si>
  <si>
    <t xml:space="preserve">Apartamento de 109m² com 03 suítes à venda   Jardim Olhos D`Água</t>
  </si>
  <si>
    <t xml:space="preserve">Apartamento de 144m² com 03 suítes à venda   Jardim Botânico</t>
  </si>
  <si>
    <t xml:space="preserve">Apartamento de 117m² com 02 suítes á venda   Jardim Botânico</t>
  </si>
  <si>
    <t xml:space="preserve">Apartamento de 173m² com 03 quartos à venda   Centro</t>
  </si>
  <si>
    <t xml:space="preserve">Apartamento de 108m² com 03 suítes para locação e venda   Bosque das Juritis</t>
  </si>
  <si>
    <t xml:space="preserve">Apartamento de 135m² com 03 suítes à venda   Jardim Botânico</t>
  </si>
  <si>
    <t xml:space="preserve">Apartamento de 187m² com 04 quartos   Vila Seixas</t>
  </si>
  <si>
    <t xml:space="preserve">Apartamento de 143m² com 03 quartos à venda   Jardim Irajá</t>
  </si>
  <si>
    <t xml:space="preserve">Apartamento de 112m² com 03 quartos à venda   Bosque das Juritis</t>
  </si>
  <si>
    <t xml:space="preserve">Apartamento de 369m² e 4 quartos à venda   Centro</t>
  </si>
  <si>
    <t xml:space="preserve">Apartamento de 126m² com 03 suítes à venda   Residencial Alto do Ipê</t>
  </si>
  <si>
    <t xml:space="preserve">R$ 1.010.000,00</t>
  </si>
  <si>
    <t xml:space="preserve">Apartamento de 126m² com 03 suítes à venda   Jardim Olhos D`Água</t>
  </si>
  <si>
    <t xml:space="preserve">R$ 1.012.490,00</t>
  </si>
  <si>
    <t xml:space="preserve">Apartamento de 134m² com 04 quartos à venda   Jardim Olhos D`Água II</t>
  </si>
  <si>
    <t xml:space="preserve">R$ 1.013.175,00</t>
  </si>
  <si>
    <t xml:space="preserve">Apartamento de 367m² com 04 quartos à venda  </t>
  </si>
  <si>
    <t xml:space="preserve">R$ 1.015.000,00</t>
  </si>
  <si>
    <t xml:space="preserve">Apartamento de 134m² com 03 quartos à venda   Jardim Olhos D`Água II</t>
  </si>
  <si>
    <t xml:space="preserve">R$ 1.026.000,00</t>
  </si>
  <si>
    <t xml:space="preserve">Apartamento de 121m² com 03 suítes à venda   Nova Aliança</t>
  </si>
  <si>
    <t xml:space="preserve">R$ 1.030.000,00</t>
  </si>
  <si>
    <t xml:space="preserve">R$ 1.038.561,00</t>
  </si>
  <si>
    <t xml:space="preserve">Apartamento de 126m² com 03 suítes à venda   Jardim Botânico</t>
  </si>
  <si>
    <t xml:space="preserve">R$ 1.049.000,00</t>
  </si>
  <si>
    <t xml:space="preserve">Apartamento 132m² com 03 suítes à venda   Jardim Botânico</t>
  </si>
  <si>
    <t xml:space="preserve">R$ 1.050.000,00</t>
  </si>
  <si>
    <t xml:space="preserve">Apartamento de 151m² com 03 suítes para venda   Jardim Irajá</t>
  </si>
  <si>
    <t xml:space="preserve">Apartamento de 131m² com 03 suítes à venda   Jardim Olhos D`Água</t>
  </si>
  <si>
    <t xml:space="preserve">Apartamento de 72m² com 01 suíte à venda   Jardim Botânico</t>
  </si>
  <si>
    <t xml:space="preserve">Apartamento de 131m² com 03 quartos para venda   Nova Aliança</t>
  </si>
  <si>
    <t xml:space="preserve">Apartamento de 118m² com 03 suítes à venda   Jardim Saint Gerard</t>
  </si>
  <si>
    <t xml:space="preserve">R$ 1.059.324,14</t>
  </si>
  <si>
    <t xml:space="preserve">Apartamento de 123m² com 3 quartos   jardim Irajá</t>
  </si>
  <si>
    <t xml:space="preserve">R$ 1.060.000,00</t>
  </si>
  <si>
    <t xml:space="preserve">Apartamento de 131m² com 03 suítes para locação _ Jardim Nova Aliança</t>
  </si>
  <si>
    <t xml:space="preserve">Apartamento de 252m² com 04 quartos à venda   Centro</t>
  </si>
  <si>
    <t xml:space="preserve">Apartamento de 100m² com 03 quartos sendo 01 suíte à venda   Condomínio Itamaraty</t>
  </si>
  <si>
    <t xml:space="preserve">R$ 1.065.000,00</t>
  </si>
  <si>
    <t xml:space="preserve">Apartamento de 139m² com 03 suítes para locação e venda   Bosque das Juritis</t>
  </si>
  <si>
    <t xml:space="preserve">Apartamento de 133m² com 03 quartos à venda   Nova Aliança</t>
  </si>
  <si>
    <t xml:space="preserve">R$ 1.066.000,00</t>
  </si>
  <si>
    <t xml:space="preserve">R$ 1.066.945,00</t>
  </si>
  <si>
    <t xml:space="preserve">Apartamento de 132m² com 03 suítes à venda   Jardim Botânico</t>
  </si>
  <si>
    <t xml:space="preserve">R$ 1.070.000,00</t>
  </si>
  <si>
    <t xml:space="preserve">Apartamento de 137m² com 03 suítes para locação e venda   Jardim Irajá</t>
  </si>
  <si>
    <t xml:space="preserve">R$ 1.080.000,00</t>
  </si>
  <si>
    <t xml:space="preserve">Apartamento de 202m² com 04 quartos para venda e locação   Jardim Irajá</t>
  </si>
  <si>
    <t xml:space="preserve">Apartamento de 111m² com 02 quartos sendo 01 suíte para venda   Jardim Olhos D`Água</t>
  </si>
  <si>
    <t xml:space="preserve">Apartamento de 139m² com 03 suítes á venda   Bosque das Juritis</t>
  </si>
  <si>
    <t xml:space="preserve">Apartamento de 151m² com 03 suítes à venda   Jardim Olhos D`Água II</t>
  </si>
  <si>
    <t xml:space="preserve">R$ 1.081.540,80</t>
  </si>
  <si>
    <t xml:space="preserve">Apartamento de 135m² com 03 suítes para locação e venda   Bosque das Juritis</t>
  </si>
  <si>
    <t xml:space="preserve">R$ 1.089.000,00</t>
  </si>
  <si>
    <t xml:space="preserve">Apartamento de 113m² com 03 suítes à venda   Jardim Olhos D`Água II</t>
  </si>
  <si>
    <t xml:space="preserve">R$ 1.091.310,00</t>
  </si>
  <si>
    <t xml:space="preserve">Apartamento de 126m² com 03 quartos à venda   Jardim Olhos D`Água II</t>
  </si>
  <si>
    <t xml:space="preserve">R$ 1.096.978,90</t>
  </si>
  <si>
    <t xml:space="preserve">Apartamento de 135m² com 03 suítes à venda   Bosque das Juritis</t>
  </si>
  <si>
    <t xml:space="preserve">R$ 1.100.000,00</t>
  </si>
  <si>
    <t xml:space="preserve">Apartamento de 132m² com 03 suítes para venda e locação   Jardim Olhos D` Água</t>
  </si>
  <si>
    <t xml:space="preserve">Apartamento de 107m² com 04 quartos para locação   Jardim Botânico</t>
  </si>
  <si>
    <t xml:space="preserve">Apartamento de 100m² com 03 quartos para locação   Jardim Botânico</t>
  </si>
  <si>
    <t xml:space="preserve">Apartamento de 106m² com 03 quartos para locação   Jardim Botânico</t>
  </si>
  <si>
    <t xml:space="preserve">Apartamento de 112m² com 02 suítes para locação e venda   Bosque das Juritis</t>
  </si>
  <si>
    <t xml:space="preserve">Apartamento de 180m² com 03 quartos à venda   Jardim Irajá</t>
  </si>
  <si>
    <t xml:space="preserve">Apartamento de 442m² com 04 quartos para locação e venda   Centro</t>
  </si>
  <si>
    <t xml:space="preserve">Apartamento de 113m² com 03quartos para venda   Jardim Olhos d`água</t>
  </si>
  <si>
    <t xml:space="preserve">Apartamento de 118m² com 03 suítes à venda   Jardim Olhos D`Água</t>
  </si>
  <si>
    <t xml:space="preserve">Apartamento de 03 quartos para venda   Parque dos Bandeirantes</t>
  </si>
  <si>
    <t xml:space="preserve">Apartamento de 279m² com 04 quartos   Centro</t>
  </si>
  <si>
    <t xml:space="preserve">Apartamento de 176m² com 03 quartos à venda   Jardim São Luiz</t>
  </si>
  <si>
    <t xml:space="preserve">Apartamento de 100m² com 2 suítes para venda e locação   Jardim Nova Aliança</t>
  </si>
  <si>
    <t xml:space="preserve">Apartamento de 134m² com 03 suítes à venda   Jardim Olhos D`Água</t>
  </si>
  <si>
    <t xml:space="preserve">R$ 1.106.730,00</t>
  </si>
  <si>
    <t xml:space="preserve">R$ 1.107.475,29</t>
  </si>
  <si>
    <t xml:space="preserve">R$ 1.113.000,00</t>
  </si>
  <si>
    <t xml:space="preserve">Apartamento de 143m² com 03 suítes para locação e venda   Nova Aliança</t>
  </si>
  <si>
    <t xml:space="preserve">R$ 1.115.000,00</t>
  </si>
  <si>
    <t xml:space="preserve">Apartamento de 134m² com 03 suítes à venda   Jardim Olhos D`Água II</t>
  </si>
  <si>
    <t xml:space="preserve">R$ 1.115.775,00</t>
  </si>
  <si>
    <t xml:space="preserve">Apartamento de 124m² com 03 suítes à venda   Jardim Canadá</t>
  </si>
  <si>
    <t xml:space="preserve">R$ 1.116.751,72</t>
  </si>
  <si>
    <t xml:space="preserve">R$ 1.133.325,00</t>
  </si>
  <si>
    <t xml:space="preserve">Apartamento de 155m² com 03 suítes à venda   Bosque das Juritis</t>
  </si>
  <si>
    <t xml:space="preserve">R$ 1.139.000,00</t>
  </si>
  <si>
    <t xml:space="preserve">Apartamento de 127m² com 03 suítes à venda   Jardim Botânico</t>
  </si>
  <si>
    <t xml:space="preserve">R$ 1.140.000,00</t>
  </si>
  <si>
    <t xml:space="preserve">Apartamento de 122m² com 03 quartos à venda   Jardim Ilhas do Sul</t>
  </si>
  <si>
    <t xml:space="preserve">R$ 1.148.402,12</t>
  </si>
  <si>
    <t xml:space="preserve">Apartamento de 132m² com 03 suítes à venda  Jardim Botânico</t>
  </si>
  <si>
    <t xml:space="preserve">R$ 1.150.000,00</t>
  </si>
  <si>
    <t xml:space="preserve">Apartamento de 110m² com 03 suítes à venda   Jardim Olhos D`Água</t>
  </si>
  <si>
    <t xml:space="preserve">Apartamento padrão de 158m² com 03 suítes à venda   Jardim Botânico</t>
  </si>
  <si>
    <t xml:space="preserve">Apartamento garden de 184m² com 03 suítes à venda   Residencial Alto do Ipê</t>
  </si>
  <si>
    <t xml:space="preserve">Apartamento de 143m² com 03 suítes à venda   Nova Aliança</t>
  </si>
  <si>
    <t xml:space="preserve">R$ 1.153.000,00</t>
  </si>
  <si>
    <t xml:space="preserve">R$ 1.155.626,30</t>
  </si>
  <si>
    <t xml:space="preserve">Apartamento de 153m² com 04 suítes à venda   Jardim Olhos D`Água</t>
  </si>
  <si>
    <t xml:space="preserve">R$ 1.156.374,00</t>
  </si>
  <si>
    <t xml:space="preserve">Apartamento de 133m² com 03 suítes à venda   Nova Aliança</t>
  </si>
  <si>
    <t xml:space="preserve">R$ 1.158.096,00</t>
  </si>
  <si>
    <t xml:space="preserve">Apartamento de 200m² com 05 quartos à venda   Jardim Irajá</t>
  </si>
  <si>
    <t xml:space="preserve">R$ 1.160.000,00</t>
  </si>
  <si>
    <t xml:space="preserve">Apartamento de 139m² com 03 suítes à venda   Jardim Saint Gerard</t>
  </si>
  <si>
    <t xml:space="preserve">R$ 1.166.000,00</t>
  </si>
  <si>
    <t xml:space="preserve">Apartamento de 139m² com 03 suítes à venda   Bosque das Juritis</t>
  </si>
  <si>
    <t xml:space="preserve">R$ 1.170.000,00</t>
  </si>
  <si>
    <t xml:space="preserve">Apartamento de 80m² com 02 suítes para locação   Jardim Olhos D`Água</t>
  </si>
  <si>
    <t xml:space="preserve">R$ 1.180.000,00</t>
  </si>
  <si>
    <t xml:space="preserve">Apartamento de 186m² com 03 suítes à venda   Nova Aliança</t>
  </si>
  <si>
    <t xml:space="preserve">Apartamento 126m² com 03 suítes à venda   Alto do Ipê</t>
  </si>
  <si>
    <t xml:space="preserve">R$ 1.190.000,00</t>
  </si>
  <si>
    <t xml:space="preserve">Casa sobrado de 175m² com 03 suítes para venda   San Marco</t>
  </si>
  <si>
    <t xml:space="preserve">R$ 1.200.000,00</t>
  </si>
  <si>
    <t xml:space="preserve">Apartamento de 131m² com 03 suítes à venda   Jardim Olhos d`Água</t>
  </si>
  <si>
    <t xml:space="preserve">Apartamento de 80m² com 02 suítes à venda   Vila do Golfe</t>
  </si>
  <si>
    <t xml:space="preserve">Apartamento de 109m² com 03 suítes para locação   Plazas de España</t>
  </si>
  <si>
    <t xml:space="preserve">Apartamento de 154m² com 03 suítes à venda   Jardim Olhos D`Água II</t>
  </si>
  <si>
    <t xml:space="preserve">Apartamento de 139m² mobilado com 04 quartos   Jardim São Luiz</t>
  </si>
  <si>
    <t xml:space="preserve">Apartamento de 202m² com 03 suítes à venda   Jardim Irajá</t>
  </si>
  <si>
    <t xml:space="preserve">Apartamento de 202m² com 03 suítes e 03 vagas   Jardim Irajá</t>
  </si>
  <si>
    <t xml:space="preserve">Apartamento de 108m² com 03 quartos à venda   Jardim Olhos D`Água</t>
  </si>
  <si>
    <t xml:space="preserve">Apartamento de 125m² com 03 suítes à venda   Jardim Canadá</t>
  </si>
  <si>
    <t xml:space="preserve">Apartamento de 108m² com 03 quartos para locação e venda   Jardim Olhos D`Água</t>
  </si>
  <si>
    <t xml:space="preserve">Apartamento de 228m² com 04 quartos à venda   Jardim Irajá</t>
  </si>
  <si>
    <t xml:space="preserve">Apartamento de 145m² com 03 suítes planejadas à venda   Jardim Irajá</t>
  </si>
  <si>
    <t xml:space="preserve">Apartamento de 180m² com 03 suítes para locação e venda   Jardim Irajá</t>
  </si>
  <si>
    <t xml:space="preserve">Apartamento 154m² com 03 suítes à venda   Jardim Olhos D`Água</t>
  </si>
  <si>
    <t xml:space="preserve">R$ 1.205.000,00</t>
  </si>
  <si>
    <t xml:space="preserve">Apartamento de 151m² com 03 suítes à venda   Jardim Olhos D`Água</t>
  </si>
  <si>
    <t xml:space="preserve">R$ 1.211.830,00</t>
  </si>
  <si>
    <t xml:space="preserve">Apartamento de 153m² com 03 suítes à venda   Jardim Olhos D`Água</t>
  </si>
  <si>
    <t xml:space="preserve">R$ 1.218.186,00</t>
  </si>
  <si>
    <t xml:space="preserve">R$ 1.219.000,00</t>
  </si>
  <si>
    <t xml:space="preserve">R$ 1.220.000,00</t>
  </si>
  <si>
    <t xml:space="preserve">Apartamento térreo de 199m² com 04 quartos sendo 02 suítes à venda   Ribeirânia</t>
  </si>
  <si>
    <t xml:space="preserve">Apartamento de 194m² com 03 suítes   Jardim Botânico</t>
  </si>
  <si>
    <t xml:space="preserve">R$ 1.223.600,00</t>
  </si>
  <si>
    <t xml:space="preserve">R$ 1.225.000,00</t>
  </si>
  <si>
    <t xml:space="preserve">Apartamento de 163m² com 03 quartos à venda   Jardim Botânico</t>
  </si>
  <si>
    <t xml:space="preserve">R$ 1.230.000,00</t>
  </si>
  <si>
    <t xml:space="preserve">R$ 1.231.133,00</t>
  </si>
  <si>
    <t xml:space="preserve">Apartamento de 139m² com 04 quartos à venda   Jardim Canadá</t>
  </si>
  <si>
    <t xml:space="preserve">R$ 1.242.000,00</t>
  </si>
  <si>
    <t xml:space="preserve">R$ 1.249.000,00</t>
  </si>
  <si>
    <t xml:space="preserve">R$ 1.250.000,00</t>
  </si>
  <si>
    <t xml:space="preserve">Apartamento de 171m² com 03 suítes à venda   Nova Aliança</t>
  </si>
  <si>
    <t xml:space="preserve">Apartamento de 252m² com 03 suítes à venda   Centro</t>
  </si>
  <si>
    <t xml:space="preserve">Apartamento de 160m² com 03 suítes para locação   Jardim Botânico</t>
  </si>
  <si>
    <t xml:space="preserve">Apartamento de 152m² com 03 suítes à venda   Jardim Nova Aliança</t>
  </si>
  <si>
    <t xml:space="preserve">Apartamento   Padrão</t>
  </si>
  <si>
    <t xml:space="preserve">Apartamento de 289m² com 04 quartos para venda   Centro</t>
  </si>
  <si>
    <t xml:space="preserve">R$ 1.253.964,00</t>
  </si>
  <si>
    <t xml:space="preserve">Apartamento de 158m² com 03 suítes à venda   Jardim Olhos D`Água</t>
  </si>
  <si>
    <t xml:space="preserve">R$ 1.259.925,00</t>
  </si>
  <si>
    <t xml:space="preserve">Apartamento de 83m² com 02 suítes à venda   Jardim Botânico</t>
  </si>
  <si>
    <t xml:space="preserve">R$ 1.260.000,00</t>
  </si>
  <si>
    <t xml:space="preserve">R$ 1.269.740,00</t>
  </si>
  <si>
    <t xml:space="preserve">Apartamento de 158m² com 03 quartos à venda   Jardim Olhos D`Água II</t>
  </si>
  <si>
    <t xml:space="preserve">R$ 1.271.700,00</t>
  </si>
  <si>
    <t xml:space="preserve">Apartamento de 103m² com 03 suítes à venda   Jardim Botânico</t>
  </si>
  <si>
    <t xml:space="preserve">R$ 1.272.000,00</t>
  </si>
  <si>
    <t xml:space="preserve">Apartamento mobiliado de 123m² com 02 quartos para locação e venda   Jardim Botânico</t>
  </si>
  <si>
    <t xml:space="preserve">R$ 1.275.000,00</t>
  </si>
  <si>
    <t xml:space="preserve">Apartamento de 109m² com 02 suítes para locação   Jardim Olhos D`Água</t>
  </si>
  <si>
    <t xml:space="preserve">Apartamento de alto padrão na alta Fiúsa</t>
  </si>
  <si>
    <t xml:space="preserve">R$ 1.279.200,00</t>
  </si>
  <si>
    <t xml:space="preserve">Apartamento de 158m² com 03 suítes à venda   Jardim Botânico</t>
  </si>
  <si>
    <t xml:space="preserve">R$ 1.280.000,00</t>
  </si>
  <si>
    <t xml:space="preserve">Apartamento de 93m² com 03 suítes à venda   Jardim Botânico</t>
  </si>
  <si>
    <t xml:space="preserve">Apartamento de 154m² com 03 suítes à venda   Jardim Olhos D`Água</t>
  </si>
  <si>
    <t xml:space="preserve">Apartamento de 180m² com 4 quartos à venda   Bairro Jardim Canadá</t>
  </si>
  <si>
    <t xml:space="preserve">R$ 1.290.000,00</t>
  </si>
  <si>
    <t xml:space="preserve">Apartamento de 336m² com 04 suítes à venda   Jardim Irajá</t>
  </si>
  <si>
    <t xml:space="preserve">Apartamento de 155m² com 03 suítes à venda   Residencial Alto do Ipê</t>
  </si>
  <si>
    <t xml:space="preserve">Apartamento de 134m² com 03 quartos à venda   Jardim Olhos D`Água</t>
  </si>
  <si>
    <t xml:space="preserve">Apartamento de 143m² com 03 suítes à venda   Jardim São Luiz</t>
  </si>
  <si>
    <t xml:space="preserve">R$ 1.295.451,00</t>
  </si>
  <si>
    <t xml:space="preserve">Apartamento de 156m² com 03 suítes para locação   Jardim Botânico</t>
  </si>
  <si>
    <t xml:space="preserve">R$ 1.300.000,00</t>
  </si>
  <si>
    <t xml:space="preserve">Apartamento de 152m² com 04 quartos para locação e venda   Nova Aliança</t>
  </si>
  <si>
    <t xml:space="preserve">Apartamento de 114m² com 03 suítes à venda   Jardim Botânico</t>
  </si>
  <si>
    <t xml:space="preserve">Apartamento de 118m² com 03 suítes para venda e locação   Jardim Olhos D`Água</t>
  </si>
  <si>
    <t xml:space="preserve">Apartamento de 239m² com 03 suítes   Jardim Irajá</t>
  </si>
  <si>
    <t xml:space="preserve">Apartamento de 135m² com 03 suítes   Jardim Botânico</t>
  </si>
  <si>
    <t xml:space="preserve">Apartamento de 47m² com 03 suítes à venda   Bosque das Juritis</t>
  </si>
  <si>
    <t xml:space="preserve">Apartamento de 214m² com 03 suítes para locação e venda   Bosque dos Juritis</t>
  </si>
  <si>
    <t xml:space="preserve">R$ 1.301.000,00</t>
  </si>
  <si>
    <t xml:space="preserve">Apartamento de 218m² com 03 suítes à venda   Bosque das Juritis</t>
  </si>
  <si>
    <t xml:space="preserve">R$ 1.305.000,00</t>
  </si>
  <si>
    <t xml:space="preserve">R$ 1.307.025,00</t>
  </si>
  <si>
    <t xml:space="preserve">R$ 1.308.000,00</t>
  </si>
  <si>
    <t xml:space="preserve">R$ 1.310.000,00</t>
  </si>
  <si>
    <t xml:space="preserve">Apartamento de 158m² com 03 suítes à venda   Jardim Olhos D´Água</t>
  </si>
  <si>
    <t xml:space="preserve">R$ 1.312.977,00</t>
  </si>
  <si>
    <t xml:space="preserve">Apartamento no Parque Olhos D`Água   KAIRÓS</t>
  </si>
  <si>
    <t xml:space="preserve">R$ 1.315.906,80</t>
  </si>
  <si>
    <t xml:space="preserve">Apartamento de 106m² com 03 suítes à venda   Vila do Golfe</t>
  </si>
  <si>
    <t xml:space="preserve">R$ 1.320.000,00</t>
  </si>
  <si>
    <t xml:space="preserve">R$ 1.330.000,00</t>
  </si>
  <si>
    <t xml:space="preserve">R$ 1.332.696,89</t>
  </si>
  <si>
    <t xml:space="preserve">R$ 1.350.000,00</t>
  </si>
  <si>
    <t xml:space="preserve">Apartamento de 154m² com 04 suítes à venda   Jardim Olhos D`Água</t>
  </si>
  <si>
    <t xml:space="preserve">Apartamento de 160m² com 03 suítes à venda   Bosque das Juritis</t>
  </si>
  <si>
    <t xml:space="preserve">Apartamento mobiliado de 123 m² com 03 suítes à venda   Jardim Botânico</t>
  </si>
  <si>
    <t xml:space="preserve">R$ 1.356.800,00</t>
  </si>
  <si>
    <t xml:space="preserve">Apartamento de 194m² com 03 suítes e 03 vagas   Jardim Botânico</t>
  </si>
  <si>
    <t xml:space="preserve">R$ 1.358.000,00</t>
  </si>
  <si>
    <t xml:space="preserve">Apartamento de 145m² com 03 suítes à venda   Jardim Irajá</t>
  </si>
  <si>
    <t xml:space="preserve">R$ 1.370.000,00</t>
  </si>
  <si>
    <t xml:space="preserve">R$ 1.377.675,00</t>
  </si>
  <si>
    <t xml:space="preserve">Apartamento de 154m² com 03 suítes à venda   Jardim Olhos D`água</t>
  </si>
  <si>
    <t xml:space="preserve">R$ 1.378.000,00</t>
  </si>
  <si>
    <t xml:space="preserve">Apartamento de 134m² com 03 dormitórios   Jardim Olhos D`àgua</t>
  </si>
  <si>
    <t xml:space="preserve">R$ 1.380.000,00</t>
  </si>
  <si>
    <t xml:space="preserve">R$ 1.386.000,00</t>
  </si>
  <si>
    <t xml:space="preserve">Apartamento de 156M² com 03 suítes à venda   Jardim Botânico</t>
  </si>
  <si>
    <t xml:space="preserve">R$ 1.390.000,00</t>
  </si>
  <si>
    <t xml:space="preserve">Apartamento de 166m² com 03 suítes   Jardim Olhos d´agua</t>
  </si>
  <si>
    <t xml:space="preserve">R$ 1.400.000,00</t>
  </si>
  <si>
    <t xml:space="preserve">Apartamento de 109m² com 03 suítes para locação   Jardim Olhos D`água</t>
  </si>
  <si>
    <t xml:space="preserve">Apartamento de 195m² com 03 suítes à venda   Residencial Alto do Ipê</t>
  </si>
  <si>
    <t xml:space="preserve">Apartamento de 178m² com 03 suítes à venda   Bosque das Juritis</t>
  </si>
  <si>
    <t xml:space="preserve">Apartamento mobiliado de 133m² com 03 suítes à venda   Nova Aliança</t>
  </si>
  <si>
    <t xml:space="preserve">R$ 1.420.000,00</t>
  </si>
  <si>
    <t xml:space="preserve">Apartamento de 183m² com 03 suítes à venda   Jardim Botânico</t>
  </si>
  <si>
    <t xml:space="preserve">R$ 1.440.000,00</t>
  </si>
  <si>
    <t xml:space="preserve">Apartamento de 183m² com 03 suítes á venda   Jardim Botânico</t>
  </si>
  <si>
    <t xml:space="preserve">Apartamento de 178m² com 03 suítes à venda   Jardim Olhos D`Água</t>
  </si>
  <si>
    <t xml:space="preserve">R$ 1.450.000,00</t>
  </si>
  <si>
    <t xml:space="preserve">Apartamento de 202m² com 03 suítes à venda   Jardim Botânico</t>
  </si>
  <si>
    <t xml:space="preserve">Apartamento de 183m² com 03 suítes para locação e venda   Jardim Botânico</t>
  </si>
  <si>
    <t xml:space="preserve">Apartamento de 170m² com 03 suítes à venda   Vila do Golf</t>
  </si>
  <si>
    <t xml:space="preserve">R$ 1.470.000,00</t>
  </si>
  <si>
    <t xml:space="preserve">R$ 1.480.000,00</t>
  </si>
  <si>
    <t xml:space="preserve">Apartamento de 166m² com 03 quartos à venda   Jardim Olhos D´Água</t>
  </si>
  <si>
    <t xml:space="preserve">R$ 1.481.402,98</t>
  </si>
  <si>
    <t xml:space="preserve">Apartamento de 171m² com 03 quartos à venda   Nova Aliança</t>
  </si>
  <si>
    <t xml:space="preserve">R$ 1.490.000,00</t>
  </si>
  <si>
    <t xml:space="preserve">Apartamento de 232m² com 03 suítes à venda   Jardim Irajá</t>
  </si>
  <si>
    <t xml:space="preserve">Apartamento mobiliado de 232m² com 04 quartos à venda   Jardim Irajá</t>
  </si>
  <si>
    <t xml:space="preserve">R$ 1.499.000,00</t>
  </si>
  <si>
    <t xml:space="preserve">Apartamento de 239m² com 03 suítes para locação   Jardim Botânico</t>
  </si>
  <si>
    <t xml:space="preserve">R$ 1.500.000,00</t>
  </si>
  <si>
    <t xml:space="preserve">MARAVILHOSO APARTAMENTO NO JARDIM IRAJÁ</t>
  </si>
  <si>
    <t xml:space="preserve">Apartamento de 238m² com 04 quartos à venda   Jardim Santa Ângela</t>
  </si>
  <si>
    <t xml:space="preserve">Apartamento de 238m² com 04 quartos à venda   Jardim Irajá</t>
  </si>
  <si>
    <t xml:space="preserve">Apartamento de 239m² com 03 suítes PARA para venda e locação   Jardim Canadá</t>
  </si>
  <si>
    <t xml:space="preserve">Apartamento de 169m² com 03 suítes e porteira fechada à venda   Jardim Botânico</t>
  </si>
  <si>
    <t xml:space="preserve">R$ 1.504.192,26</t>
  </si>
  <si>
    <t xml:space="preserve">Apartamento de 195 m² com 04 quartos para locação e venda   Vila do Golfe</t>
  </si>
  <si>
    <t xml:space="preserve">R$ 1.520.000,00</t>
  </si>
  <si>
    <t xml:space="preserve">Apartamento de 168m² com 03 suítes à venda   Residencial Alto do Ipê</t>
  </si>
  <si>
    <t xml:space="preserve">R$ 1.530.000,00</t>
  </si>
  <si>
    <t xml:space="preserve">R$ 1.535.000,00</t>
  </si>
  <si>
    <t xml:space="preserve">R$ 1.540.000,00</t>
  </si>
  <si>
    <t xml:space="preserve">Apartamento de 109m² com 03 suítes para locação e venda   Bonfim Paulista</t>
  </si>
  <si>
    <t xml:space="preserve">R$ 1.550.000,00</t>
  </si>
  <si>
    <t xml:space="preserve">Apartamento de 228m² com 03 suítes à venda   Jardim Irajá</t>
  </si>
  <si>
    <t xml:space="preserve">Apartamento de 239m² com 03 quartos sendo 01 suíte para locação e venda   Jardim Irajá</t>
  </si>
  <si>
    <t xml:space="preserve">Apartamento de 195m² com 03 suítes para venda e locação   Vila do Golfe</t>
  </si>
  <si>
    <t xml:space="preserve">R$ 1.567.000,00</t>
  </si>
  <si>
    <t xml:space="preserve">R$ 1.590.000,00</t>
  </si>
  <si>
    <t xml:space="preserve">Apartamento de 156m² com 03 suítes à venda   Jardim Botânico</t>
  </si>
  <si>
    <t xml:space="preserve">R$ 1.599.000,00</t>
  </si>
  <si>
    <t xml:space="preserve">R$ 1.600.000,00</t>
  </si>
  <si>
    <t xml:space="preserve">Apartamento de 183m²com 03 suítes à venda   Jardim Botânico</t>
  </si>
  <si>
    <t xml:space="preserve">APARTAMENTO ALTO PADRÃO PRÓXIMO À AVENIDA BRAZ OLAIA ACOSTA OTIMA OPORTUNIDADE</t>
  </si>
  <si>
    <t xml:space="preserve">Apartamento de 238m² com 04 quartos para locação   Jardim Irajá</t>
  </si>
  <si>
    <t xml:space="preserve">Apartamento duplex de 320m² com 03 suítes   Jardim Canadá</t>
  </si>
  <si>
    <t xml:space="preserve">APARTAMENTO ALTO PADRÃO NO CENTRO</t>
  </si>
  <si>
    <t xml:space="preserve">EXCELENTE APARTAMENTO ALTO PADRÃO PARA VENDA NO BAIRRO JARDIM IRAJÁ</t>
  </si>
  <si>
    <t xml:space="preserve">R$ 1.620.000,00</t>
  </si>
  <si>
    <t xml:space="preserve">R$ 1.631.480,08</t>
  </si>
  <si>
    <t xml:space="preserve">Apartamento de 154m² com 04 suítes para locação e venda   Jardim Olhos D`Água II</t>
  </si>
  <si>
    <t xml:space="preserve">R$ 1.650.000,00</t>
  </si>
  <si>
    <t xml:space="preserve">Apartamento de 378m² com 04 quartos para locação e venda   Higienópolis</t>
  </si>
  <si>
    <t xml:space="preserve">Apartamento mobiliado de 134m² com 03 suítes para locação e venda   Jardim Olhos D`Água</t>
  </si>
  <si>
    <t xml:space="preserve">Apartamento de 166m² com 03 suítes à venda   Jardim Olhos D`Água</t>
  </si>
  <si>
    <t xml:space="preserve">R$ 1.654.954,03</t>
  </si>
  <si>
    <t xml:space="preserve">PRÉDIO PRÓXIMO AO NOVO SHOPPING</t>
  </si>
  <si>
    <t xml:space="preserve">R$ 1.660.000,00</t>
  </si>
  <si>
    <t xml:space="preserve">Apartamento de 197m² com 03 suítes à venda   Jardim Olhos D`Água II</t>
  </si>
  <si>
    <t xml:space="preserve">R$ 1.661.218,00</t>
  </si>
  <si>
    <t xml:space="preserve">Apartamento com vista para o Parque Olhos D`Água   KAIRÓS</t>
  </si>
  <si>
    <t xml:space="preserve">R$ 1.670.000,00</t>
  </si>
  <si>
    <t xml:space="preserve">R$ 1.680.000,00</t>
  </si>
  <si>
    <t xml:space="preserve">R$ 1.690.000,00</t>
  </si>
  <si>
    <t xml:space="preserve">Apartamento de 214m² com 03 suítes à venda   Bosque das Juritis</t>
  </si>
  <si>
    <t xml:space="preserve">Apartamento de 195m² com 03 suítes à venda   Vila do Golf</t>
  </si>
  <si>
    <t xml:space="preserve">R$ 1.700.000,00</t>
  </si>
  <si>
    <t xml:space="preserve">Apartamento de 80m² com 03 suítes para venda   Jardim Olhos D`água</t>
  </si>
  <si>
    <t xml:space="preserve">Apartamento de 124m² com 03 suítes para locação e venda   Jardim Olhos D`água</t>
  </si>
  <si>
    <t xml:space="preserve">Apartamento de 229m² com 04 quartos à venda   Jardim Irajá</t>
  </si>
  <si>
    <t xml:space="preserve">Apartamento de 179m² com 03 suítes à venda   Jardim Botânico</t>
  </si>
  <si>
    <t xml:space="preserve">R$ 1.711.728,00</t>
  </si>
  <si>
    <t xml:space="preserve">ÓTIMO APARTAMENTO NO BAIRRO JARDIM BOTÂNICO</t>
  </si>
  <si>
    <t xml:space="preserve">R$ 1.716.000,00</t>
  </si>
  <si>
    <t xml:space="preserve">Lançamento Artse   Apartamento de 183m² com 03 suítes à venda   Jardim Ilhas do Sul</t>
  </si>
  <si>
    <t xml:space="preserve">R$ 1.743.704,06</t>
  </si>
  <si>
    <t xml:space="preserve">Apartamento com 191 m², com 03 quartos, para venda   Vila do Golf.</t>
  </si>
  <si>
    <t xml:space="preserve">R$ 1.745.000,00</t>
  </si>
  <si>
    <t xml:space="preserve">R$ 1.746.181,11</t>
  </si>
  <si>
    <t xml:space="preserve">Apartamento de 218m² com 03 suítes à venda   Bosque das Jurutis</t>
  </si>
  <si>
    <t xml:space="preserve">R$ 1.749.000,00</t>
  </si>
  <si>
    <t xml:space="preserve">R$ 1.750.000,00</t>
  </si>
  <si>
    <t xml:space="preserve">Apartamento de 195M² com 03 suítes à venda   Vila do Golf</t>
  </si>
  <si>
    <t xml:space="preserve">Apartamento de 179M² com 03 suítes à venda   Jardim Botânico</t>
  </si>
  <si>
    <t xml:space="preserve">R$ 1.780.000,00</t>
  </si>
  <si>
    <t xml:space="preserve">Apartamento de 227m² com 03 suítes à venda   Jardim Ilhas do Sul</t>
  </si>
  <si>
    <t xml:space="preserve">R$ 1.787.493,00</t>
  </si>
  <si>
    <t xml:space="preserve">Apartamento de 227m² com 04 suítes à venda   Jardim Ilhas do Sul</t>
  </si>
  <si>
    <t xml:space="preserve">R$ 1.800.000,00</t>
  </si>
  <si>
    <t xml:space="preserve">Apartamento de 195m² com 04 quartos à venda   Residencial Alto do Ipê</t>
  </si>
  <si>
    <t xml:space="preserve">Apartamento de 237m² com 03 suítes à venda   Jardim Olhos D`Água</t>
  </si>
  <si>
    <t xml:space="preserve">Apartamento de 237m² com 04 suítes</t>
  </si>
  <si>
    <t xml:space="preserve">Apartamento mobiliado de 167m² com 03 suítes para locação e venda   Jardim Botânico</t>
  </si>
  <si>
    <t xml:space="preserve">Apartamento de 237m² com 04 suítes à venda   Jardim Ilhas do Sul</t>
  </si>
  <si>
    <t xml:space="preserve">***OTIMO APARTAMENTO****</t>
  </si>
  <si>
    <t xml:space="preserve">Apartamento de 185m² com 03 suítes à venda   Vila do Golfe</t>
  </si>
  <si>
    <t xml:space="preserve">R$ 1.800.015,81</t>
  </si>
  <si>
    <t xml:space="preserve">Casa sobrado de 257m² com 03 suítes para locação e venda  Vila do Golf</t>
  </si>
  <si>
    <t xml:space="preserve">R$ 1.810.000,00</t>
  </si>
  <si>
    <t xml:space="preserve">Apartamento de 239m² com 04 suítes   Jardim Botânico</t>
  </si>
  <si>
    <t xml:space="preserve">R$ 1.811.110,00</t>
  </si>
  <si>
    <t xml:space="preserve">R$ 1.837.910,88</t>
  </si>
  <si>
    <t xml:space="preserve">R$ 1.850.000,00</t>
  </si>
  <si>
    <t xml:space="preserve">Apartamento de 278m² com 04 suítes à venda   Ribeirânia</t>
  </si>
  <si>
    <t xml:space="preserve">R$ 1.860.000,00</t>
  </si>
  <si>
    <t xml:space="preserve">Apartamento de 191m² com 03 suítes à venda em condomínio   Vila do Golf</t>
  </si>
  <si>
    <t xml:space="preserve">R$ 1.880.000,00</t>
  </si>
  <si>
    <t xml:space="preserve">R$ 1.894.753,48</t>
  </si>
  <si>
    <t xml:space="preserve">Apartamento de 227m² com 03 suítes à venda   Ilhas do Sul</t>
  </si>
  <si>
    <t xml:space="preserve">R$ 1.895.000,00</t>
  </si>
  <si>
    <t xml:space="preserve">Apartamento de 227m² com 03 quartos para venda   Jardim Ilhas do Sul</t>
  </si>
  <si>
    <t xml:space="preserve">Apartamento de 218m² com 04 quartos para venda e locação   Bosque das Juritis</t>
  </si>
  <si>
    <t xml:space="preserve">R$ 1.910.000,00</t>
  </si>
  <si>
    <t xml:space="preserve">Apartamento de 246m² com 04 suítes à   Jardim Botânico</t>
  </si>
  <si>
    <t xml:space="preserve">R$ 1.920.000,00</t>
  </si>
  <si>
    <t xml:space="preserve">Apartamento de 204m² com 04 quartos à venda   Jardim Olhos D`Água</t>
  </si>
  <si>
    <t xml:space="preserve">R$ 1.932.010,00</t>
  </si>
  <si>
    <t xml:space="preserve">Apartamento de 227 m² com 04 suítes para venda   Ilhas do Sul.</t>
  </si>
  <si>
    <t xml:space="preserve">R$ 1.950.000,00</t>
  </si>
  <si>
    <t xml:space="preserve">Lançamento: Cidade de Milão   Apartamento de 204m² com 03 suítes à venda   Jardim Ilhas do Sul</t>
  </si>
  <si>
    <t xml:space="preserve">R$ 1.985.670,00</t>
  </si>
  <si>
    <t xml:space="preserve">Apartamento de 197m² com 03 suítes à venda   Jardim Olhos D`Água</t>
  </si>
  <si>
    <t xml:space="preserve">R$ 1.990.000,00</t>
  </si>
  <si>
    <t xml:space="preserve">Apartamento de 50m² com 02 quartos para venda   Heitor Rigon</t>
  </si>
  <si>
    <t xml:space="preserve">R$ 100.000,00</t>
  </si>
  <si>
    <t xml:space="preserve">Apartamento de 42m² com 02 quartos para locação   Jardim José Wilson Toni</t>
  </si>
  <si>
    <t xml:space="preserve">****LINDO APARTAMENTO NO JOÃO ROSSI****</t>
  </si>
  <si>
    <t xml:space="preserve">APARTAMENTO NO RESIDENCIAL DAS AMÉRICAS</t>
  </si>
  <si>
    <t xml:space="preserve">APARTAMENTO PRÓXIMO À AVENIDA RENÊ OLIVA STRANG</t>
  </si>
  <si>
    <t xml:space="preserve">Apartamento da 48m² com 02 quartos à venda   Quintino Facci II</t>
  </si>
  <si>
    <t xml:space="preserve">Apartamento de 42m² com 02 quartos à venda   Jardim Javari</t>
  </si>
  <si>
    <t xml:space="preserve">APARTAMENTO NO PRESIDENTE DUTRA</t>
  </si>
  <si>
    <t xml:space="preserve">APARTAMENTO PRÓXIMO À RODOVIA ALEXANDRE BALBO</t>
  </si>
  <si>
    <t xml:space="preserve">R$ 101.000,00</t>
  </si>
  <si>
    <t xml:space="preserve">APARTAMENTO PRÓXIMO AO NOVO MERCADÃO</t>
  </si>
  <si>
    <t xml:space="preserve">R$ 104.000,00</t>
  </si>
  <si>
    <t xml:space="preserve">Apartamento de 55m² com 01 quarto à venda   Jardim Castelo Branco</t>
  </si>
  <si>
    <t xml:space="preserve">R$ 106.000,00</t>
  </si>
  <si>
    <t xml:space="preserve">Apartamento de 49m² com 01 quarto à venda   Jardim Castelo Branco</t>
  </si>
  <si>
    <t xml:space="preserve">Apartamento de 72m² com 01 quarto à venda   Jardim Castelo Branco</t>
  </si>
  <si>
    <t xml:space="preserve">Ótimo apartamento no Jardim João Rossi</t>
  </si>
  <si>
    <t xml:space="preserve">APARTAMENTO TÉRREO NO JOÃO ROSSI</t>
  </si>
  <si>
    <t xml:space="preserve">APARTAMENTO NO JARDIM JOÃO ROSSI</t>
  </si>
  <si>
    <t xml:space="preserve">R$ 107.000,00</t>
  </si>
  <si>
    <t xml:space="preserve">Apartamento de 31m² com 01 quarto á venda   Vila Virgínia</t>
  </si>
  <si>
    <t xml:space="preserve">R$ 110.000,00</t>
  </si>
  <si>
    <t xml:space="preserve">Apartamento de 42m² com 2 quartos para venda   Nova Aliança</t>
  </si>
  <si>
    <t xml:space="preserve">APARTAMENTO NO JARDIM JAVARI</t>
  </si>
  <si>
    <t xml:space="preserve">APARTAMENTO PRÓXIMO À RUA JAVARI</t>
  </si>
  <si>
    <t xml:space="preserve">Apartamento de 42m² com 02 quartos à venda   Jardim Zara</t>
  </si>
  <si>
    <t xml:space="preserve">APARTAMENTO PRÓXIMO À RODOVIA ANHANGUERA</t>
  </si>
  <si>
    <t xml:space="preserve">R$ 112.000,00</t>
  </si>
  <si>
    <t xml:space="preserve">Apartamento de 39m² com 02 quartos para locação e venda   Residencial das Américas</t>
  </si>
  <si>
    <t xml:space="preserve">R$ 115.000,00</t>
  </si>
  <si>
    <t xml:space="preserve">Apartamento de 44m² com 02 quartos à venda   Jardim Eugênio Mendes Lopes</t>
  </si>
  <si>
    <t xml:space="preserve">Apartamento de 39m² com 02 quartos para venda   Residencial das Américas</t>
  </si>
  <si>
    <t xml:space="preserve">R$ 117.000,00</t>
  </si>
  <si>
    <t xml:space="preserve">Apartamento de 43m² com 02 quartos á venda e locação   Vitta Heitor Rigon III</t>
  </si>
  <si>
    <t xml:space="preserve">R$ 120.000,00</t>
  </si>
  <si>
    <t xml:space="preserve">Apartamento/Padrão   2 quartos para venda   Conjunto Habitacional João Rossi</t>
  </si>
  <si>
    <t xml:space="preserve">Apartamento de 48m² com 02 quartos para venda   Jardim Heitor Rigon</t>
  </si>
  <si>
    <t xml:space="preserve">Apartamento de 48m² com 02 quartos à venda   Jardim Heitor Rigon</t>
  </si>
  <si>
    <t xml:space="preserve">Apartamento de 43m² com 02 quartos á venda   Jardim Heitor Rigon</t>
  </si>
  <si>
    <t xml:space="preserve">Apartamento de 41m² com 02 quartos para venda   João Rossi</t>
  </si>
  <si>
    <t xml:space="preserve">Apartamento de 45m² com 01 quarto à venda   Centro</t>
  </si>
  <si>
    <t xml:space="preserve">Apartamento de 44m² com 02 quartos para locação   Ipiranga</t>
  </si>
  <si>
    <t xml:space="preserve">APARTAMENTO NA VILA VIRGINIA</t>
  </si>
  <si>
    <t xml:space="preserve">Apartamento de 47m² com 02 quartos à venda   Jardim das Palmeiras</t>
  </si>
  <si>
    <t xml:space="preserve">Apartamento de 40m² com com 02 quartos para locação e venda   Parque dos Pinus</t>
  </si>
  <si>
    <t xml:space="preserve">R$ 127.700,00</t>
  </si>
  <si>
    <t xml:space="preserve">Apartamento de 44m² 02 quartos para locação   Geraldo Correia de Carvalho</t>
  </si>
  <si>
    <t xml:space="preserve">R$ 135.000,00</t>
  </si>
  <si>
    <t xml:space="preserve">Apartamento de 40m² com 02 quartos à venda   Reserva Real</t>
  </si>
  <si>
    <t xml:space="preserve">Apartamento de 42 m² com 2 quartos   Vila Pompeia</t>
  </si>
  <si>
    <t xml:space="preserve">R$ 137.800,00</t>
  </si>
  <si>
    <t xml:space="preserve">Apartamento de 48m² com 02 quartos para locação e venda   Parque São Sebastião</t>
  </si>
  <si>
    <t xml:space="preserve">R$ 139.000,00</t>
  </si>
  <si>
    <t xml:space="preserve">Apartamento de 42m² com 02 quartos para a locação e venda   Jardim Heitor Rigon</t>
  </si>
  <si>
    <t xml:space="preserve">R$ 140.000,00</t>
  </si>
  <si>
    <t xml:space="preserve">Apartamento de 43m² com 02 quartos à venda   Jardim Heitor Rigon</t>
  </si>
  <si>
    <t xml:space="preserve">Apartamento de 39m² com 02 quartos para locação   Residencial das Américas</t>
  </si>
  <si>
    <t xml:space="preserve">Apartamento de 42m² com 02 quartos para locação e venda   Jardim José Wilson Toni</t>
  </si>
  <si>
    <t xml:space="preserve">Apartamento de 42m² com 02 quartos   Valentina Figueiredo</t>
  </si>
  <si>
    <t xml:space="preserve">Apartamento de 42m² com 02 quartos para venda e locação   Valentina Figueiredo</t>
  </si>
  <si>
    <t xml:space="preserve">Apartamento de 40m² com 02 quartos para venda e locação   Jardim Ouro Branco</t>
  </si>
  <si>
    <t xml:space="preserve">Apartamento de 41m² com 02 quartos para venda e locação   Conjunto Habitacional Sílvio Passalacqua</t>
  </si>
  <si>
    <t xml:space="preserve">R$ 149.000,00</t>
  </si>
  <si>
    <t xml:space="preserve">Apartamento de 46m² com 02 quartos para locação   Ipiranga</t>
  </si>
  <si>
    <t xml:space="preserve">Apartamento de 49m² com 01 quarto à venda   Bairro Jardim Macedo</t>
  </si>
  <si>
    <t xml:space="preserve">R$ 150.000,00</t>
  </si>
  <si>
    <t xml:space="preserve">Apartamento de 44m² com 2 quartos para locação e venda   Nova Califórnia</t>
  </si>
  <si>
    <t xml:space="preserve">Apartamento de 42m² com 02 quartos para locação e venda   Jardim Florestan Fernandes</t>
  </si>
  <si>
    <t xml:space="preserve">R$ 155.000,00</t>
  </si>
  <si>
    <t xml:space="preserve">Apartamento de 43m² com 02 quartos à venda   Reserva Macaúba</t>
  </si>
  <si>
    <t xml:space="preserve">Apartamento de 41m² com 02 quartos para locação   Reserva Real</t>
  </si>
  <si>
    <t xml:space="preserve">Apartamento de 42m² com 02 quartos para a locação e venda   Recanto das Palmeiras</t>
  </si>
  <si>
    <t xml:space="preserve">R$ 159.000,00</t>
  </si>
  <si>
    <t xml:space="preserve">Apartamento de 41m² com 02 quartos para locação e venda   Reserva Real</t>
  </si>
  <si>
    <t xml:space="preserve">Apartamento de 41m² com 02 quartos para locação e venda   Reserva Real.</t>
  </si>
  <si>
    <t xml:space="preserve">R$ 160.000,00</t>
  </si>
  <si>
    <t xml:space="preserve">Apartamento de 34m² com 01 quarto à venda e locação   Vila Monte Alegre</t>
  </si>
  <si>
    <t xml:space="preserve">Apartamento de 65m² com 02 quartos para locação e venda   Planalto verde.</t>
  </si>
  <si>
    <t xml:space="preserve">Apartamento de 43m² com 02 quartos para locação e venda   Jardim Heitor Rigon</t>
  </si>
  <si>
    <t xml:space="preserve">Apartamento de 41m² com 02 quartos à venda condomínio Palácio Imperial   Reserva Real</t>
  </si>
  <si>
    <t xml:space="preserve">APARTAMENTO PRÓXIMO À AVENIDA INDEPENDÊNCIA</t>
  </si>
  <si>
    <t xml:space="preserve">Apartamento de 41m² com 02 quartos para venda e locação   Reserva Real</t>
  </si>
  <si>
    <t xml:space="preserve">Apartamento de 02 quartos para locação   Campos Elíseos</t>
  </si>
  <si>
    <t xml:space="preserve">R$ 165.000,00</t>
  </si>
  <si>
    <t xml:space="preserve">APARTAMENTO PRÓXIMO AO ATACADÃO</t>
  </si>
  <si>
    <t xml:space="preserve">Apartamento de 37m² com 01 quarto para locação e venda   Centro</t>
  </si>
  <si>
    <t xml:space="preserve">R$ 170.000,00</t>
  </si>
  <si>
    <t xml:space="preserve">Apartamento de 01 quarto para locação   Jardim Paulista</t>
  </si>
  <si>
    <t xml:space="preserve">Apartamento térreo de 40m² com 02 quartos para locação e venda   Jardim Ouro Branco</t>
  </si>
  <si>
    <t xml:space="preserve">Apartamento de 48m² com 02 quartos   Bonfim Paulista</t>
  </si>
  <si>
    <t xml:space="preserve">APARTAMENTO PRÓXIMO À RUA TAPAJÓS</t>
  </si>
  <si>
    <t xml:space="preserve">Apartamento duplex de 41m² com 01 quarto para venda e locação   Centro</t>
  </si>
  <si>
    <t xml:space="preserve">Apartamento de 42m² com 02 quartos para venda e locação   Jardim Itaú</t>
  </si>
  <si>
    <t xml:space="preserve">Apartamento térreo de 42m² com 02 quartos para locação e venda   Recanto das Palmeiras</t>
  </si>
  <si>
    <t xml:space="preserve">Apartamento de 41m² com 02 quartos à venda   Reserva Real</t>
  </si>
  <si>
    <t xml:space="preserve">Apartamento de 40m² com 02 quartos para locação e venda   Reserva Real</t>
  </si>
  <si>
    <t xml:space="preserve">Apartamento com 53m² com 2 quartos à venda   Jardim Anhanguera</t>
  </si>
  <si>
    <t xml:space="preserve">APARTAMENTO NA VILA VIRGNÍNIA</t>
  </si>
  <si>
    <t xml:space="preserve">Apartamento de 46m² com 02 quartos para locação e venda   Parque São Sebastião</t>
  </si>
  <si>
    <t xml:space="preserve">R$ 175.000,00</t>
  </si>
  <si>
    <t xml:space="preserve">Apartamento de 37m² com 01 quarto para venda e locação   City Ribeirão</t>
  </si>
  <si>
    <t xml:space="preserve">APARTAMENTO PRÓXIMO À AVENIDA CARAMURU</t>
  </si>
  <si>
    <t xml:space="preserve">R$ 179.900,00</t>
  </si>
  <si>
    <t xml:space="preserve">Apartamento de 43m² com 02 quartos para locação e venda   Reserva Macaúba</t>
  </si>
  <si>
    <t xml:space="preserve">R$ 180.000,00</t>
  </si>
  <si>
    <t xml:space="preserve">Apartamento de 40m² com 02 quartos para locação   Parque dos Pinus</t>
  </si>
  <si>
    <t xml:space="preserve">Apartamento de 47m² com 2 dormitórios à venda   Jardim Paulistano</t>
  </si>
  <si>
    <t xml:space="preserve">Apartamento de 02 quartos para locação   Jardim Zara</t>
  </si>
  <si>
    <t xml:space="preserve">Apartamento de 41m² com 02 quartos para locação   Residencial Jequitibá</t>
  </si>
  <si>
    <t xml:space="preserve">Apartamento de 43m² com 02 quartos para locação e venda   Valentina Figueiredo</t>
  </si>
  <si>
    <t xml:space="preserve">R$ 181.000,00</t>
  </si>
  <si>
    <t xml:space="preserve">Apartamento de 41m² com 02 quartos para venda e locação   Residencial Jequitibá</t>
  </si>
  <si>
    <t xml:space="preserve">R$ 185.000,00</t>
  </si>
  <si>
    <t xml:space="preserve">Apartamento de 46m² com 02 quartos para locação e venda   Ipiranga</t>
  </si>
  <si>
    <t xml:space="preserve">R$ 190.000,00</t>
  </si>
  <si>
    <t xml:space="preserve">Apartamento de 42m² com 02 quartos para a locação   Campos Elíseos</t>
  </si>
  <si>
    <t xml:space="preserve">Apartamento de 42m² com 02 quartos para venda e locação   Jardim Heitor Rigon</t>
  </si>
  <si>
    <t xml:space="preserve">Apartamento de 42m² com 02 quartos á venda   Jardim Florestan Fernandes</t>
  </si>
  <si>
    <t xml:space="preserve">Apartamento de 42m² com 02 quartos para locação e venda   Residencial Parque dos Servidores</t>
  </si>
  <si>
    <t xml:space="preserve">R$ 191.000,00</t>
  </si>
  <si>
    <t xml:space="preserve">Apartamento de 01 quarto para locação   Ribeirânia</t>
  </si>
  <si>
    <t xml:space="preserve">Apartamento de 40m² com 2 quartos para locação e venda   Jardim Zara I</t>
  </si>
  <si>
    <t xml:space="preserve">Apartamento de 42m² com 02 quartos para venda e locação   Jardim Santa Cecilia</t>
  </si>
  <si>
    <t xml:space="preserve">R$ 195.000,00</t>
  </si>
  <si>
    <t xml:space="preserve">Apartamento de 42m² com 02 quartos para locação   Residencial Jequitibá</t>
  </si>
  <si>
    <t xml:space="preserve">Apartamento de 42m² com 02 quartos para venda e locação   Parque Industrial Lagoinha</t>
  </si>
  <si>
    <t xml:space="preserve">Apartamento de 61m² com 03 quartos à venda   Ipiranga</t>
  </si>
  <si>
    <t xml:space="preserve">R$ 197.000,00</t>
  </si>
  <si>
    <t xml:space="preserve">Apartamento de 43m² com 02 quartos para locação   Jardim Interlagos</t>
  </si>
  <si>
    <t xml:space="preserve">R$ 198.000,00</t>
  </si>
  <si>
    <t xml:space="preserve">Apartamento de 58m² com 02 quartos para locação e venda   Jardim Zara</t>
  </si>
  <si>
    <t xml:space="preserve">Apartamento de 42m² com 02 quartos para locação e venda   Jardim Heitor Rigon</t>
  </si>
  <si>
    <t xml:space="preserve">R$ 199.000,00</t>
  </si>
  <si>
    <t xml:space="preserve">Apartamento mobiliado de 195m² com 03 suítes para locação e venda   Residencial Alto do Ipê</t>
  </si>
  <si>
    <t xml:space="preserve">R$ 2.000.000,00</t>
  </si>
  <si>
    <t xml:space="preserve">R$ 2.100.000,00</t>
  </si>
  <si>
    <t xml:space="preserve">Apartamento de 237m² com 03 suítes para venda   Ilhas do Sul</t>
  </si>
  <si>
    <t xml:space="preserve">R$ 2.390.000,00</t>
  </si>
  <si>
    <t xml:space="preserve">Apartamento de 237m² com 03 suítes para venda e locação   Ilhas do Sul</t>
  </si>
  <si>
    <t xml:space="preserve">R$ 2.400.000,00</t>
  </si>
  <si>
    <t xml:space="preserve">Apartamento de 237m² com 03 suítes para venda e locação   Jardim Ilhas do Sul</t>
  </si>
  <si>
    <t xml:space="preserve">R$ 2.500.000,00</t>
  </si>
  <si>
    <t xml:space="preserve">R$ 200.000,00</t>
  </si>
  <si>
    <t xml:space="preserve">Apartamento studio novo de 29m² para locação   Jardim Palma Travassos</t>
  </si>
  <si>
    <t xml:space="preserve">Apartamento novo com 01 quarto para locação   Jardim Palma Travassos</t>
  </si>
  <si>
    <t xml:space="preserve">Apartamento de 47m² com 02 quartos para locação e venda   Jardim José Figueira</t>
  </si>
  <si>
    <t xml:space="preserve">Apartamento de 69m² com 02 quartos para locação   Jardim Anhanguera</t>
  </si>
  <si>
    <t xml:space="preserve">Apartamento de 46m² com 01 quarto para locação   Centro</t>
  </si>
  <si>
    <t xml:space="preserve">Apartamento de 48m² com 01 quarto para venda e locação   Centro</t>
  </si>
  <si>
    <t xml:space="preserve">R$ 202.000,00</t>
  </si>
  <si>
    <t xml:space="preserve">Apartamento de 59m² com 02 dormitórios para locação e venda   Jardim Independência</t>
  </si>
  <si>
    <t xml:space="preserve">R$ 203.000,00</t>
  </si>
  <si>
    <t xml:space="preserve">Apartamento semi mobiliado de 42 m² com 02 quartos para locação   Jardim Santa Cecilia</t>
  </si>
  <si>
    <t xml:space="preserve">R$ 205.000,00</t>
  </si>
  <si>
    <t xml:space="preserve">Apartamento de 45m² de 1 quarto para locação e venda   Centro</t>
  </si>
  <si>
    <t xml:space="preserve">R$ 210.000,00</t>
  </si>
  <si>
    <t xml:space="preserve">Apartamento de 46m² com 01 suíte para locação e venda   Jardim Botânico</t>
  </si>
  <si>
    <t xml:space="preserve">Apartamento de 48m² com 02 quartos para locação e venda   Bonfim Paulista</t>
  </si>
  <si>
    <t xml:space="preserve">R$ 212.000,00</t>
  </si>
  <si>
    <t xml:space="preserve">Apartamento de 46m² com 01 quarto para locação e venda   Centro</t>
  </si>
  <si>
    <t xml:space="preserve">Apartamento de 39m² com 02 quartos para locação   Jardim Diva Tarlá de Carvalho</t>
  </si>
  <si>
    <t xml:space="preserve">R$ 215.000,00</t>
  </si>
  <si>
    <t xml:space="preserve">Apartamento de 46m² com 02 quartos para locação e venda   Reserva Sul</t>
  </si>
  <si>
    <t xml:space="preserve">Apartamento de 53m² com 02 quartos á venda   Parque Bandeirantes</t>
  </si>
  <si>
    <t xml:space="preserve">Apartamento de 43m² com 02 quartos para locação   Loteamento Santa Marta</t>
  </si>
  <si>
    <t xml:space="preserve">R$ 220.000,00</t>
  </si>
  <si>
    <t xml:space="preserve">Apartamento de 56m² com 02 quartos para locação e venda   Chácaras Pedro Corrêa de Carvalho</t>
  </si>
  <si>
    <t xml:space="preserve">R$ 224.400,00</t>
  </si>
  <si>
    <t xml:space="preserve">Apartamento de 49m² com 02 quartos para locação e venda   Jardim Ouro Branco</t>
  </si>
  <si>
    <t xml:space="preserve">R$ 225.000,00</t>
  </si>
  <si>
    <t xml:space="preserve">Apartamento de 54m² com 02 quartos para venda   Parque Industrial Lagoinha</t>
  </si>
  <si>
    <t xml:space="preserve">R$ 229.000,00</t>
  </si>
  <si>
    <t xml:space="preserve">Apartamento de 42m² com 02 quartos para locação   Parque dos Servidores II</t>
  </si>
  <si>
    <t xml:space="preserve">R$ 230.000,00</t>
  </si>
  <si>
    <t xml:space="preserve">Apartamento de 56m² com 02 quartos sendo 01 suíte para locação e venda   Chácaras Pedro Corrêa de Carvalho</t>
  </si>
  <si>
    <t xml:space="preserve">Apartamento semi mobiliado de 44m² com 02 quartos para locação e venda   Residencial Greenville</t>
  </si>
  <si>
    <t xml:space="preserve">Apartamento de 52m² com 1 quarto   Vila Seixas</t>
  </si>
  <si>
    <t xml:space="preserve">R$ 235.000,00</t>
  </si>
  <si>
    <t xml:space="preserve">Apartamento de 44m² com 01 quarto à venda   Jardim Paulista</t>
  </si>
  <si>
    <t xml:space="preserve">Apartamento de 62m² com 03 quartos sendo 01 suíte para locação   Presidente Médici</t>
  </si>
  <si>
    <t xml:space="preserve">Apartamento de 42m² com 01 quarto para locação e venda  Jardim Califórnia</t>
  </si>
  <si>
    <t xml:space="preserve">R$ 237.000,00</t>
  </si>
  <si>
    <t xml:space="preserve">Apartamento de 90m² com 03 quartos para locação   Vila Seixas</t>
  </si>
  <si>
    <t xml:space="preserve">R$ 240.000,00</t>
  </si>
  <si>
    <t xml:space="preserve">Apartamento de 59m² com 2 quartos á venda   Parque Industrial Lagoinha</t>
  </si>
  <si>
    <t xml:space="preserve">Apartamento de 78m² com 02 dormitórios para locação e venda   Centro</t>
  </si>
  <si>
    <t xml:space="preserve">Apartamento de 68m² com 03 quartos para locação e venda   Centro</t>
  </si>
  <si>
    <t xml:space="preserve">R$ 243.000,00</t>
  </si>
  <si>
    <t xml:space="preserve">Apartamento de 47m² com 02 quartos para locação e venda   Residencial Greenville</t>
  </si>
  <si>
    <t xml:space="preserve">R$ 245.000,00</t>
  </si>
  <si>
    <t xml:space="preserve">Apartamento de 34m² com 01 suíte à venda   Jardim Irajá</t>
  </si>
  <si>
    <t xml:space="preserve">Apartamento de 69m² com 01 quarto para locação   Centro</t>
  </si>
  <si>
    <t xml:space="preserve">R$ 248.000,00</t>
  </si>
  <si>
    <t xml:space="preserve">Apartamento de 02 quartos para locação   Jardim Independência</t>
  </si>
  <si>
    <t xml:space="preserve">R$ 250.000,00</t>
  </si>
  <si>
    <t xml:space="preserve">Kitnet de 32m² para locação   Nova Ribeirânia</t>
  </si>
  <si>
    <t xml:space="preserve">Apartamento de 39m² com 01 quarto para locação   Jardim Califórnia</t>
  </si>
  <si>
    <t xml:space="preserve">Apartamento de 66m² com 02 quartos para venda   Centro</t>
  </si>
  <si>
    <t xml:space="preserve">Apartamento de 54m² com 02 quartos para locação e venda   Reserva Sul Condomínio</t>
  </si>
  <si>
    <t xml:space="preserve">Apartamento de 34m² com 01 quarto para locação   Jardim Irajá</t>
  </si>
  <si>
    <t xml:space="preserve">Apartamento de 45m² com 02 quartos para locação e venda   Jardim Manoel Penna</t>
  </si>
  <si>
    <t xml:space="preserve">R$ 254.400,00</t>
  </si>
  <si>
    <t xml:space="preserve">R$ 256.000,00</t>
  </si>
  <si>
    <t xml:space="preserve">Apartamento de 49m² com 02 quartos para venda e locação   Campos Eliseos</t>
  </si>
  <si>
    <t xml:space="preserve">R$ 260.000,00</t>
  </si>
  <si>
    <t xml:space="preserve">Apartamento de 58m² com 02 quartos para locação para venda   Jardim Paulista</t>
  </si>
  <si>
    <t xml:space="preserve">R$ 270.000,00</t>
  </si>
  <si>
    <t xml:space="preserve">Apartamento de 62m² com 02 quartos para locação e venda   Palmares</t>
  </si>
  <si>
    <t xml:space="preserve">Apartamento térreo de 63m² com 02 quartos para locação   Ipiranga</t>
  </si>
  <si>
    <t xml:space="preserve">Apartamento de 49 m² com 02 quartos   Campos Elíseos</t>
  </si>
  <si>
    <t xml:space="preserve">Apartamento 56m² com 02 quartos para locação   Parque São Sebastião</t>
  </si>
  <si>
    <t xml:space="preserve">Apartamento de 56m² com 02 quartos á venda   Parque São Sebastião</t>
  </si>
  <si>
    <t xml:space="preserve">Apartamento de 01 quarto para locação   Jardim Irajá</t>
  </si>
  <si>
    <t xml:space="preserve">R$ 275.000,00</t>
  </si>
  <si>
    <t xml:space="preserve">Apartamento de 48m² com 02 quartos para locação e venda   Parque das Oliveiras II</t>
  </si>
  <si>
    <t xml:space="preserve">R$ 280.000,00</t>
  </si>
  <si>
    <t xml:space="preserve">Apartamento de 43m² com 02 quartos para locação   Recreio das Acácias</t>
  </si>
  <si>
    <t xml:space="preserve">Apartamento de 50m² com 02 quartos para locação e venda   Geraldo Corre de Carvalho</t>
  </si>
  <si>
    <t xml:space="preserve">Apartamento de 02 quartos para locação   Residencial Florida</t>
  </si>
  <si>
    <t xml:space="preserve">Apartamento de 64m² com 02 quartos para locação e venda   Jardim Paulista</t>
  </si>
  <si>
    <t xml:space="preserve">Apartamento mobiliado de 37m² com 01 quarto para venda e locação   Nova Aliança</t>
  </si>
  <si>
    <t xml:space="preserve">Apartamento térreo de 85m² com 02 quartos para locação e venda   Jardim Zara</t>
  </si>
  <si>
    <t xml:space="preserve">Apartamento de 45m² com 01 quarto para locação e venda   Nova Aliança</t>
  </si>
  <si>
    <t xml:space="preserve">Apartamento mobiliado de 40m² com 01 quarto para locação   Jardim Califórnia</t>
  </si>
  <si>
    <t xml:space="preserve">Apartamento de 87m² com 02 quartos para venda e locação   Centro</t>
  </si>
  <si>
    <t xml:space="preserve">R$ 286.200,00</t>
  </si>
  <si>
    <t xml:space="preserve">Apartamento de 46m² com 01 quarto para locação e venda   Jardim Botânico</t>
  </si>
  <si>
    <t xml:space="preserve">Apartamento de 38m² com 01 quarto para locação e venda   Sumarezinho</t>
  </si>
  <si>
    <t xml:space="preserve">R$ 290.000,00</t>
  </si>
  <si>
    <t xml:space="preserve">Apartamento de 91m² com 03 quartos para locação e venda   Jardim Irajá</t>
  </si>
  <si>
    <t xml:space="preserve">Apartamento novo de 40m² com 01 quarto   Ribeirânia</t>
  </si>
  <si>
    <t xml:space="preserve">R$ 299.000,00</t>
  </si>
  <si>
    <t xml:space="preserve">Apartamento de 96m² com 03 quartos   Bairro Jardim Paulista</t>
  </si>
  <si>
    <t xml:space="preserve">R$ 299.900,00</t>
  </si>
  <si>
    <t xml:space="preserve">Apartamento de 41m² com 01 quarto para venda e locação   Vila Seixas</t>
  </si>
  <si>
    <t xml:space="preserve">R$ 300.000,00</t>
  </si>
  <si>
    <t xml:space="preserve">Apartamento de 58m² com 02 quartos para locação   Parque dos Servido</t>
  </si>
  <si>
    <t xml:space="preserve">Apartamento de 68m² com 02 quartos, para venda e locação   Parque Industrial Lagoinha</t>
  </si>
  <si>
    <t xml:space="preserve">Apartamento de 02 quartos para locação   Alto da Boa Vista</t>
  </si>
  <si>
    <t xml:space="preserve">Apartamento de 62m² com 03 quartos para locação   Alto do Ipiranga</t>
  </si>
  <si>
    <t xml:space="preserve">Apartamento de 92m² com 03 quartos   Centro</t>
  </si>
  <si>
    <t xml:space="preserve">Apartamento de 45m² com 01 quarto para locação e venda   Jardim Paulista</t>
  </si>
  <si>
    <t xml:space="preserve">APARTAMENTO NO CENTRO</t>
  </si>
  <si>
    <t xml:space="preserve">Apartamento de 85m² com 03 quartos para locação e venda   Centro</t>
  </si>
  <si>
    <t xml:space="preserve">Apartamento de 53m² com 02 quartos à venda   Parque das Oliveiras</t>
  </si>
  <si>
    <t xml:space="preserve">APARTAMENTO NO CAMPOS ELÍSEOS</t>
  </si>
  <si>
    <t xml:space="preserve">Apartamento de 70m² com 03 quartos para locação e venda   Jardim Independência</t>
  </si>
  <si>
    <t xml:space="preserve">Apartamento de 69m² com 03 quartos para locação e venda   Jardim Paulista</t>
  </si>
  <si>
    <t xml:space="preserve">Apartamento de 52m² com 02 quartos para locação e venda   Jardim Anhangüera</t>
  </si>
  <si>
    <t xml:space="preserve">R$ 310.000,00</t>
  </si>
  <si>
    <t xml:space="preserve">Apartamento de 99m² com 02 quartos para locação   Centro</t>
  </si>
  <si>
    <t xml:space="preserve">Apartamento de 120m² com 03 quartos para venda e locação   Campos Elíseos</t>
  </si>
  <si>
    <t xml:space="preserve">R$ 318.000,00</t>
  </si>
  <si>
    <t xml:space="preserve">Apartamento de 97m² com 03 quartos para locação e venda   Centro</t>
  </si>
  <si>
    <t xml:space="preserve">R$ 320.000,00</t>
  </si>
  <si>
    <t xml:space="preserve">Apartamento de 68m² com 02 quartos à venda   Centro</t>
  </si>
  <si>
    <t xml:space="preserve">Apartamento de 86m² com 03 quartos à venda   Jardim América</t>
  </si>
  <si>
    <t xml:space="preserve">Apartamento de 140m² com 03 quartos para locação   Centro</t>
  </si>
  <si>
    <t xml:space="preserve">R$ 330.000,00</t>
  </si>
  <si>
    <t xml:space="preserve">Apartamento de 54m² com 02 quartos para locação e venda   Jardim Anhanguera</t>
  </si>
  <si>
    <t xml:space="preserve">Apartamento de 43m² com 02 quartos para locação   Reserva Macaúba</t>
  </si>
  <si>
    <t xml:space="preserve">R$ 340.000,00</t>
  </si>
  <si>
    <t xml:space="preserve">Apartamento de 39m² com 01 quarto para locação e venda   Bosque das Juritis</t>
  </si>
  <si>
    <t xml:space="preserve">Apartamento de 847m² com 03 quartos para locação   Jardim Sumaré</t>
  </si>
  <si>
    <t xml:space="preserve">84.32</t>
  </si>
  <si>
    <t xml:space="preserve">Apartamento mobiliado de 55m² com 01 quarto para locação   Centro</t>
  </si>
  <si>
    <t xml:space="preserve">R$ 350.000,00</t>
  </si>
  <si>
    <t xml:space="preserve">Apartamento de 48m² com 02 quartos para locação e venda   Parque das Oliveiras</t>
  </si>
  <si>
    <t xml:space="preserve">Apartamento com 92m² com 3 quartos à venda   Jardim Irajá</t>
  </si>
  <si>
    <t xml:space="preserve">Apartamento de 47m² com 02 quartos para locação   Bosque dos Juritis</t>
  </si>
  <si>
    <t xml:space="preserve">Apartamento de 68m² com 02 quartos sendo 01 suíte para a locação e venda   Centro</t>
  </si>
  <si>
    <t xml:space="preserve">R$ 360.000,00</t>
  </si>
  <si>
    <t xml:space="preserve">Apartamento de 107m² com 03 quartos para locação e venda   Centro</t>
  </si>
  <si>
    <t xml:space="preserve">Apartamento de 50m² com 02 quartos para locação e venda   Reserva São José</t>
  </si>
  <si>
    <t xml:space="preserve">Apartamento térreo de 52m² com 02 quartos para locação e venda   Quintas de São José</t>
  </si>
  <si>
    <t xml:space="preserve">Apartamento de 51m² com 01 quarto para locação   Centro</t>
  </si>
  <si>
    <t xml:space="preserve">R$ 371.000,00</t>
  </si>
  <si>
    <t xml:space="preserve">Apartamento de 90m² com 03 quartos para locação e venda   Residencial e Comercial Palmares</t>
  </si>
  <si>
    <t xml:space="preserve">Apartamento de 199m² com 04 quartos sendo 01 suíte para locação   Centro</t>
  </si>
  <si>
    <t xml:space="preserve">R$ 380.000,00</t>
  </si>
  <si>
    <t xml:space="preserve">Apartamento de 87m² com 03 quartos   Jardim Paulistano</t>
  </si>
  <si>
    <t xml:space="preserve">Apartamento de 48m² com 02 quartos para locação e venda   Quinta da Primavera</t>
  </si>
  <si>
    <t xml:space="preserve">Apartamento de 54m² com 01 quarto para locação   Jardim São Luiz</t>
  </si>
  <si>
    <t xml:space="preserve">Apartamento de 59m² com 01 suíte para locação e venda   City Ribeirão</t>
  </si>
  <si>
    <t xml:space="preserve">R$ 420.000,00</t>
  </si>
  <si>
    <t xml:space="preserve">Apartamento de 60m² com 01 suíte para locação e venda   City Ribeirão</t>
  </si>
  <si>
    <t xml:space="preserve">R$ 430.000,00</t>
  </si>
  <si>
    <t xml:space="preserve">Apartamento de 100m² com 03 quartos para locação   Centro</t>
  </si>
  <si>
    <t xml:space="preserve">R$ 450.000,00</t>
  </si>
  <si>
    <t xml:space="preserve">R$ 500.000,00</t>
  </si>
  <si>
    <t xml:space="preserve">Apartamento de 165m² com 03 quartos sendo 01 suíte para locação e venda   Centro</t>
  </si>
  <si>
    <t xml:space="preserve">Apartamento de 93m² com 03 quartos à venda   Jardim Botânico</t>
  </si>
  <si>
    <t xml:space="preserve">R$ 880.000,00</t>
  </si>
  <si>
    <t xml:space="preserve">R$ 900.000,00</t>
  </si>
  <si>
    <t xml:space="preserve">R$ 960.000,00</t>
  </si>
  <si>
    <t xml:space="preserve">Apartamento de 123m² com 03 suíte para locação e venda   Jardim Botânico</t>
  </si>
  <si>
    <t xml:space="preserve">R$ 970.000,00</t>
  </si>
  <si>
    <t xml:space="preserve">Apartamento de 252m² com 05 quartos à venda   Centro de Ribeirão Preto</t>
  </si>
  <si>
    <t xml:space="preserve">Apartamento de 131m² com 03 suítes à venda   Nova Aliança</t>
  </si>
  <si>
    <t xml:space="preserve">R$ 980.000,00</t>
  </si>
  <si>
    <t xml:space="preserve">Apartamento de 317m² com 04 quartos à venda   Centro</t>
  </si>
  <si>
    <t xml:space="preserve">Apartamento de 131m² com 03 suítes à venda   Ribeirânia</t>
  </si>
  <si>
    <t xml:space="preserve">R$ 990.000,00</t>
  </si>
  <si>
    <t xml:space="preserve">Apartamento de 113m² com 03 suítes à venda   Jardim Olhos D`Água</t>
  </si>
  <si>
    <t xml:space="preserve">R$ 999.000,00</t>
  </si>
  <si>
    <t xml:space="preserve">Apartamento mobiliado de 82m² com 02 suítes para a locação e venda   Jardim Olhos D`Água</t>
  </si>
  <si>
    <t xml:space="preserve">R$ 999.900,00</t>
  </si>
  <si>
    <t xml:space="preserve">Apartamento de 56m² com 02 quartos para locação   Pedro Correa de Carvalho</t>
  </si>
  <si>
    <t xml:space="preserve">APARTAMENTO PRÓXIMO À RUA CORONEL AMÉRICO BATISTA</t>
  </si>
  <si>
    <t xml:space="preserve">APARTAMENTO QUINTINO FACCI II</t>
  </si>
  <si>
    <t xml:space="preserve">APARTAMENTO NO RESIDENCIAL DAS AMÉRICAS 43m² com 02 quartos   Jardim Herculano Fernandes</t>
  </si>
  <si>
    <t xml:space="preserve">Apartamento de 39m² com 02 quartos   Residencial das Américas</t>
  </si>
  <si>
    <t xml:space="preserve">APARTAMENTO NO JD CALIFÓRNIA</t>
  </si>
  <si>
    <t xml:space="preserve">Apartamento de 45m² com 02 quartos para venda   Jardim João Rossi</t>
  </si>
  <si>
    <t xml:space="preserve">Apartamento kitnet de 32m² com 01 quarto para locação   Campos Elíseos</t>
  </si>
  <si>
    <t xml:space="preserve">Apartamento de 43m² com 02 quartos à venda   Condomínio Uirapuru</t>
  </si>
  <si>
    <t xml:space="preserve">R$ 121.000,00</t>
  </si>
  <si>
    <t xml:space="preserve">APARTAMENTO PRÓXIMO À ANHANGUERA</t>
  </si>
  <si>
    <t xml:space="preserve">R$ 122.000,00</t>
  </si>
  <si>
    <t xml:space="preserve">Apartamento de 42m² com 02 quartos para locação e venda   Jardim Zara</t>
  </si>
  <si>
    <t xml:space="preserve">Apartamento de 42m² com 02 quartos à venda   Quintino Facci II</t>
  </si>
  <si>
    <t xml:space="preserve">R$ 125.000,00</t>
  </si>
  <si>
    <t xml:space="preserve">APARTAMENTO TÉRREO NO JARDIM EUGÊNIO MENDES LOPES</t>
  </si>
  <si>
    <t xml:space="preserve">Apartamento de 43m² com 01 quarto para locação e venda   Centro</t>
  </si>
  <si>
    <t xml:space="preserve">APARTAMENTO PARA LOCAÇÃO NO CENTRO DE RIBEIRÃO PRETO.</t>
  </si>
  <si>
    <t xml:space="preserve">R$ 127.000,00</t>
  </si>
  <si>
    <t xml:space="preserve">R$ 128.000,00</t>
  </si>
  <si>
    <t xml:space="preserve">Apartamento de 42m² com 02 quartos para venda   Vitta Via Norte.</t>
  </si>
  <si>
    <t xml:space="preserve">R$ 129.000,00</t>
  </si>
  <si>
    <t xml:space="preserve">Apartamento de 39m² com 02 quartos à venda   Jardim Ipiranga</t>
  </si>
  <si>
    <t xml:space="preserve">Apartamento com 42m²   Residencial das Américas</t>
  </si>
  <si>
    <t xml:space="preserve">Apartamento de 45m² com 02 quartos para venda mobiliado   João Rossi</t>
  </si>
  <si>
    <t xml:space="preserve">Apartamento de 302m² com 04 suítes para venda e locação   Mirante Morro do Ipê</t>
  </si>
  <si>
    <t xml:space="preserve">R$ 2.700.000,00</t>
  </si>
  <si>
    <t xml:space="preserve">Apartamento de 39m² com 02 quartos à venda   Residencial das Américas</t>
  </si>
  <si>
    <t xml:space="preserve">Apartamento de 43m² com 02 quartos para locação   Condomínio Uirapuru</t>
  </si>
  <si>
    <t xml:space="preserve">R$ 123.000,00</t>
  </si>
  <si>
    <t xml:space="preserve">Apartamento de 44m² com 01 quarto   Centro</t>
  </si>
  <si>
    <t xml:space="preserve">Apartamento kitnet de 32m² com 01 quarto para locação e venda   Vila Monte Alegre</t>
  </si>
  <si>
    <t xml:space="preserve">Apartamento de 31m² com 01 quarto para venda   Vila Amélia</t>
  </si>
  <si>
    <t xml:space="preserve">R$ 130.000,00</t>
  </si>
  <si>
    <t xml:space="preserve">Apartamento de 43m² com 02 quartos à venda   Valentina Figueiredo</t>
  </si>
  <si>
    <t xml:space="preserve">Apartamento de 55m² com 02 quartos para venda ? Vila Virgínia</t>
  </si>
  <si>
    <t xml:space="preserve">Apartamento de 46m² com 01 quarto à venda   Jardim Marchesi</t>
  </si>
  <si>
    <t xml:space="preserve">Apartamento de 42m² com 02 quartos à venda   Jardim João Rossi</t>
  </si>
  <si>
    <t xml:space="preserve">Apartamento de 48m² com 02 quartos à venda   Residencial das Américas</t>
  </si>
  <si>
    <t xml:space="preserve">Apartamento de 55m² com 02 quartos à venda   Vila Virgínia</t>
  </si>
  <si>
    <t xml:space="preserve">Apartamento de 42m² com 02 quartos para venda   Quintino Facci II</t>
  </si>
  <si>
    <t xml:space="preserve">Apartamento de 42m² com 02 quartos para locação   Ribeirão Verde</t>
  </si>
  <si>
    <t xml:space="preserve">Apartamento de 43m² com 02 quartos à venda   Jardim Diva Tarla de Carvalho</t>
  </si>
  <si>
    <t xml:space="preserve">APARTAMENTO NO JOÃO ROSSI</t>
  </si>
  <si>
    <t xml:space="preserve">APARTAMENTO NOVO PARA LOCAÇÃO E VENDA</t>
  </si>
  <si>
    <t xml:space="preserve">ÓTIMO APARTAMENTO NO HEITOR RIGON</t>
  </si>
  <si>
    <t xml:space="preserve">APARTAMENTO JD JOAO ROSSI</t>
  </si>
  <si>
    <t xml:space="preserve">APARTAMENTO NO GERALDO CORREIA DE CARVALHO</t>
  </si>
  <si>
    <t xml:space="preserve">APARTAMENTO NO RESIDENCIAL DAS AMERICAS</t>
  </si>
  <si>
    <t xml:space="preserve">APARTAMENTO TERREO NO PQ. SÃO SEBASTIAO</t>
  </si>
  <si>
    <t xml:space="preserve">EXCELENTE APARTAMENTO TÉRREO NO PARQUE RIBEIRÃO</t>
  </si>
  <si>
    <t xml:space="preserve">APARTAMENTO RESIDENCIAL DAS AMÉRICAS</t>
  </si>
  <si>
    <t xml:space="preserve">APARTAMENTO TÉRREO PRÓXIMO À AVENIDA BRAZ OLAIA ACOSTA</t>
  </si>
  <si>
    <t xml:space="preserve">Apartamento de 39m² com 02 quartos á venda   Residencial das Américas</t>
  </si>
  <si>
    <t xml:space="preserve">R$ 134.900,00</t>
  </si>
  <si>
    <t xml:space="preserve">Apartamento de 42m² com 02 quartos à venda   Jardim Heitor Rigon</t>
  </si>
  <si>
    <t xml:space="preserve">Apartamento de 45m² com 02 quartos à venda   Jardim João Rossi</t>
  </si>
  <si>
    <t xml:space="preserve">Apartamento de 42m² com 02 quartos à venda   Ribeirão Verde</t>
  </si>
  <si>
    <t xml:space="preserve">Apartamento/Padrão   Residencial   No bairro Recanto das Palmeiras   Condomínio Lar Itália</t>
  </si>
  <si>
    <t xml:space="preserve">Apartamento de 48m² com 02 quartos à venda   Quintino Facci II</t>
  </si>
  <si>
    <t xml:space="preserve">Apartamento de 41m² com 02 quartos à venda   Jardim João Rossi</t>
  </si>
  <si>
    <t xml:space="preserve">Apartamento de 43m² com 02 quartos á venda   Vitta Heitor Rigon III</t>
  </si>
  <si>
    <t xml:space="preserve">Apartamento de 41m² com 02 quartos à venda   Ipiranga</t>
  </si>
  <si>
    <t xml:space="preserve">Apartamento de 41m² com 02 quartos para locação e venda   Conjunto Habitacional Sílvio Passalacqua</t>
  </si>
  <si>
    <t xml:space="preserve">APARTAMENTO NO PARQUE DOS PINUS</t>
  </si>
  <si>
    <t xml:space="preserve">LINDO APARTAMENTO NO RESIDENCIAL DAS AMERICAS</t>
  </si>
  <si>
    <t xml:space="preserve">Apartamento de 48m² com 02 quartos à venda   Ipiranga</t>
  </si>
  <si>
    <t xml:space="preserve">APARTAMENTO NO JARDIM HELENA</t>
  </si>
  <si>
    <t xml:space="preserve">APARTAMENTO PRÓXIMO À AVENIDA JOÃO BATISTA DUARTE</t>
  </si>
  <si>
    <t xml:space="preserve">R$ 136.000,00</t>
  </si>
  <si>
    <t xml:space="preserve">APARTAMENTO PRÓXIMO Á RODOVIA ANHANGUERA</t>
  </si>
  <si>
    <t xml:space="preserve">R$ 137.000,00</t>
  </si>
  <si>
    <t xml:space="preserve">Apartamento de 42m² com 2 quartos à venda   Campos Elíseos</t>
  </si>
  <si>
    <t xml:space="preserve">Apartamento de 02 quartos para locação   Heitor Rigon</t>
  </si>
  <si>
    <t xml:space="preserve">R$ 132.000,00</t>
  </si>
  <si>
    <t xml:space="preserve">R$ 138.000,00</t>
  </si>
  <si>
    <t xml:space="preserve">Apartamento de 41m² com 02 quartos   Jardim João Rossi</t>
  </si>
  <si>
    <t xml:space="preserve">APARTAMENTO PRÓXIMO AO SUPERMERCADO BIG COMPRAS</t>
  </si>
  <si>
    <t xml:space="preserve">APARTAMENTO NO VILA VIRGINÍA</t>
  </si>
  <si>
    <t xml:space="preserve">APARTAMENTO NO JARDIM MARCHESI</t>
  </si>
  <si>
    <t xml:space="preserve">Apartamento térreo 02 quartos com 42m² a venda   Quintino Facci II</t>
  </si>
  <si>
    <t xml:space="preserve">APARTAMENTO NO PARQUE SÃO SEBASTIÃO</t>
  </si>
  <si>
    <t xml:space="preserve">Apartamento de 37 m² com 01 quartos  Lagoinha</t>
  </si>
  <si>
    <t xml:space="preserve">Apartamento de 42m² com 02 quartos para venda   Ipiranga</t>
  </si>
  <si>
    <t xml:space="preserve">Apartamento térreo de 42m² com 02 quartos à venda   Quintino Facci II</t>
  </si>
  <si>
    <t xml:space="preserve">****ÓTIMO APARTAMENTO****</t>
  </si>
  <si>
    <t xml:space="preserve">APARTAMENTO NO PARQUE DOS LAGOS</t>
  </si>
  <si>
    <t xml:space="preserve">Apartamento de 254m² com 04 suítes para venda e locação   Jardim Olhos D`Água</t>
  </si>
  <si>
    <t xml:space="preserve">R$ 2.200.000,00</t>
  </si>
  <si>
    <t xml:space="preserve">APARTAMENTO NO GERALDO DE CARVALHO</t>
  </si>
  <si>
    <t xml:space="preserve">APARTAMENTO NOVO NO JARDIM HEITOR RIGON</t>
  </si>
  <si>
    <t xml:space="preserve">Apartamento de 41m² com 02 quartos para locação e venda   Sílvio Passalacqua</t>
  </si>
  <si>
    <t xml:space="preserve">UMA OTIMA OPORTUNIDADE</t>
  </si>
  <si>
    <t xml:space="preserve">LINDO APARTAMENTO NO VITTA IPIRANGA PREÇO DE OPORTUNIDADE</t>
  </si>
  <si>
    <t xml:space="preserve">Apartamento de 44m² com 02 quartos à venda   Jardim Itaú</t>
  </si>
  <si>
    <t xml:space="preserve">Apartamento de 41m² com 02 quartos para venda   Jardim Silvio Passalacqua</t>
  </si>
  <si>
    <t xml:space="preserve">Apartamento de 50m² com 02 quartos à venda   Heitor Rigon</t>
  </si>
  <si>
    <t xml:space="preserve">Apartamento térreo com quintal de 49m² com 02 quartos à venda   Jardim Marchesi</t>
  </si>
  <si>
    <t xml:space="preserve">Apartamento de 42m² com 02 quartos para venda   Ribeirão Verde</t>
  </si>
  <si>
    <t xml:space="preserve">Apartamento de 42m² com 02 quartos à venda   Residencial Parque dos Servidores</t>
  </si>
  <si>
    <t xml:space="preserve">Apartamento de 42m² com 02 quartos   Heitor Rigon</t>
  </si>
  <si>
    <t xml:space="preserve">Apartamento de 40m² com 02 quartos à venda   Parque dos Pinus</t>
  </si>
  <si>
    <t xml:space="preserve">Apartamento de 47m² com 02 quartos à venda   Jardim José Figueira</t>
  </si>
  <si>
    <t xml:space="preserve">Apartamento de 42m² com 02 quartos à venda   Ipiranga</t>
  </si>
  <si>
    <t xml:space="preserve">Apartamento de 43m² com 02 quartos à venda   Jardim Diva Tarlá de Carvalho</t>
  </si>
  <si>
    <t xml:space="preserve">Apartamento de 42 m² com 02 quartos   Vila Pompeia</t>
  </si>
  <si>
    <t xml:space="preserve">LINDO APARTAMENTO NO DUTRA 2</t>
  </si>
  <si>
    <t xml:space="preserve">Apartamento de 49m² com 02 quartos para venda   Jardim José Wilson Toni</t>
  </si>
  <si>
    <t xml:space="preserve">Apartamento na Vila Virginia próximo ao Centro</t>
  </si>
  <si>
    <t xml:space="preserve">APARTAMENTO PRÓXIMO À AVENIDA TREZE DE MAIO</t>
  </si>
  <si>
    <t xml:space="preserve">Apartamento de 02 quartos para venda   Jardim Vilico Cantarelli</t>
  </si>
  <si>
    <t xml:space="preserve">Apartamento de 43m² com 02 quartos para locação   Valentina Figueiredo</t>
  </si>
  <si>
    <t xml:space="preserve">LINDO APARTAMENTO</t>
  </si>
  <si>
    <t xml:space="preserve">KIT PRÓXIMO À AVENIDA INDEPENDÊNCIA</t>
  </si>
  <si>
    <t xml:space="preserve">KIT NO CENTRO, PRÓXIMO AO COC</t>
  </si>
  <si>
    <t xml:space="preserve">Apartamento de 42m² com 02 quartos para venda   Jardim Zara</t>
  </si>
  <si>
    <t xml:space="preserve">Kitnet de 34m² com 01 quarto   Centro</t>
  </si>
  <si>
    <t xml:space="preserve">EXCELENTE APARTAMENTO PRÓXIMO À USP</t>
  </si>
  <si>
    <t xml:space="preserve">APARTAMENTO NO PARQUE RIBEIRÃO</t>
  </si>
  <si>
    <t xml:space="preserve">R$ 141.000,00</t>
  </si>
  <si>
    <t xml:space="preserve">Apartamento térreo de 42m² com 02 quartos para venda   Vitta Heitor Rigon II</t>
  </si>
  <si>
    <t xml:space="preserve">Apartamento de 42m² com 02 quartos à venda   Jardim José Wilson Toni</t>
  </si>
  <si>
    <t xml:space="preserve">R$ 142.000,00</t>
  </si>
  <si>
    <t xml:space="preserve">R$ 144.000,00</t>
  </si>
  <si>
    <t xml:space="preserve">Apartamento de 48m² com 02 quartos à venda   Parque São Sebastião</t>
  </si>
  <si>
    <t xml:space="preserve">APARTAMENTO TÉRREO NO QUINTINO FACCI II</t>
  </si>
  <si>
    <t xml:space="preserve">APARTAMENTO NO JOSÉ SAMPAIO</t>
  </si>
  <si>
    <t xml:space="preserve">Apartamento de 42m² com 02 quartos à venda   Heitor Rigon</t>
  </si>
  <si>
    <t xml:space="preserve">R$ 119.000,00</t>
  </si>
  <si>
    <t xml:space="preserve">Apartamento 2 quartos a venda Jardim João Rossi</t>
  </si>
  <si>
    <t xml:space="preserve">R$ 145.000,00</t>
  </si>
  <si>
    <t xml:space="preserve">Apartamento de 43m² Térreo com 02 quartos á venda   Jardim Diva Tarla de Carvalho</t>
  </si>
  <si>
    <t xml:space="preserve">Apartamento de 43m² com 02 quartos para Venda   Jardim Diva Tarlá de Carvalho</t>
  </si>
  <si>
    <t xml:space="preserve">Apartamento térreo de 37m² com 01 quarto   Alto do Ipiranga</t>
  </si>
  <si>
    <t xml:space="preserve">Apartamento de 41.85m² com 2 quartos à venda   Bairro Reserva Real</t>
  </si>
  <si>
    <t xml:space="preserve">Apartamento de 41m² com 02 quartos à venda   Conjunto Habitacional Sílvio Passalacqua</t>
  </si>
  <si>
    <t xml:space="preserve">APARTAMENTO NO PAULO GOMES</t>
  </si>
  <si>
    <t xml:space="preserve">OPORTUNIDADE VITTA VILA VIRGINIA I</t>
  </si>
  <si>
    <t xml:space="preserve">EXCELENTE APARTAMENTO NO JARDIM JOSÉ SAMPAIO JUNIOR</t>
  </si>
  <si>
    <t xml:space="preserve">APARTAMENTO PRÓXIMO À UNIVERSIDADE BARÃO DE MAUÁ</t>
  </si>
  <si>
    <t xml:space="preserve">APARTAMENTO NO JARDIM VILICO CANTARELLI</t>
  </si>
  <si>
    <t xml:space="preserve">ÓTIMA OPORTUNIDADE!!!</t>
  </si>
  <si>
    <t xml:space="preserve">Apartamento de 47 m² com 02 quartos   Jardim Paulistano</t>
  </si>
  <si>
    <t xml:space="preserve">APARTAMENTO NO BAIRRO RIBEIRÃO VERDE</t>
  </si>
  <si>
    <t xml:space="preserve">R$ 146.000,00</t>
  </si>
  <si>
    <t xml:space="preserve">Apartamento de 41m² com 02 quartos á venda   Jardim José Sampaio Júnior</t>
  </si>
  <si>
    <t xml:space="preserve">Apartamento de 40m² com 2 quartos à venda   Palácio de Versalhes</t>
  </si>
  <si>
    <t xml:space="preserve">R$ 147.000,00</t>
  </si>
  <si>
    <t xml:space="preserve">Apartamento de 42m² com 02 quartos à venda   Planalto Verde</t>
  </si>
  <si>
    <t xml:space="preserve">Apartamento de 43m² com 02 quartos à venda   Jardim Heitor Rigon lll</t>
  </si>
  <si>
    <t xml:space="preserve">R$ 148.000,00</t>
  </si>
  <si>
    <t xml:space="preserve">APARTAMENTO TÉRREO À VENDA NO BAIRRO VALENTINA FIGUEIREDO</t>
  </si>
  <si>
    <t xml:space="preserve">Apartamento de 42m² com 02 quartos à venda   Valentina Figueiredo</t>
  </si>
  <si>
    <t xml:space="preserve">R$ 149.900,00</t>
  </si>
  <si>
    <t xml:space="preserve">Apartamento Porteira fechada de 170m² com 03 suítes à venda   Vila do Golfe</t>
  </si>
  <si>
    <t xml:space="preserve">Apartamento de 298m² com 04 suítes à venda   Jardim Olhos D`Água</t>
  </si>
  <si>
    <t xml:space="preserve">R$ 2.490.000,00</t>
  </si>
  <si>
    <t xml:space="preserve">Apartamento mobiliado de 278m² com 05 quartos para locação   Ribeirânia</t>
  </si>
  <si>
    <t xml:space="preserve">R$ 2.600.000,00</t>
  </si>
  <si>
    <t xml:space="preserve">Apartamento de alto padrão de 292 m² com 03 suítes para locação e venda   Jardim Botânico.</t>
  </si>
  <si>
    <t xml:space="preserve">R$ 2.800.000,00</t>
  </si>
  <si>
    <t xml:space="preserve">Apartamento de 40m² com 02 quartos   Jardim Helena</t>
  </si>
  <si>
    <t xml:space="preserve">Apartamento de 49m² com 02 quartos à venda   Vila Abranches</t>
  </si>
  <si>
    <t xml:space="preserve">Apartamento com 48m² com 2 quartos  No Bairro Ipiranga.</t>
  </si>
  <si>
    <t xml:space="preserve">LINDO APARTAMENTO NO JARDIM HEITOR RIGON</t>
  </si>
  <si>
    <t xml:space="preserve">Exclusividade   Apartamento de 02 dormitórios para locação   Residencial das Américas</t>
  </si>
  <si>
    <t xml:space="preserve">Apartamento de 02 quartos para locação   Lar Itália</t>
  </si>
  <si>
    <t xml:space="preserve">Apartamento de 41m² com 01 quarto à venda   Nova Aliança</t>
  </si>
  <si>
    <t xml:space="preserve">Apartamento de 52m² com 02 quartos à venda   Jardim Palma Travassos</t>
  </si>
  <si>
    <t xml:space="preserve">Apartamento todo reformado, 2 dormitórios completo com armários, banheiro social com box e espelho, sala de TV, cozinha rica em armários, 1 vaga de garagem. Vista eterna para praça. 2° e último andar Elevador 1 vaga car</t>
  </si>
  <si>
    <t xml:space="preserve">Apartamento com 41m² com 02 quartos à venda   Reserva Real</t>
  </si>
  <si>
    <t xml:space="preserve">Apartamento completo em Planejados</t>
  </si>
  <si>
    <t xml:space="preserve">Apartamento de 40m² com 02 quartos à venda   Jardim Itaú</t>
  </si>
  <si>
    <t xml:space="preserve">Apartamento de 46m² com 02 quartos à venda   Jardim Heitor Rigon</t>
  </si>
  <si>
    <t xml:space="preserve">Apartamento de 42m² com 02 quartos para locação   Jardim Florestan Fernandes</t>
  </si>
  <si>
    <t xml:space="preserve">Apartamento de 45m² com 02 quartos à venda   Jardim Anhanguera</t>
  </si>
  <si>
    <t xml:space="preserve">Apartamento de 40m² com 02 quartos à venda   Jardim Ouro Branco</t>
  </si>
  <si>
    <t xml:space="preserve">Apartamento 46m² com 02 quartos à venda   Ipiranga</t>
  </si>
  <si>
    <t xml:space="preserve">APARTAMENTO JARDIM MARCHESI</t>
  </si>
  <si>
    <t xml:space="preserve">APARTAMENTO 1º ANDAR PARQUE ROMANO</t>
  </si>
  <si>
    <t xml:space="preserve">APARTAMENTO NO JARDIM PAULISTA</t>
  </si>
  <si>
    <t xml:space="preserve">APARTAMENTO NO RIBEIRÃO VERDE</t>
  </si>
  <si>
    <t xml:space="preserve">APARTAMENTO PRÓXIMO À AVENIDA MARECHAL COSTA E SILVA</t>
  </si>
  <si>
    <t xml:space="preserve">Apartamento de 42m² com 02 quartos à venda   Jardim Vilico Cantarelli</t>
  </si>
  <si>
    <t xml:space="preserve">APARTAMENTO NO IPIRANGA</t>
  </si>
  <si>
    <t xml:space="preserve">APARTAMENTO NO JARDIM DIVA TARLÁ DE CARVALHO</t>
  </si>
  <si>
    <t xml:space="preserve">APARTAMENTO NO JARDIM DAS PALMEIRAS</t>
  </si>
  <si>
    <t xml:space="preserve">APARTAMENTO NO JARDIN ZARA</t>
  </si>
  <si>
    <t xml:space="preserve">****APARTAMENTO PRÓXIMO AO ATACADÃO****</t>
  </si>
  <si>
    <t xml:space="preserve">Kitnet de 34m² com 01 quarto para locação   Centro</t>
  </si>
  <si>
    <t xml:space="preserve">APARTAMENTO PRÓXIMO À VIA NORTE</t>
  </si>
  <si>
    <t xml:space="preserve">APARTAMENTO NO HEITOR RIGON</t>
  </si>
  <si>
    <t xml:space="preserve">Apartamento de 42,50m² com 02 quartos para locação   Jardim José Wilson Toni</t>
  </si>
  <si>
    <t xml:space="preserve">APARTAMENTO PRÓXIMO Á ROD. ANHANGUERA</t>
  </si>
  <si>
    <t xml:space="preserve">Apartamento de 01 quarto para venda   Centro</t>
  </si>
  <si>
    <t xml:space="preserve">APARTAMENTO PRÓXIMO AO SUPERMERCADO MIALICH</t>
  </si>
  <si>
    <t xml:space="preserve">APARTAMENTO PRÓXIMO A RODOVIA ANHANGUERA</t>
  </si>
  <si>
    <t xml:space="preserve">APARTAMENTO PRÓXIMO À AVENIDA LUIGI ROSIELO</t>
  </si>
  <si>
    <t xml:space="preserve">Apartamento de 63m² com 02 quartos para venda  Jardim Florestan Fernandes.</t>
  </si>
  <si>
    <t xml:space="preserve">APARTAMENTO NO MONTE ALEGRE</t>
  </si>
  <si>
    <t xml:space="preserve">APARTAMENTO NO JARDIM ITAÚ</t>
  </si>
  <si>
    <t xml:space="preserve">Apartamento de 42m² com 02 quartos à venda   Vila Virgínia</t>
  </si>
  <si>
    <t xml:space="preserve">KITNET NO CAMPOS ELÍSEOS</t>
  </si>
  <si>
    <t xml:space="preserve">Apartamento de 48m² com com 02 quartos   Quintino Facci II</t>
  </si>
  <si>
    <t xml:space="preserve">Apartamento de 45m² com 01 quarto   Centro</t>
  </si>
  <si>
    <t xml:space="preserve">APARTAMENTO PRÓXIMO À AVENIDA VIRGILIO SOEIRA</t>
  </si>
  <si>
    <t xml:space="preserve">Apartamento de 42m² com 02 quartos à venda   Campos Elíseos</t>
  </si>
  <si>
    <t xml:space="preserve">R$ 152.000,00</t>
  </si>
  <si>
    <t xml:space="preserve">APARTAMENTO NA VILA ABRANCHES</t>
  </si>
  <si>
    <t xml:space="preserve">APARTAMENTO NO RESERVA REAL</t>
  </si>
  <si>
    <t xml:space="preserve">Apartamento térreo de 42m² com 02 quartos à venda  </t>
  </si>
  <si>
    <t xml:space="preserve">R$ 153.000,00</t>
  </si>
  <si>
    <t xml:space="preserve">APARTAMENTO PRÓXIMO À AVENIDA JOSÉ ANTÔNIO FERRAREZI</t>
  </si>
  <si>
    <t xml:space="preserve">Apartamento de 48m² com 2 quartos à venda   Geraldo Correa de Carvalho</t>
  </si>
  <si>
    <t xml:space="preserve">R$ 154.000,00</t>
  </si>
  <si>
    <t xml:space="preserve">Apartamento de 45m² com 02 quartos à venda   Parque São Sebastião</t>
  </si>
  <si>
    <t xml:space="preserve">Apartamento de 42m² com 02 quartos à venda   Chácaras Pedro Corrêa de Carvalho</t>
  </si>
  <si>
    <t xml:space="preserve">Apartamento de 37m² com 01 quarto à venda   Parque Industrial Lagoinha</t>
  </si>
  <si>
    <t xml:space="preserve">Apartamento de 42m² com 2 quartos à venda   Jardim João Rossi</t>
  </si>
  <si>
    <t xml:space="preserve">Apartamento reformado de 41m² com 02 quartos à venda   Reserva Real</t>
  </si>
  <si>
    <t xml:space="preserve">Apartamento de 46m² com 02 quartos à venda   Parque Ribeirão</t>
  </si>
  <si>
    <t xml:space="preserve">EXCELENTE APARTAMENTO PRÓXIMO À RUA JAVARI</t>
  </si>
  <si>
    <t xml:space="preserve">APARTAMENTO PRÓXIMO À RODOVIA ALEXANDRE BABLBO</t>
  </si>
  <si>
    <t xml:space="preserve">APARTAMENTO PRÓXIMO À AVENIDA JULIETA ENGRÁCIA</t>
  </si>
  <si>
    <t xml:space="preserve">APARTAMENTO PRÓXIMO À RUA PORTO SEGURO</t>
  </si>
  <si>
    <t xml:space="preserve">Apartamento de 40m² com 02 quartos para locação   Jardim Zara</t>
  </si>
  <si>
    <t xml:space="preserve">R$ 156.928,00</t>
  </si>
  <si>
    <t xml:space="preserve">R$ 157.000,00</t>
  </si>
  <si>
    <t xml:space="preserve">Apartamento de 41m² com 02 quartos   Reserva Imperial</t>
  </si>
  <si>
    <t xml:space="preserve">R$ 158.000,00</t>
  </si>
  <si>
    <t xml:space="preserve">Apartamento de 02 quartos para locação   Vila Virginia</t>
  </si>
  <si>
    <t xml:space="preserve">Apartamento de 48m² com 02 quartos à venda   Jardim Manoel Penna</t>
  </si>
  <si>
    <t xml:space="preserve">R$ 149.999,00</t>
  </si>
  <si>
    <t xml:space="preserve">APARTAMENTO PRÓXIMO À AVENIDA BARÃO DO BANANAL</t>
  </si>
  <si>
    <t xml:space="preserve">Apartamento de 31m² com 01 quarto à venda   Vila Virgínia</t>
  </si>
  <si>
    <t xml:space="preserve">Apartamento de 43m² com 02 quartos para venda   Vitta Heitor Rigon III</t>
  </si>
  <si>
    <t xml:space="preserve">Apartamento de 45m² com 02 quartos á venda   Parque dos Lagos</t>
  </si>
  <si>
    <t xml:space="preserve">Apartamento térreo de 40m² com 02 quartos à venda   Reserva Real</t>
  </si>
  <si>
    <t xml:space="preserve">Apartamento de 42m² com 02 quartos à venda   Recreio Anhanguera</t>
  </si>
  <si>
    <t xml:space="preserve">APARTAMENTO EM ÓTIMA LOCALIZAÇÃO</t>
  </si>
  <si>
    <t xml:space="preserve">APARTAMENTO NA VALENTINA FIGUEIREDO</t>
  </si>
  <si>
    <t xml:space="preserve">APARTAMENTO TÉRREO PRÓXIMO À RUA GENERAL CÂMARA</t>
  </si>
  <si>
    <t xml:space="preserve">Apartamento de 48m² com 02 quartos para locação   Parque São Sebastião</t>
  </si>
  <si>
    <t xml:space="preserve">Apartamento de 42m² colm 02 quartos à venda   Jardim Javari</t>
  </si>
  <si>
    <t xml:space="preserve">Apartamento de 50m² com 01 quartos à venda  No bairro Jardim Paulistano</t>
  </si>
  <si>
    <t xml:space="preserve">Apartamento de 59m² com 02 quartos para venda   Independência</t>
  </si>
  <si>
    <t xml:space="preserve">Apartamento de 1 quarto à venda  Parque Anhanguera</t>
  </si>
  <si>
    <t xml:space="preserve">Apartamento de 46m² com 2 quartos à   Parque São Sebastião</t>
  </si>
  <si>
    <t xml:space="preserve">APARTAMENTO PRÓXIMO À AVENIDA ALFREDO RAVANELLI</t>
  </si>
  <si>
    <t xml:space="preserve">Apartamento de 48m² com 02 quartos Jardim Manoel Penna</t>
  </si>
  <si>
    <t xml:space="preserve">Apartamento de 40m² com 02 quartos para locação   Reserva Real</t>
  </si>
  <si>
    <t xml:space="preserve">Apartamento de 38m² com 01 quarto à venda   Jardim Paulistano</t>
  </si>
  <si>
    <t xml:space="preserve">APARRTAMENTO PRÓXIMO À AVENIDA MEIRA JÚNIOR</t>
  </si>
  <si>
    <t xml:space="preserve">Apartamento de 42m² com 02 quartos á venda   Jardim Heitor Rigon</t>
  </si>
  <si>
    <t xml:space="preserve">Apartamento próximo ao Parque dos Lagos</t>
  </si>
  <si>
    <t xml:space="preserve">Apartamento de 02 quartos   Jd. Heitor Rigon</t>
  </si>
  <si>
    <t xml:space="preserve">Apartamento de 46 m² com 02 quartos   Parque São Sebastião</t>
  </si>
  <si>
    <t xml:space="preserve">R$ 154.900,00</t>
  </si>
  <si>
    <t xml:space="preserve">Apartamento de 42m² com 01 quarto à venda   Jardim Paulista</t>
  </si>
  <si>
    <t xml:space="preserve">Apartamento de 34m² com 01 quarto à venda   Monte Alegre</t>
  </si>
  <si>
    <t xml:space="preserve">Apartamento de 48m² com 02 quartosà venda   Geraldo Correia de Carvalho</t>
  </si>
  <si>
    <t xml:space="preserve">Apartamento de 42m² com 02 quartos à venda   Vitta Via Norte I</t>
  </si>
  <si>
    <t xml:space="preserve">Apartamento de 42m² com 02 quartos   Vila Abranches</t>
  </si>
  <si>
    <t xml:space="preserve">Apartamento térreo de 39m² com 02 quartos à venda   Ribeirão Verde</t>
  </si>
  <si>
    <t xml:space="preserve">Apartamento com 43m² com 02 quartos.</t>
  </si>
  <si>
    <t xml:space="preserve">Apartamento de 49m² com 02 quartos à venda   Parque São Sebastião</t>
  </si>
  <si>
    <t xml:space="preserve">Apartamento de 42m² com 02 quartos para venda   Jardim José Sampaio Júnior</t>
  </si>
  <si>
    <t xml:space="preserve">Apartamento de 41m² com 02 quartos   Reserva Real</t>
  </si>
  <si>
    <t xml:space="preserve">Apartamento de 42m² com 02 quartos para locação e venda   Ipiranga</t>
  </si>
  <si>
    <t xml:space="preserve">Apartamento de 47m² com 02 quartos para locação e venda   Conjunto Habitacional Jardim das Palmeiras</t>
  </si>
  <si>
    <t xml:space="preserve">Apartamento de 43m² com 02 quartos à venda   Chácaras Pedro Corrêa de Carvalho</t>
  </si>
  <si>
    <t xml:space="preserve">Apartamento térreo de 43m² com 02 quartos à venda   Parque dos Lagos</t>
  </si>
  <si>
    <t xml:space="preserve">Apartamento de 43m² com 02 quartos para locação   Jardim Diva Tarlá de Carvalho</t>
  </si>
  <si>
    <t xml:space="preserve">Apartamento de 46m² com 02 quartos à venda   Jardim Itaú</t>
  </si>
  <si>
    <t xml:space="preserve">Apartamento de 45m² com 02 quartos a venda   Parque Renascer</t>
  </si>
  <si>
    <t xml:space="preserve">Apartamento térreo de 42m² com 02 quartos para locação e venda   Reacanto das Palmeiras</t>
  </si>
  <si>
    <t xml:space="preserve">APARTAMENTO NO BAIRRO RECANTO DAS PALMEIRAS</t>
  </si>
  <si>
    <t xml:space="preserve">APARTAMENTO NO BAIRRO QUINTINO FACCI 2</t>
  </si>
  <si>
    <t xml:space="preserve">*****OTIMO APARTAMENTO*****</t>
  </si>
  <si>
    <t xml:space="preserve">OPORTUNIDADE NO CONDOMÍNIO VITTA VIA NORTE II</t>
  </si>
  <si>
    <t xml:space="preserve">Apartamento de 46m² com 02 quartos à venda   Ribeirania</t>
  </si>
  <si>
    <t xml:space="preserve">Apartamento de 75m² 02 quartos para locação   Parque Remanso do Bosque</t>
  </si>
  <si>
    <t xml:space="preserve">Apartamento Próximo ao Novo Shopping   Parque Romanetto</t>
  </si>
  <si>
    <t xml:space="preserve">Ótimo apartamento com 2 dormitórios em condomínio com lazer</t>
  </si>
  <si>
    <t xml:space="preserve">APARTAMENTO NO JARDIM OURO BRANCO</t>
  </si>
  <si>
    <t xml:space="preserve">APARTAMENTO TÉRREO A VENDA NO PARQUE DOS SERVIDORES</t>
  </si>
  <si>
    <t xml:space="preserve">ÓTIMO APARTAMENTO NO JARDIM ZARA</t>
  </si>
  <si>
    <t xml:space="preserve">Localizado próximo à Savegnago Supermercados, Spaço Ella   Salão de Beleza, Igreja Santa Madalena de Canossa e diversos comércios.</t>
  </si>
  <si>
    <t xml:space="preserve">Apartamento de 01 quarto para locação   Vila Amélia</t>
  </si>
  <si>
    <t xml:space="preserve">ÓTIMO APARTAMENTO NO IPIRANGA</t>
  </si>
  <si>
    <t xml:space="preserve">APARTAMENTO TÉRREO NO PARQUE ANHANGUERA</t>
  </si>
  <si>
    <t xml:space="preserve">APARTAMENTO NO PARQUE INDUSTRIAL LAGOINHA</t>
  </si>
  <si>
    <t xml:space="preserve">APARTAMENTO NO BAIRRO JARDIM PAULISTA</t>
  </si>
  <si>
    <t xml:space="preserve">APARTAMENTO TÉRREO NO IPIRANGA</t>
  </si>
  <si>
    <t xml:space="preserve">APARTAMENTO NA VILA SEIXAS</t>
  </si>
  <si>
    <t xml:space="preserve">APARTAMENTO NO JARDIM INTERLAGOS</t>
  </si>
  <si>
    <t xml:space="preserve">APARTAMENTO NO JARDIM MACEDO</t>
  </si>
  <si>
    <t xml:space="preserve">APARTAMENTO NO JARDIM HEITOR RIGON</t>
  </si>
  <si>
    <t xml:space="preserve">APARTAMENTO NO CAMPOS ELISEOS</t>
  </si>
  <si>
    <t xml:space="preserve">Apartamento de 46m² com 02 quartos à venda   Ipiranga</t>
  </si>
  <si>
    <t xml:space="preserve">LINDO APARTAMENTO NO INTERLAGOS</t>
  </si>
  <si>
    <t xml:space="preserve">Apartamento de 29m² com 01 quarto à venda   Jardim Paulista</t>
  </si>
  <si>
    <t xml:space="preserve">Apartamento mobiliado de 41 m² com 1 quarto para locação   Nova Ribeirânia</t>
  </si>
  <si>
    <t xml:space="preserve">Apartamento de 46m² com 02 quartos para locação   Jardim Sumaré</t>
  </si>
  <si>
    <t xml:space="preserve">Apartamento de 45m² com 02 quartos para venda   Parque dos Lagos</t>
  </si>
  <si>
    <t xml:space="preserve">Apartamento de 43m² com 02 quartos para venda   Jardim Diva Tarla de Carvalho</t>
  </si>
  <si>
    <t xml:space="preserve">APARTAMENTO PRÓXIMO À AVENIDA PIO XII</t>
  </si>
  <si>
    <t xml:space="preserve">APARTAMENTO ÓTIMA LOCALIZAÇÃO</t>
  </si>
  <si>
    <t xml:space="preserve">***EXCELENTE APARTAMENTO***</t>
  </si>
  <si>
    <t xml:space="preserve">APARTAMENTO PRÓXIMO Á RODOVIA ALEXANDRE BALBO</t>
  </si>
  <si>
    <t xml:space="preserve">APARTAMENTO NO CONDOMÍNIO PARQUE RESIDENCE</t>
  </si>
  <si>
    <t xml:space="preserve">Apartamento de 42m² de 2 quartos à venda   Jardim Heitor Rigon</t>
  </si>
  <si>
    <t xml:space="preserve">Lindo apartamento!</t>
  </si>
  <si>
    <t xml:space="preserve">KITNET NO CENTRO</t>
  </si>
  <si>
    <t xml:space="preserve">APARTAMENTO NO JARDIM PEDRA BRANCA</t>
  </si>
  <si>
    <t xml:space="preserve">APARTAMENTO PARA LOCAÇÃO NO JARDIM PRESIDENTE DUTRA</t>
  </si>
  <si>
    <t xml:space="preserve">Apartamento de 56m² com 02 quartos para locação   Centro</t>
  </si>
  <si>
    <t xml:space="preserve">APARTAMENTO NO QUINTINO FACCI II</t>
  </si>
  <si>
    <t xml:space="preserve">R$ 161.000,00</t>
  </si>
  <si>
    <t xml:space="preserve">R$ 162.000,00</t>
  </si>
  <si>
    <t xml:space="preserve">APARTAMENTO PRÓXIMO AO MIALICH</t>
  </si>
  <si>
    <t xml:space="preserve">**LANÇAMENTO NO JARDIM ITAÚ**</t>
  </si>
  <si>
    <t xml:space="preserve">R$ 164.000,00</t>
  </si>
  <si>
    <t xml:space="preserve">APARTAMENTO NO CONDOMÍNIO RESIDENCIAL PARQUE ROMANCE</t>
  </si>
  <si>
    <t xml:space="preserve">Apartamento de 63m² com 03 quartos à venda   Jardim Palma Travassos</t>
  </si>
  <si>
    <t xml:space="preserve">APARTAMENTO NOVO PRONTO PARA MORAR</t>
  </si>
  <si>
    <t xml:space="preserve">APARTAMENTO NOS CAMPOS ELÍSEOS</t>
  </si>
  <si>
    <t xml:space="preserve">Apartamento de 42m² com 02 quartps à venda   Jardim Itaú</t>
  </si>
  <si>
    <t xml:space="preserve">Apartamento térreo de 43m² com 02 quartos à venda   Valentina Figueiredo</t>
  </si>
  <si>
    <t xml:space="preserve">Apartamento reformado de 02 quartos à venda   Reserva Real</t>
  </si>
  <si>
    <t xml:space="preserve">Apartamento de 43m² com 02 quartos 01 banheiro 01 garagem à venda no Jd Anahanguera</t>
  </si>
  <si>
    <t xml:space="preserve">Apartamento de 43m² com 02 quartos à venda   Parque São Sebastião</t>
  </si>
  <si>
    <t xml:space="preserve">Apartamento de 41 m² com 02 quartos à venda   Reserva Real</t>
  </si>
  <si>
    <t xml:space="preserve">Apartamento de 46m² com 02 quartos à   Ipiranga</t>
  </si>
  <si>
    <t xml:space="preserve">LINDO APARTAMENTO PARQUE DAS ROSEIRAS NO IPIRANGA</t>
  </si>
  <si>
    <t xml:space="preserve">APARTAMENTO PARQUE SÃO SEBASTIÃO</t>
  </si>
  <si>
    <t xml:space="preserve">EXCELENTE APARTAMENTO RESIDENCIAL VITTA II   HEITOR RIGON</t>
  </si>
  <si>
    <t xml:space="preserve">Apartamento de 43m² com 02 quartos à venda   Jardim Marchesi</t>
  </si>
  <si>
    <t xml:space="preserve">Apartamento de 48m² com 02 quartos para venda   Parque São Sebastião</t>
  </si>
  <si>
    <t xml:space="preserve">KIT PRÓXIMO À USP</t>
  </si>
  <si>
    <t xml:space="preserve">Apartamento de 42m² com 02 quartos á venda   Planalto Verde</t>
  </si>
  <si>
    <t xml:space="preserve">FLAT MOBILIADO RESIDENCE PLAZA</t>
  </si>
  <si>
    <t xml:space="preserve">Apartamento de 01 quarto para locação   Centro</t>
  </si>
  <si>
    <t xml:space="preserve">APARTAMENTO NO JARDIM MANOEL PENNA</t>
  </si>
  <si>
    <t xml:space="preserve">APARTAMENTO DIFERENCIADO NO GERALDO CORREIA DE CARVALHO</t>
  </si>
  <si>
    <t xml:space="preserve">Apartamento de 02 quartos para venda   Heitor Rigon</t>
  </si>
  <si>
    <t xml:space="preserve">Apartamento de 41m² com 02 quartos para locação e venda   Ipiranga</t>
  </si>
  <si>
    <t xml:space="preserve">Apartamento a Venda no Jardim Jandaia Ribeirão Preto</t>
  </si>
  <si>
    <t xml:space="preserve">Excelente Oportunidade</t>
  </si>
  <si>
    <t xml:space="preserve">R$ 166.500,00</t>
  </si>
  <si>
    <t xml:space="preserve">Apartamento reformado de 41m² com 02 quartos à venda   Ipiranga</t>
  </si>
  <si>
    <t xml:space="preserve">R$ 167.000,00</t>
  </si>
  <si>
    <t xml:space="preserve">Apartamento de 43m² com 02 quartos para venda   Jardim José Wilson Toni</t>
  </si>
  <si>
    <t xml:space="preserve">R$ 168.000,00</t>
  </si>
  <si>
    <t xml:space="preserve">Apartamento com 2 quartos com 53m² com 3 quartos à venda, Jardim Anhanguera</t>
  </si>
  <si>
    <t xml:space="preserve">R$ 168.500,00</t>
  </si>
  <si>
    <t xml:space="preserve">Apartamento de 38m² com 01 quarto à venda   Presidente Medice</t>
  </si>
  <si>
    <t xml:space="preserve">Apartamento de 43m² com 02 quartos para Venda   Adelino Simioni</t>
  </si>
  <si>
    <t xml:space="preserve">R$ 169.000,00</t>
  </si>
  <si>
    <t xml:space="preserve">Apartamento de 47m² com 02 quartos à venda   Residencial Greenville</t>
  </si>
  <si>
    <t xml:space="preserve">EXCELENTE APARTAMENTO NO VALENTINA FIGUEIREDO</t>
  </si>
  <si>
    <t xml:space="preserve">Apartamento de 227m² com 04 suítes para locação   Ilhas do Sul</t>
  </si>
  <si>
    <t xml:space="preserve">R$ 2.760.000,00</t>
  </si>
  <si>
    <t xml:space="preserve">Apartamento de 298m² com 04 suítes para locação e venda   Jardim Olhos D`Água</t>
  </si>
  <si>
    <t xml:space="preserve">Apartamento de 49m² com 01 quartos para locação   Centro</t>
  </si>
  <si>
    <t xml:space="preserve">Apartamento de 41m² com 02 quartos para venda   Reserva Real</t>
  </si>
  <si>
    <t xml:space="preserve">Apartamento com 02 quartos à venda   Recanto das Palmeiras</t>
  </si>
  <si>
    <t xml:space="preserve">APARTAMENTO NO JARDIM EUGÊNIO MENDES LOPES</t>
  </si>
  <si>
    <t xml:space="preserve">APARTAMENTO MOBILIADO NO JARDIM FLORESTAN FERNANDES</t>
  </si>
  <si>
    <t xml:space="preserve">Apartamento de 42 m² com 02 quartos   Jardim Heitor Rigon</t>
  </si>
  <si>
    <t xml:space="preserve">Apartamento térreo de 41m² com 02 quartos à venda   Reserva Real</t>
  </si>
  <si>
    <t xml:space="preserve">Apartamento de 46m² com 02 quartos e varanda no térreo à venda no Ipiranga.</t>
  </si>
  <si>
    <t xml:space="preserve">Apartamento de 02 quartos á venda   Pq. São Sebastião</t>
  </si>
  <si>
    <t xml:space="preserve">Apartamento de 50m² com 1 quarto á venda   Centro</t>
  </si>
  <si>
    <t xml:space="preserve">Apartamento de 48m² com 02 quartos à venda   Parque dos Pinus</t>
  </si>
  <si>
    <t xml:space="preserve">Apartamento de 44m² com 2 quartos à venda   Residencial Greenville</t>
  </si>
  <si>
    <t xml:space="preserve">Apartamento de 43m² com 02 quartos à venda   Santa Marta em Bonfim Paulista</t>
  </si>
  <si>
    <t xml:space="preserve">Apartamento mobiliado de de 31m² para Locação e venda   Vila Virginia</t>
  </si>
  <si>
    <t xml:space="preserve">Apartamento de 42m² com 02 quartos para venda e locação   Planalto Verde</t>
  </si>
  <si>
    <t xml:space="preserve">Apartamento de 43m² com 02 quartos para locação e venda   Chácaras Pedro Corrêa de Carvalho</t>
  </si>
  <si>
    <t xml:space="preserve">Apartamento de 42 m² com 02 quartos   Jardim Itaú</t>
  </si>
  <si>
    <t xml:space="preserve">Apartamento de 43m² com 1 quarto à venda   Centro</t>
  </si>
  <si>
    <t xml:space="preserve">Apartamento térreo de 41m² com 02 quartos e quintal à venda   Reserva Real</t>
  </si>
  <si>
    <t xml:space="preserve">Apartamento de 42m² com 02 quartos à venda e locação   Recreio Anhanguera</t>
  </si>
  <si>
    <t xml:space="preserve">Apartamento de 43m² com 02 quartos à venda   Jardim Interlagos</t>
  </si>
  <si>
    <t xml:space="preserve">Apartamento térreo de 43m² com 02 quartos à venda   Jardim Interlagos</t>
  </si>
  <si>
    <t xml:space="preserve">Apartamento térreo de 42m² com 02 quartos à venda   Vila Abranches</t>
  </si>
  <si>
    <t xml:space="preserve">Apartamento de 35m² com 01 quarto à venda   Vila Amélia</t>
  </si>
  <si>
    <t xml:space="preserve">Apartamento de 39m² com 02 quartos à venda</t>
  </si>
  <si>
    <t xml:space="preserve">Apartamento de 45m² com 02 quartos para locação   Quintino Facci II</t>
  </si>
  <si>
    <t xml:space="preserve">Apartamento de 40m² com 02 quartos à venda   Jardim Heitor Rigon</t>
  </si>
  <si>
    <t xml:space="preserve">APARTAMENTO NO BAIRRO PARQUE SÃO SEBASTIÃO</t>
  </si>
  <si>
    <t xml:space="preserve">Apartamento de 39m² com 01 suíte para locação   Jardim Paulista</t>
  </si>
  <si>
    <t xml:space="preserve">APARTAMENTO NA LAGOINHA</t>
  </si>
  <si>
    <t xml:space="preserve">Apartamento de 42m² com 02 quartos para locação e venda   Planalto Verde</t>
  </si>
  <si>
    <t xml:space="preserve">EXCELENTE APARTAMENTO TÉRREO PARA VENDA EM CONDOMÍNIO FECHADO</t>
  </si>
  <si>
    <t xml:space="preserve">APARTAMENTO PADRÃO, JARDIM FLORESTAN FERNANDES, RIBEIRÃO PRETO SP</t>
  </si>
  <si>
    <t xml:space="preserve">LINDO E ACONCHEGANTE APARTAMENTO VITTA HEITOR RIGON III</t>
  </si>
  <si>
    <t xml:space="preserve">APARTAMENTO RESERVA SUL RESORT</t>
  </si>
  <si>
    <t xml:space="preserve">APARTAMENTO PRÓXIMO À AVENIDA CASTELO BRANCO</t>
  </si>
  <si>
    <t xml:space="preserve">APARTAMENTO NO JARDIM CASTELO BRANCO</t>
  </si>
  <si>
    <t xml:space="preserve">Apartamento de 42m² com 02 quartos à venda   Jardim Santa Cecilia</t>
  </si>
  <si>
    <t xml:space="preserve">IMÓVEL NO IPIRANGA</t>
  </si>
  <si>
    <t xml:space="preserve">APARTAMENTO NO BAIRRO IPIRANGA</t>
  </si>
  <si>
    <t xml:space="preserve">APARTAMENTO NO JOSÉ FIGUEIRA</t>
  </si>
  <si>
    <t xml:space="preserve">Apartamento de 46m² com 02 quartos   Condomínio Residencial Ipiranga</t>
  </si>
  <si>
    <t xml:space="preserve">APARTAMENTO NA RIBERÂNIA</t>
  </si>
  <si>
    <t xml:space="preserve">Apartamento de 02 quartos para venda   Reserva Real</t>
  </si>
  <si>
    <t xml:space="preserve">APARTAMENTO NA VILA MONTE ALEGRE</t>
  </si>
  <si>
    <t xml:space="preserve">APARTAMENTO NO RESIDENCIAL GREENVILLE</t>
  </si>
  <si>
    <t xml:space="preserve">APARTAMENTO NO JARDIM FLORESTAN FERNANDES</t>
  </si>
  <si>
    <t xml:space="preserve">Apartamento de 34m² com 01 quarto para locação   Centro</t>
  </si>
  <si>
    <t xml:space="preserve">APARTAMENTO NO PARQUE CÂNDIDO PORTINARI</t>
  </si>
  <si>
    <t xml:space="preserve">Apartamento No Sumarezinho</t>
  </si>
  <si>
    <t xml:space="preserve">APARTAMENTO TÉRREO PRÓXIMO AO ATACADÃO</t>
  </si>
  <si>
    <t xml:space="preserve">APARTAMENTO PRÓXIMO À RODOVIA ANTÔNIO MACHADO SANTANNA</t>
  </si>
  <si>
    <t xml:space="preserve">APARTAMENTO PRÓXIMO À AVENIDA HENRI NESTLE</t>
  </si>
  <si>
    <t xml:space="preserve">APARTAMENTO PARA ALUGAR NO RIBEIRÃO VERDE</t>
  </si>
  <si>
    <t xml:space="preserve">Apartamento térreo de 43m² com 02 quartos à venda   Vila Virgínia</t>
  </si>
  <si>
    <t xml:space="preserve">APARTAMENTO PRÓXIMO À AVENIDA ALFREDO RAVANELI</t>
  </si>
  <si>
    <t xml:space="preserve">Apartamento de 42m² com 02 quartos para locação   Jardim Santa Cecilia</t>
  </si>
  <si>
    <t xml:space="preserve">Apartamento de 46m² com 02 quartos para venda e locação   Sumarezinho</t>
  </si>
  <si>
    <t xml:space="preserve">APARTAMENTO TÉRREO PRÓXIMO Á RODOVIA ANHANGUERA</t>
  </si>
  <si>
    <t xml:space="preserve">Apartamento de 34 m² com 01 Quarto   Residencial Greenville</t>
  </si>
  <si>
    <t xml:space="preserve">APARTAMENTO NA REGIÃO CENTRAL</t>
  </si>
  <si>
    <t xml:space="preserve">Apartamento de 02 quartos para venda   Vila Seixas</t>
  </si>
  <si>
    <t xml:space="preserve">APARTAMENTO DUPLEX NO CENTRO</t>
  </si>
  <si>
    <t xml:space="preserve">Apartamento de 40m² com 02 quartos à venda   Ipiranga</t>
  </si>
  <si>
    <t xml:space="preserve">Apartamento de 52m² com 02 quartos para venda   Jardim Palma Travassos</t>
  </si>
  <si>
    <t xml:space="preserve">Apartamento de 42m² com 02 quartos à venda   Vila Pompéia</t>
  </si>
  <si>
    <t xml:space="preserve">Apartamento de 43m² com 02 quartos para venda   Residencial Parque dos Servidores</t>
  </si>
  <si>
    <t xml:space="preserve">Ótimo Apartamento próximo à Avenida Bandeirantes</t>
  </si>
  <si>
    <t xml:space="preserve">APARTAMENTO PARA REFORMAR NO BAIRRO REPÚBLICA</t>
  </si>
  <si>
    <t xml:space="preserve">Apartamento de 42 m² com 02 quartos para venda   Via Virginia</t>
  </si>
  <si>
    <t xml:space="preserve">APARTAMENTO PRÓXIMO À USP</t>
  </si>
  <si>
    <t xml:space="preserve">Apartamento de 46m² com 02 quartos à venda   Parque São Sebastião</t>
  </si>
  <si>
    <t xml:space="preserve">APARTAMENTO NO BAIRRO VILA VIRGINIA</t>
  </si>
  <si>
    <t xml:space="preserve">Apartamento de 31m² com 01 quarto à venda   Vila Monte Alegre</t>
  </si>
  <si>
    <t xml:space="preserve">APARTAMENTO TÉRREO PRÓXIMO A JAVARI</t>
  </si>
  <si>
    <t xml:space="preserve">Apartamento de 59m² com 02 quartos   Jardim Independência</t>
  </si>
  <si>
    <t xml:space="preserve">APARTAMENTO NO LAGOINHA</t>
  </si>
  <si>
    <t xml:space="preserve">APARTAMENTO PRÓXIMO Á NOVE DE JULHO</t>
  </si>
  <si>
    <t xml:space="preserve">Apartamento de 47m² com 02 quartos à venda   Jardim Paulistano</t>
  </si>
  <si>
    <t xml:space="preserve">APARTAMENTO PRÓXIMO A AVENIDA CASTELO BRANCO</t>
  </si>
  <si>
    <t xml:space="preserve">EXCELENTE APARTAMENTO RESIDENCIAL ROYAL GARDEN</t>
  </si>
  <si>
    <t xml:space="preserve">Apartamento/Padrão   Residencial   No bairro Jardim Heitor Rigon   Vitta Parque dos Pinus</t>
  </si>
  <si>
    <t xml:space="preserve">APARTAMENTO NO PARQUE ROCHESTER</t>
  </si>
  <si>
    <t xml:space="preserve">R$ 172.000,00</t>
  </si>
  <si>
    <t xml:space="preserve">APARTAMENTO EM ÓTIMA LOCALIZAÇÃO PRÓXIMO AO ATACADÃO</t>
  </si>
  <si>
    <t xml:space="preserve">Apartamento de 40m² com 01 quarto à venda   Parque dos Bandeirantes</t>
  </si>
  <si>
    <t xml:space="preserve">R$ 174.000,00</t>
  </si>
  <si>
    <t xml:space="preserve">Apartamento de 45m² com 02 quartos   Parque dos Lagos</t>
  </si>
  <si>
    <t xml:space="preserve">Apartamento porteira fechada de 34m² com 01 quarto para locação e venda   Greenville</t>
  </si>
  <si>
    <t xml:space="preserve">Apartamento/Padrão   Residencial   No bairro Campos Elíseos</t>
  </si>
  <si>
    <t xml:space="preserve">Apartamento de 49m² com 02 quartos à venda   Ipiranga</t>
  </si>
  <si>
    <t xml:space="preserve">Apartamento de 45m² com 02 quartos à venda   Parque dos Lagos</t>
  </si>
  <si>
    <t xml:space="preserve">Apartamento de 43m² com 02 quartos para venda   Jardim Interlagos</t>
  </si>
  <si>
    <t xml:space="preserve">APARTAMENTO 2 DORMITÓRIOS NO BAIRRO LAGOINHA</t>
  </si>
  <si>
    <t xml:space="preserve">*****LINDO APARTAMENTO******</t>
  </si>
  <si>
    <t xml:space="preserve">Apartamento de 43m² com 02 quartos à venda   Adelino Simioni</t>
  </si>
  <si>
    <t xml:space="preserve">Apartamento de 42m² com 02 quartos à venda   Jardim Cybelli</t>
  </si>
  <si>
    <t xml:space="preserve">Apartamento de 42m² com 02 quartos para locação e venda   Jardim Itaú</t>
  </si>
  <si>
    <t xml:space="preserve">Apartamento de 47m² com 02 quartos à venda   Jardim Helena</t>
  </si>
  <si>
    <t xml:space="preserve">Apartamento térreo de 41m² com 02 quartos para venda e locação   Residencial Jequitibá</t>
  </si>
  <si>
    <t xml:space="preserve">Apartamento de 48m² com 02 quartos para locação   Bonfim Paulista</t>
  </si>
  <si>
    <t xml:space="preserve">Apartamento de 43m² com 02 quartos à venda   Jardim dos Flamboyants</t>
  </si>
  <si>
    <t xml:space="preserve">Apartamento de 40m² com 02 quartos à venda   Lar Canadá</t>
  </si>
  <si>
    <t xml:space="preserve">Apartamento térreo de 40m² com 02 quartos à venda   Recreio Das Acácias</t>
  </si>
  <si>
    <t xml:space="preserve">APARTAMENTO À VENDA NO BAIRRO PARQUE DOS SERVIDORES</t>
  </si>
  <si>
    <t xml:space="preserve">APARTAMENTO NO RESERVA MACAÙBA</t>
  </si>
  <si>
    <t xml:space="preserve">Apartamento no Palacio Imperial</t>
  </si>
  <si>
    <t xml:space="preserve">LINDO APARTAMENTO NO PALÁCIO DE WINDSOR</t>
  </si>
  <si>
    <t xml:space="preserve">APARTAMENTO DIFERENCIADO</t>
  </si>
  <si>
    <t xml:space="preserve">APARTAMENTO MOBILIADO VITTA RIBEIRÃO VERDE</t>
  </si>
  <si>
    <t xml:space="preserve">APARTAMENTO PRÓXIMO AO ATACADÃO DA AVENIDA EDUARDO ANDRÉIA MATARAZZO</t>
  </si>
  <si>
    <t xml:space="preserve">EXCELENTE APARTAMENTO NO VITTA VIA NORTE</t>
  </si>
  <si>
    <t xml:space="preserve">APARTAMENTO PRÓXIMO À RODOVIA LUÍS PIZETA</t>
  </si>
  <si>
    <t xml:space="preserve">APARTAMENTO PRÓXIMO A AV. HENRI NESTLE</t>
  </si>
  <si>
    <t xml:space="preserve">***Ótimo Investimento***</t>
  </si>
  <si>
    <t xml:space="preserve">APARTAMENTO NO JARDIM ANTÁRTICA</t>
  </si>
  <si>
    <t xml:space="preserve">Apartamento de 02 quartos para venda e locação   Ipiranga</t>
  </si>
  <si>
    <t xml:space="preserve">Apartamento de 44m² com 02 quartos à venda   Vila Virgínia</t>
  </si>
  <si>
    <t xml:space="preserve">APARTAMENTO PRÓXIMO À AVENIDA LEÃO XIII</t>
  </si>
  <si>
    <t xml:space="preserve">APARTAMENTO NO RECANTO DAS PALMEIRAS</t>
  </si>
  <si>
    <t xml:space="preserve">R$ 176.000,00</t>
  </si>
  <si>
    <t xml:space="preserve">R$ 178.000,00</t>
  </si>
  <si>
    <t xml:space="preserve">PRÓXIMO À USP</t>
  </si>
  <si>
    <t xml:space="preserve">R$ 169.500,00</t>
  </si>
  <si>
    <t xml:space="preserve">Apartamento de 42m² com 02 quartos para venda   Vila Virgínia</t>
  </si>
  <si>
    <t xml:space="preserve">R$ 179.000,00</t>
  </si>
  <si>
    <t xml:space="preserve">Apartamento de 42m² com 02 quarto à venda   Avelino Alves Palma</t>
  </si>
  <si>
    <t xml:space="preserve">Apartamento de 40m² com 02 quartos à venda   Recreio das Acácias</t>
  </si>
  <si>
    <t xml:space="preserve">Apartamento de 42m² com 02 quartos para venda   Jardim Florestan Fernandes</t>
  </si>
  <si>
    <t xml:space="preserve">Apartamento de 47m² com 02 quartos à venda   Chácaras Pedro Corrêa de Carvalho</t>
  </si>
  <si>
    <t xml:space="preserve">APARTAMENTO TÉRREO JARDIM MANOEL PENNA</t>
  </si>
  <si>
    <t xml:space="preserve">APARTAMENTO PARA VENDA NO BAIRRO JARDIM PAULISTA</t>
  </si>
  <si>
    <t xml:space="preserve">Apartamento de 51m² com 02 quartos à venda   Jardim Palma Travassos</t>
  </si>
  <si>
    <t xml:space="preserve">R$ 179.500,00</t>
  </si>
  <si>
    <t xml:space="preserve">Apartamento mobiliado de 170m² com 03 suítes para locação e venda   Vila do Golfe</t>
  </si>
  <si>
    <t xml:space="preserve">Apartamento de 42m² com 02 quartos à venda   Jardim José Sampaio Júnior</t>
  </si>
  <si>
    <t xml:space="preserve">APARTAMENTO DIFERENCIADO NO SILVIO PASSALACQUA</t>
  </si>
  <si>
    <t xml:space="preserve">Apartamento com 42m²   2 quartos   Vila Abranches.</t>
  </si>
  <si>
    <t xml:space="preserve">R$ 163.000,00</t>
  </si>
  <si>
    <t xml:space="preserve">Apartamento de 64m² com 02 quartos à venda   Planalto Verde</t>
  </si>
  <si>
    <t xml:space="preserve">Apartamento térreo de 43m² com 02 quartos à venda   Chácaras Pedro Corrêa de Carvalho</t>
  </si>
  <si>
    <t xml:space="preserve">R$ 169.900,00</t>
  </si>
  <si>
    <t xml:space="preserve">Apartamento/Padrão   Residencial   No bairro Jardim das Palmeiras   Vitta Recanto da Mata</t>
  </si>
  <si>
    <t xml:space="preserve">Apartamento de 50m² com 01 quartos à venda   Parque Industrial Lagoinha</t>
  </si>
  <si>
    <t xml:space="preserve">Apartamento de 43m² com 02 quartos para locação e venda   Sumarezinho</t>
  </si>
  <si>
    <t xml:space="preserve">APARTAMENTO PRÓXIMO À AVENIDA ANHANGUERA MOBILIADO</t>
  </si>
  <si>
    <t xml:space="preserve">Apartamento de 71m² com 02 quartos à venda   Vila Elisa</t>
  </si>
  <si>
    <t xml:space="preserve">Apartamento de 41m² com 01 quarto para locação   Presidente Médici</t>
  </si>
  <si>
    <t xml:space="preserve">APARTAMENTO NO BAIRRO ADELINO SIMIONI</t>
  </si>
  <si>
    <t xml:space="preserve">Apartamento térreo de 42m² com 02 quartos à venda   Planalto Verde</t>
  </si>
  <si>
    <t xml:space="preserve">Apartamento de 31m² com 01 quarto para locação   Jardim Botânico</t>
  </si>
  <si>
    <t xml:space="preserve">Apartamento térreo de 48m² com 02 quartos para venda   Parque dos Lagos</t>
  </si>
  <si>
    <t xml:space="preserve">Apartamento de 47m² com 02 quartos à venda   Mirante Sul</t>
  </si>
  <si>
    <t xml:space="preserve">Apartamento de 42m² com 02 quartos à venda   Jardim Itaú</t>
  </si>
  <si>
    <t xml:space="preserve">Apartamento de 40m² com 02 quartos à venda   Jardim Cybelli</t>
  </si>
  <si>
    <t xml:space="preserve">Apartamento de 46m² com 2 quartos para locação e venda   Ipiranga</t>
  </si>
  <si>
    <t xml:space="preserve">Apartamento de 42m² com 02 quartos para locação   Valentina Figueiredo</t>
  </si>
  <si>
    <t xml:space="preserve">Apartamento térreo de 40m² com 02 quartos para venda   Reserva Real</t>
  </si>
  <si>
    <t xml:space="preserve">Apartamento de 02 quartos para locação   Reserva Real</t>
  </si>
  <si>
    <t xml:space="preserve">Apartamento de 45m² com 02 quartos   Jardim Castelo Branco</t>
  </si>
  <si>
    <t xml:space="preserve">Apartamento de 43m² com 02 quartos para venda e locação   Jardim Interlagos</t>
  </si>
  <si>
    <t xml:space="preserve">Apartamento reformado de 41m² com 02 quartos à venda   Bairro Reserva Real</t>
  </si>
  <si>
    <t xml:space="preserve">Apartamento de 42m² com 2 quartos à venda   Parque dos Servidores</t>
  </si>
  <si>
    <t xml:space="preserve">Apartamento de 39m² com 02 quartos   Parque São Sebastião</t>
  </si>
  <si>
    <t xml:space="preserve">Apartamento de 42m² com 02 quartos à venda   Recanto das Flores em Bonfim Paulista</t>
  </si>
  <si>
    <t xml:space="preserve">Apartamento térreo de 46m² com 02 quartos à venda   Vila Abranches</t>
  </si>
  <si>
    <t xml:space="preserve">Apartamento de 66m² com 02 quartos à venda   Vila Amélia</t>
  </si>
  <si>
    <t xml:space="preserve">Apartamento de 60m² com 02 quartos para venda   Planalto Verde</t>
  </si>
  <si>
    <t xml:space="preserve">Apartamento de 48m² com 2 quartos   Quali NK Residencial</t>
  </si>
  <si>
    <t xml:space="preserve">Apartamento de 60m² com 02 quartos para locação e venda   Planalto verde</t>
  </si>
  <si>
    <t xml:space="preserve">APARTAMENTO NO BAIRRO VILA ALBERTINA</t>
  </si>
  <si>
    <t xml:space="preserve">Apartamento mobiliado de 01 quarto para locação   Vila Amélia</t>
  </si>
  <si>
    <t xml:space="preserve">LINDO APARTAMENTO NA ZONA NORTE</t>
  </si>
  <si>
    <t xml:space="preserve">APARTAMENTO COM ELEVADOR NO VITTA PRAÇAS DO IPIRANGA</t>
  </si>
  <si>
    <t xml:space="preserve">EXCELENTE APARTAMENTO PARA VENDA NO BAIRRO RESERVA REAL</t>
  </si>
  <si>
    <t xml:space="preserve">APARTAMENTO PRÓXIMO À Av. JOSÉ ANTÔNIO FERRAREZI</t>
  </si>
  <si>
    <t xml:space="preserve">APARTAMENTO TÉRREO NO RESERVA REAL</t>
  </si>
  <si>
    <t xml:space="preserve">SOBRADO EM CONDOMÍNIO, PRÓXIMO À AVENIDA DOM PEDRO I .</t>
  </si>
  <si>
    <t xml:space="preserve">EXCELENTE APARTAMENTO No Manoel Pena</t>
  </si>
  <si>
    <t xml:space="preserve">APARTAMENTO PRÓXIMO A HENRI NESTLÉ</t>
  </si>
  <si>
    <t xml:space="preserve">APARTAMENTO COM 2 DORMITÓRIOS NO PARQUE SÃO SEBASTIÃO</t>
  </si>
  <si>
    <t xml:space="preserve">Apartamento de 02 quartos para locação   Chácaras Pedro Correa de Carvalho</t>
  </si>
  <si>
    <t xml:space="preserve">Lindo apartamento próximo a usp de 1 dormitório com 1 vaga coberta.</t>
  </si>
  <si>
    <t xml:space="preserve">APARTAMENTO NO BAIRRO SUMAREZINHO</t>
  </si>
  <si>
    <t xml:space="preserve">Apartamento de 72m² com 03 quartos para locação e venda   Jardim Independência</t>
  </si>
  <si>
    <t xml:space="preserve">Apartamento de 02 quartos para venda   Lagoinha</t>
  </si>
  <si>
    <t xml:space="preserve">APARTAMENTO PRÓXIMO À AVENIDA PROFESSORA EDUL RANGEL RABELLO</t>
  </si>
  <si>
    <t xml:space="preserve">Apartamento de 47m² com 02 quartos para venda   Campos Elíseos</t>
  </si>
  <si>
    <t xml:space="preserve">ÓTIMO APARTAMENTO NO BAIRRO CAMPOS ELÍSEOS</t>
  </si>
  <si>
    <t xml:space="preserve">EXCELENTE APARTAMENTO PARA LOCAÇÃO E VENDA NO JARDIM MANOEL PENNA</t>
  </si>
  <si>
    <t xml:space="preserve">APARTAMENTO EM BONFIM PAULISTA</t>
  </si>
  <si>
    <t xml:space="preserve">Apartamento de 42m² com 02 quartos   Jardim José Sampaio Júnior</t>
  </si>
  <si>
    <t xml:space="preserve">APARTAMENTO TÉRREO NA RIBERÂNIA</t>
  </si>
  <si>
    <t xml:space="preserve">APARTAMENTO 2 DORMITÓRIOS</t>
  </si>
  <si>
    <t xml:space="preserve">EXCELENTE APARTAMENTO REFORMADO NO HEITOR RIGON</t>
  </si>
  <si>
    <t xml:space="preserve">APARTAMENTO TÉRREO NO JARDIM PALMA TRAVASSOS</t>
  </si>
  <si>
    <t xml:space="preserve">LINDO APARTAMENTO VILA VIRGINIA</t>
  </si>
  <si>
    <t xml:space="preserve">APARTAMENTO TÉRREO NO JARDIM DIVA TARLÁ DE CARVALHO</t>
  </si>
  <si>
    <t xml:space="preserve">APARTAMENTO TÉRREO NO PARQUE DOS LAGOS</t>
  </si>
  <si>
    <t xml:space="preserve">APARTAMENTO PRÓXIMO À RUA NITERÓI</t>
  </si>
  <si>
    <t xml:space="preserve">Apartamento de 37m² com 01 quarto para venda   Parque Industrial Lagoinha</t>
  </si>
  <si>
    <t xml:space="preserve">APARTAMENTO PRÓXIMO À AVENIDA DOM PEDRO I</t>
  </si>
  <si>
    <t xml:space="preserve">Apartamento de 59m² com 03 quartos para venda   Campos Elíseos</t>
  </si>
  <si>
    <t xml:space="preserve">Apartamento de 40m² com 02 quartos à venda   Jardim Helena</t>
  </si>
  <si>
    <t xml:space="preserve">**ÓTIMO APARTAMENTO NO JARDIM INTERLAGOS**</t>
  </si>
  <si>
    <t xml:space="preserve">Apartamento de 44 m² e 2 quartos   Parque São Sebastião</t>
  </si>
  <si>
    <t xml:space="preserve">APARTAMENTO COM LAZER COMPLETO</t>
  </si>
  <si>
    <t xml:space="preserve">APARTAMENTO NO BAIRRO JARDIM PALMA TRAVASSOS</t>
  </si>
  <si>
    <t xml:space="preserve">APARTAMENTO PRÓXIMO À AVENIDA EDUL RANGEL RABELLO</t>
  </si>
  <si>
    <t xml:space="preserve">APARTAMENTO PRÓXIMO À AVENIDA BANDEIRANTES</t>
  </si>
  <si>
    <t xml:space="preserve">Apartamento para venda de 55m² de 02 quartos   Vila Virginia</t>
  </si>
  <si>
    <t xml:space="preserve">APARTAMENTO NO PARQUE DOS SERVIDORES</t>
  </si>
  <si>
    <t xml:space="preserve">Apartamento de 46m² com 02 quartos para venda   Jardim João Rossi</t>
  </si>
  <si>
    <t xml:space="preserve">Apartamento de 01 quarto para locação   Jd. Pres. Médici</t>
  </si>
  <si>
    <t xml:space="preserve">****ÓTIMO APARTAMENTO*****</t>
  </si>
  <si>
    <t xml:space="preserve">Apartamento de 02 quartos para locação   Lagoinha</t>
  </si>
  <si>
    <t xml:space="preserve">Apartamento de 57m² com 01 quarto à venda   Jardim Paulista</t>
  </si>
  <si>
    <t xml:space="preserve">APARTAMENTO NO JARDIM SANTA CECILIA</t>
  </si>
  <si>
    <t xml:space="preserve">Apartamento de 47m² com 01 suíte á venda   Jardim Macedo</t>
  </si>
  <si>
    <t xml:space="preserve">Apartamento de 48m² com 02 quartos à venda   Residencial Jequitibá</t>
  </si>
  <si>
    <t xml:space="preserve">Apartamento de 46m² com 02 quartos para locação   Vila Abranches</t>
  </si>
  <si>
    <t xml:space="preserve">Apartamento de 46 m² com 1 quarto à venda   Centro</t>
  </si>
  <si>
    <t xml:space="preserve">APARTAMENTO PRÓXIMO Á USP</t>
  </si>
  <si>
    <t xml:space="preserve">Apartamento de 45m² com 02 quartos para locação   República</t>
  </si>
  <si>
    <t xml:space="preserve">Apartamento de 44m² com 02 quartos à venda   Residencial Greenville</t>
  </si>
  <si>
    <t xml:space="preserve">EXCELENTE APARTAMENTO PARA LOCAÇÃO E VENDA NO CAMPOS ELÍSEOS</t>
  </si>
  <si>
    <t xml:space="preserve">Apartamento de 58m² com 02 quartps   Jardim Zara</t>
  </si>
  <si>
    <t xml:space="preserve">Apartamento de 47m² com 02 quartos para locação e venda   Parque dos Lagos</t>
  </si>
  <si>
    <t xml:space="preserve">Apartamento de 38m² com 01 quarto para locação   Presidente Medici</t>
  </si>
  <si>
    <t xml:space="preserve">Apartamento de 35m² com 01 quarto para venda   Jardim Califórnia</t>
  </si>
  <si>
    <t xml:space="preserve">APARTAMENTO PRÓXIMO AO RIBEIRÃO SHOPPING</t>
  </si>
  <si>
    <t xml:space="preserve">APARTAMENTO PRÓXIMO À UNAERP</t>
  </si>
  <si>
    <t xml:space="preserve">Apartamento de 46m² com 01 quarto à venda   Parque Industrial Lagoinha</t>
  </si>
  <si>
    <t xml:space="preserve">Apartamento Térreo de 67m² com 02 quartos à venda   Jardim Anhanguera</t>
  </si>
  <si>
    <t xml:space="preserve">Apartamento de 43m² com 02 quartos para locação   Vitta Heitor Rigon III</t>
  </si>
  <si>
    <t xml:space="preserve">R$ 180.200,00</t>
  </si>
  <si>
    <t xml:space="preserve">Apartamento de 45m² com 02 quartos para Locação   Reserva Macaúba</t>
  </si>
  <si>
    <t xml:space="preserve">APARTAMENTO TÉRREO PRÓXIMO À RODOVIA ALEXANDRE BALBO</t>
  </si>
  <si>
    <t xml:space="preserve">Apartamento de 49m² com 02 quartos à venda   Jardim Macedo</t>
  </si>
  <si>
    <t xml:space="preserve">Apartamento de 46m² com 02 quartos para venda   Ribeirânia</t>
  </si>
  <si>
    <t xml:space="preserve">Apartamento de 42m² com 02 quartos à venda   Jardim Maria Goretti</t>
  </si>
  <si>
    <t xml:space="preserve">Apartamento de 41m² com 02 quartos à venda   Jardim Reserva Real</t>
  </si>
  <si>
    <t xml:space="preserve">Apartamento térreo de 48m² à venda   Condomínio Parque Renascer</t>
  </si>
  <si>
    <t xml:space="preserve">APARTAMENTO NO PLANALTO VERDE</t>
  </si>
  <si>
    <t xml:space="preserve">APARTAMENTO NO JARDIM JOSÉ WILSON TONI</t>
  </si>
  <si>
    <t xml:space="preserve">Apartamento de 43m²   Parque dos Servidores</t>
  </si>
  <si>
    <t xml:space="preserve">APARTAMENTO EM ÓTIMA LOCALIZAÇÃO PRÓXIMO A AV. JOSÉ ANTÔNIO FERRAREZI</t>
  </si>
  <si>
    <t xml:space="preserve">Apartamento de 46m² com 02 quartos para locação e venda   Vila Abranches</t>
  </si>
  <si>
    <t xml:space="preserve">APARTAMENTO RIBEIRÃO PRETO</t>
  </si>
  <si>
    <t xml:space="preserve">Apartamento de 49m² com 02 quartos à venda   Jequitibá</t>
  </si>
  <si>
    <t xml:space="preserve">R$ 182.000,00</t>
  </si>
  <si>
    <t xml:space="preserve">Apartamento térreo de 48 m² com 2 quartos à venda   Reserva Real</t>
  </si>
  <si>
    <t xml:space="preserve">APARTAMENTO PRÓXIMO À AVENIDA EDUARDO GOMES DE SOUZA</t>
  </si>
  <si>
    <t xml:space="preserve">Apartamento de 46m² com 02 quartos   Ribeirânia</t>
  </si>
  <si>
    <t xml:space="preserve">Apartamento de 47m² com 02 quartos à venda   Parque São Sebastião</t>
  </si>
  <si>
    <t xml:space="preserve">Apartamento de 52m² com 02 quartos à venda   Jardim José Figueira</t>
  </si>
  <si>
    <t xml:space="preserve">Apartamento de 46m² com 02 quartos à venda   Sumarezinho</t>
  </si>
  <si>
    <t xml:space="preserve">FLAT NO CENTRO MOBILIADO</t>
  </si>
  <si>
    <t xml:space="preserve">APARTAMENTO PRÓXIMO AO CAMPOS ELÍSEOS</t>
  </si>
  <si>
    <t xml:space="preserve">Apartamento de 49m² com 02 quartos para venda   Jardim Palma Travassos</t>
  </si>
  <si>
    <t xml:space="preserve">Apartamento novo de 42 m² com 02 quartos à venda   Quintino Facci II</t>
  </si>
  <si>
    <t xml:space="preserve">Apartamento térreo de 40m² com 02 quartos à venda   Jardim Cybelli</t>
  </si>
  <si>
    <t xml:space="preserve">Apartamento reformado de 40² com 02 quartos para venda   Parque dos Pinus</t>
  </si>
  <si>
    <t xml:space="preserve">Apartamento de 47m² com 02 quartos à venda   Residencial Jequitibá</t>
  </si>
  <si>
    <t xml:space="preserve">Apartamento de 44m² com 02 quartos à venda   Parque Reino da Escócia</t>
  </si>
  <si>
    <t xml:space="preserve">Apartamento com quintal em condomínio com lazer completo</t>
  </si>
  <si>
    <t xml:space="preserve">LINDO APARTAMENTO LAR ESPANHA PREÇO DE OPORTUNIDADE</t>
  </si>
  <si>
    <t xml:space="preserve">APARTAMENTO A VENDA NO PARQUE DOS SERVIDORES</t>
  </si>
  <si>
    <t xml:space="preserve">****OTIMO APARTAMENTO****</t>
  </si>
  <si>
    <t xml:space="preserve">LINDO APARTAMENTO NO JOSÉ FIGUEIRA</t>
  </si>
  <si>
    <t xml:space="preserve">Apartamento térreo de 42m² com 02 quartos à venda   Residencial Parque dos Servidores</t>
  </si>
  <si>
    <t xml:space="preserve">** LINDO APARTAMENTO **</t>
  </si>
  <si>
    <t xml:space="preserve">Apartamento de 51m² térreo com 02 quartos à venda   Residencial Greenville</t>
  </si>
  <si>
    <t xml:space="preserve">***ÓTIMO APARTAMENTO****</t>
  </si>
  <si>
    <t xml:space="preserve">APARTAMENTO NO SUMAREZINHO</t>
  </si>
  <si>
    <t xml:space="preserve">Apartamento de 48m² com 01 suíte para locação   Jardim Irajá</t>
  </si>
  <si>
    <t xml:space="preserve">Apartamento de 38m² com 01 quarto para locação   Vila Ana Maria</t>
  </si>
  <si>
    <t xml:space="preserve">APARTAMENTO PRÓXIMO À UNIP</t>
  </si>
  <si>
    <t xml:space="preserve">R$ 185.500,00</t>
  </si>
  <si>
    <t xml:space="preserve">APARTAMENTO NA AVENIDA CARAMURU</t>
  </si>
  <si>
    <t xml:space="preserve">R$ 186.000,00</t>
  </si>
  <si>
    <t xml:space="preserve">APARTAMENTO NO JARDIM IRAJÁ</t>
  </si>
  <si>
    <t xml:space="preserve">APARTAMENTO NP JARDIM PALMA TRAVASSOS</t>
  </si>
  <si>
    <t xml:space="preserve">APARTAMENTO DIFERENCIADO NO GERALDO DE CARVALHO</t>
  </si>
  <si>
    <t xml:space="preserve">APARTAMENTO NO GREENVILE</t>
  </si>
  <si>
    <t xml:space="preserve">APARTAMENTO NO JARDIM SANTA CELILIA</t>
  </si>
  <si>
    <t xml:space="preserve">APARTAMENTO NO CHÁCARAS PEDRO CORREA DE CARVALHO</t>
  </si>
  <si>
    <t xml:space="preserve">Apartamento térreo de 43m² com 02 quartos à venda   Sumarezinho</t>
  </si>
  <si>
    <t xml:space="preserve">Apartamento de 40 m²  com 2 quartos a venda   Palácio de Versalhes</t>
  </si>
  <si>
    <t xml:space="preserve">R$ 187.000,00</t>
  </si>
  <si>
    <t xml:space="preserve">Apartamento de 47m² com 02 quartos para locação   Campos Elíseos</t>
  </si>
  <si>
    <t xml:space="preserve">Apartamento de 02 dormitórios   Ipiranga</t>
  </si>
  <si>
    <t xml:space="preserve">Apartamento de 39m² com 01 suíte para venda   Vila Seixas</t>
  </si>
  <si>
    <t xml:space="preserve">Apartamento de 46m² com 02 quartos à venda   City Ribeirão</t>
  </si>
  <si>
    <t xml:space="preserve">R$ 189.000,00</t>
  </si>
  <si>
    <t xml:space="preserve">Apartamento de 41m² com 02 quartos para venda   Residencial Jequitibá</t>
  </si>
  <si>
    <t xml:space="preserve">APARTAMENTO NOVO EM CONDOMINIO FECHADO</t>
  </si>
  <si>
    <t xml:space="preserve">Apartamento mobiliado de 49m² com 01 à venda   Centro</t>
  </si>
  <si>
    <t xml:space="preserve">R$ 189.900,00</t>
  </si>
  <si>
    <t xml:space="preserve">Apartamento de 41m² com 02 quartos para venda e locação   Jardim Silvio Passalacqua</t>
  </si>
  <si>
    <t xml:space="preserve">Apartamento de 40m² com 02 quartos para venda   Jardim Itaú</t>
  </si>
  <si>
    <t xml:space="preserve">Apartamento de 58m² com 02 quartos à venda   Planalto Verde</t>
  </si>
  <si>
    <t xml:space="preserve">** Excelente Apartamento **</t>
  </si>
  <si>
    <t xml:space="preserve">APARTAMENTO NOVO PRÓXIMO A AVENIDA PATRIARCA</t>
  </si>
  <si>
    <t xml:space="preserve">Apartamento térreo de 56m² com 02 quartos à venda   Jardim Ouro Branco</t>
  </si>
  <si>
    <t xml:space="preserve">Apartamento de 43m² à venda   Reserva Macaúba</t>
  </si>
  <si>
    <t xml:space="preserve">APARTAMENTO PRÓXIMO À AVENIDA MONTEIRO LOBATO</t>
  </si>
  <si>
    <t xml:space="preserve">Apartamento de 46m² com 01 quarto à venda   Centro</t>
  </si>
  <si>
    <t xml:space="preserve">Apartamento de 56m² com 02 quartos à venda   Chácaras Pedro Corrêa de Carvalho</t>
  </si>
  <si>
    <t xml:space="preserve">Apartamento de 39m² com 01 quarto à venda   Vila Ana Maria</t>
  </si>
  <si>
    <t xml:space="preserve">R$ 188.000,00</t>
  </si>
  <si>
    <t xml:space="preserve">Apartamento terreo de 42m² com 02 quartos à venda   Jardim Santa Cecilia</t>
  </si>
  <si>
    <t xml:space="preserve">Apartamento 58m² com 02 quartos   Jardim Paulistano</t>
  </si>
  <si>
    <t xml:space="preserve">Apartamento de 48 m² 2 quartos   a venda no Ipiranga</t>
  </si>
  <si>
    <t xml:space="preserve">Apartamento de 58m² com 03 quartos à venda   Campos Eliseos</t>
  </si>
  <si>
    <t xml:space="preserve">Apartamento de 48m² com 2 quartos à venda   Parque dos Lagos</t>
  </si>
  <si>
    <t xml:space="preserve">Apartamento de 67m² com 02 quartos sendo 01 suíte à venda   Ipiranga</t>
  </si>
  <si>
    <t xml:space="preserve">Apartamento de 43m² com 02 quartos à venda   Bonfim Paulista</t>
  </si>
  <si>
    <t xml:space="preserve">Apartamento de 43m² com 02 quartos à venda   Vila Mariana</t>
  </si>
  <si>
    <t xml:space="preserve">Apartamento de 49m² com 02 quartos à venda   Jardim Palma Travassos</t>
  </si>
  <si>
    <t xml:space="preserve">Apartamento de 42m² com 02 quartos   Jardim Santa Cecília</t>
  </si>
  <si>
    <t xml:space="preserve">ÓTIMO APARTAMENTO NO BAIRRO PARQUE DOS PINUS</t>
  </si>
  <si>
    <t xml:space="preserve">Apartamento de 48m² com 02 quartos   Vila Monte Alegre</t>
  </si>
  <si>
    <t xml:space="preserve">Apartamento de 35m² com 01 quarto para locação e venda   Vila Amélia</t>
  </si>
  <si>
    <t xml:space="preserve">Apartamento de 47m² com 02 quartos   Chácaras Pedro Corrêa de Carvalho</t>
  </si>
  <si>
    <t xml:space="preserve">APARTAMENTO NO JARDIM CALIFÓRNIA</t>
  </si>
  <si>
    <t xml:space="preserve">Apartamento de 46m² com 02 quartos à venda e locação   Ipiranga</t>
  </si>
  <si>
    <t xml:space="preserve">Apartamento de 53m² com 02 quartos no Paulistano</t>
  </si>
  <si>
    <t xml:space="preserve">Apartamento de 39m² com 01 quarto à venda   Jardim Paulista</t>
  </si>
  <si>
    <t xml:space="preserve">Apartamento duplex   Centro</t>
  </si>
  <si>
    <t xml:space="preserve">Apartamento de 42m² com 02 dormitórios para locação e venda   Parque São Sebastião</t>
  </si>
  <si>
    <t xml:space="preserve">EXCELENTE APARTAMENTO PARA LOCAÇÃO NO PARQUE DOS PINUS</t>
  </si>
  <si>
    <t xml:space="preserve">APARTAMENTO PRÓXIMO À AVENIDA ANTÔNIO E HELENA ZERRENER</t>
  </si>
  <si>
    <t xml:space="preserve">APARTAMENTO NOVO PRÓXIMO HENRI NESTLÉ</t>
  </si>
  <si>
    <t xml:space="preserve">Apartamento semi mobiliado de 45m² com 02 quartos para locação e venda   Parque dos Lagos</t>
  </si>
  <si>
    <t xml:space="preserve">Apartamento de 42m² com 02 quartos à venda   Jardim Florestan Fernandes</t>
  </si>
  <si>
    <t xml:space="preserve">****LINDO APARTAMENTO NO IPIRANGA****</t>
  </si>
  <si>
    <t xml:space="preserve">Apartamento térreo de 49m² com 02 quarto à venda   Residencial Jequitibá</t>
  </si>
  <si>
    <t xml:space="preserve">Apartamento para venda de 03 quartos   Ipiranga</t>
  </si>
  <si>
    <t xml:space="preserve">Apartamento de 01 quarto para locação   Lagoinha</t>
  </si>
  <si>
    <t xml:space="preserve">Apartamento de 40m² com 01 quartos à venda   Jardim Califórnia</t>
  </si>
  <si>
    <t xml:space="preserve">**Lindo Apartamento**</t>
  </si>
  <si>
    <t xml:space="preserve">APARTAMENTO PRÓXIMO À RUA JOÃO BIM</t>
  </si>
  <si>
    <t xml:space="preserve">EXCELENTE APARTAMENTO CENTRO 1 DORMITÓRIO</t>
  </si>
  <si>
    <t xml:space="preserve">Apartamento de 01 quarto para locação   Jd. Palma Travassos</t>
  </si>
  <si>
    <t xml:space="preserve">Apartamento de 37m² com 01 suíte à venda   Jardim Irajá</t>
  </si>
  <si>
    <t xml:space="preserve">APARTAMENTO PARA LOCAÇÃO NO BAIRRO JARDIM IRAJÁ</t>
  </si>
  <si>
    <t xml:space="preserve">Apartamento de 40m² com 01 quarto para venda   Vila Seixas</t>
  </si>
  <si>
    <t xml:space="preserve">Apartamento de 71m² com 02 quartos à venda   Jardim Zara</t>
  </si>
  <si>
    <t xml:space="preserve">Apartamento de 01 quarto para venda   Jardim Irajá</t>
  </si>
  <si>
    <t xml:space="preserve">APARTAMENTO MOBILIADO PRÓXIMO À AVENIDA CASTELO BRANCO</t>
  </si>
  <si>
    <t xml:space="preserve">Apartamento de 40m² com 02 quartos à venda   Reserva São José</t>
  </si>
  <si>
    <t xml:space="preserve">R$ 190.800,00</t>
  </si>
  <si>
    <t xml:space="preserve">Apartamento de 45m² com 01 quarto à venda   Jardim Antártica</t>
  </si>
  <si>
    <t xml:space="preserve">EXCELENTE APARTAMENTO PARA VENDA NA ZONA SUL DE RIBEIRÃO PRETO</t>
  </si>
  <si>
    <t xml:space="preserve">Apartamento de 42m² com 02 quartos para locação   Campos Elíseos</t>
  </si>
  <si>
    <t xml:space="preserve">Apartamento térreo de 55m² com 02 quartos à venda   Vila Virginia</t>
  </si>
  <si>
    <t xml:space="preserve">APARTAMENTO NO RESIDENCIAL GREENVILE</t>
  </si>
  <si>
    <t xml:space="preserve">EXCELENTE APARTAMENTO TÉRREO PARA LOCAÇÃO NO BAIRRO VILA TAMANDARÉ</t>
  </si>
  <si>
    <t xml:space="preserve">APARTAMENTO TÉRREO EM BONFIM PAULISTA</t>
  </si>
  <si>
    <t xml:space="preserve">Apartamento de 74m² com 03 quartos para Venda   Residencial e Comercial Palmares</t>
  </si>
  <si>
    <t xml:space="preserve">APARTAMENTO PRÓXIMO À RUA JOÃO TONIOLI</t>
  </si>
  <si>
    <t xml:space="preserve">APARTAMENTO COM LOCALIZAÇÃO PRIVILEGIADA PRÓXIMO AO RIBEIRÃO SHOPPING</t>
  </si>
  <si>
    <t xml:space="preserve">APARTAMENTO NO PRESIDENTE MEDICI</t>
  </si>
  <si>
    <t xml:space="preserve">APARTAMENTO PRÓX A AV DOM PEDRO</t>
  </si>
  <si>
    <t xml:space="preserve">Apartamento de 42m² 01 quarto para locação   Residencial Florida</t>
  </si>
  <si>
    <t xml:space="preserve">Apartamento de 60m² com 02 quartos para venda   Planalto verde</t>
  </si>
  <si>
    <t xml:space="preserve">Apartamento de 41m² com 02 quartos à venda   Reserva Imperial</t>
  </si>
  <si>
    <t xml:space="preserve">OPORTUNIDADE APARTAMENTO TÉRREO PRÓXIMO A BANANAL</t>
  </si>
  <si>
    <t xml:space="preserve">R$ 192.000,00</t>
  </si>
  <si>
    <t xml:space="preserve">Apartamento de 48m² com 02 quartos á venda   Ipiranga</t>
  </si>
  <si>
    <t xml:space="preserve">Apartamento de 40m² com 02 quartos para venda   Jardim Cybelli</t>
  </si>
  <si>
    <t xml:space="preserve">Apartamento de 51m² com 02 quartos para venda e locação   Presidente Médici</t>
  </si>
  <si>
    <t xml:space="preserve">EXCELENTE APARTAMENTO PARA VENDA NO BAIRRO RECANTO DA LAGOINHA</t>
  </si>
  <si>
    <t xml:space="preserve">APARTAMENTO À VENDA NO PARQUE SÃO SEBASTIÃO</t>
  </si>
  <si>
    <t xml:space="preserve">APARTAMENTO PRÓXIMO À AVENIDA DOUTOR FRANCISCO JUNQUEIRA</t>
  </si>
  <si>
    <t xml:space="preserve">EXCELENTE APARTAMENTO RESIDENCIAL 2 DORMITÓRIOS</t>
  </si>
  <si>
    <t xml:space="preserve">Apartamento de 32m² 01 quarto para locação   Bonfim Paulista</t>
  </si>
  <si>
    <t xml:space="preserve">EXCELENTE APARTAMENTO À VENDA NO BAIRRO VILA TIBÉRIO</t>
  </si>
  <si>
    <t xml:space="preserve">Apartamento de 01 quarto para locação   Ana Maria</t>
  </si>
  <si>
    <t xml:space="preserve">LINDO APARTAMENTO NO PARQUE DOS LAGOS</t>
  </si>
  <si>
    <t xml:space="preserve">APARTAMENTO NO GREENVILLE</t>
  </si>
  <si>
    <t xml:space="preserve">Apartamento de 38m² com 01 quarto para venda   Parque Industrial Lagoinha</t>
  </si>
  <si>
    <t xml:space="preserve">Apartamento de 40m² com 02 quartos à venda   Jardim do Trêvo</t>
  </si>
  <si>
    <t xml:space="preserve">Apartamento de 49m² com 01 dormitório à venda   Centro</t>
  </si>
  <si>
    <t xml:space="preserve">Apartamento de 60m² com 02 quartos à venda   Planalto Verde</t>
  </si>
  <si>
    <t xml:space="preserve">Apartamento de 69m² com 02 quartos para locação e venda   Ipiranga</t>
  </si>
  <si>
    <t xml:space="preserve">Apartamento de 45m² com 02 quartos à venda   Jardim Manoel Penna</t>
  </si>
  <si>
    <t xml:space="preserve">Apartamento de 42m² com 02 quartos   Parque Industrial Lagoinha   Condomínio Lar México</t>
  </si>
  <si>
    <t xml:space="preserve">Apartamento de 49m² com 01 quarto à venda   Centro</t>
  </si>
  <si>
    <t xml:space="preserve">Apartamento de 42m² mobiliado com 02 quartos para venda e locação   Vila Virgínia</t>
  </si>
  <si>
    <t xml:space="preserve">EXCELENTE APARTAMENTO EM BONFIM PAULISTA</t>
  </si>
  <si>
    <t xml:space="preserve">Apartamento de 46m² com 01 quarto à venda  Jardim Paulista</t>
  </si>
  <si>
    <t xml:space="preserve">Apartamento Vila Virginia</t>
  </si>
  <si>
    <t xml:space="preserve">Apartamento de 42m² com 02 quartos para venda   Bonfim Paulista</t>
  </si>
  <si>
    <t xml:space="preserve">APARTAMENTO PRÓXIMO À AVENIDA PORTUGAL</t>
  </si>
  <si>
    <t xml:space="preserve">Apartamento de 43m² com 02 quartos á venda   Jardim Interlagos</t>
  </si>
  <si>
    <t xml:space="preserve">Imóvel próximo ao Buffet Alphaville</t>
  </si>
  <si>
    <t xml:space="preserve">APARTAMENTO PRÓXIMO AO PARQUE CARLOS RAYA</t>
  </si>
  <si>
    <t xml:space="preserve">Apartamento de 44m² de 01 quarto à venda   Jardim Paulistano</t>
  </si>
  <si>
    <t xml:space="preserve">Apartamento de 01 quarto para locação   Nova Aliança</t>
  </si>
  <si>
    <t xml:space="preserve">Apartamento de 41m² com 01 quarto à venda   Vila Amélia</t>
  </si>
  <si>
    <t xml:space="preserve">Apartamento de 47m² com 02 quartos à venda   Jardim Helena;</t>
  </si>
  <si>
    <t xml:space="preserve">R$ 196.000,00</t>
  </si>
  <si>
    <t xml:space="preserve">Apartamento de 31m² com 01 quarto para locação   Jardim Irajá</t>
  </si>
  <si>
    <t xml:space="preserve">Apartamento de 48m² com 02 quartos à venda   Geraldo Correia de Carvalho</t>
  </si>
  <si>
    <t xml:space="preserve">APARTAMENTO PARQUE DOS LAGOS</t>
  </si>
  <si>
    <t xml:space="preserve">Apartamento de 41m² com 02 quartos à venda   Residencial Jequitibá</t>
  </si>
  <si>
    <t xml:space="preserve">Apartamento de 41m² com 01 quarto à venda   Parque São Sebastião</t>
  </si>
  <si>
    <t xml:space="preserve">Apartamento de 40m com 01 quarto à venda   Parque dos Bandeirantes</t>
  </si>
  <si>
    <t xml:space="preserve">APARTAMENTO TÉRREO, PRÓXIMO À RODOVIA ANHANGUERA</t>
  </si>
  <si>
    <t xml:space="preserve">APARTAMENTO NA VILA ANA MARIA</t>
  </si>
  <si>
    <t xml:space="preserve">**LANÇAMENTO NO PARQUE DOS SERVIDORES**</t>
  </si>
  <si>
    <t xml:space="preserve">R$ 198.500,00</t>
  </si>
  <si>
    <t xml:space="preserve">Apartamento de 50 m² com 2 quartos e Piscina para venda no Jardim Anhanguera.</t>
  </si>
  <si>
    <t xml:space="preserve">Apartamento de 44m² com 01 quarto para venda   Nova Aliança</t>
  </si>
  <si>
    <t xml:space="preserve">Apartamento de 42m² com 01 quarto à venda   Nova Aliança</t>
  </si>
  <si>
    <t xml:space="preserve">Apartamento de 02 quartos para locação   Ipiranga</t>
  </si>
  <si>
    <t xml:space="preserve">Apartamento de 45m² com 02 quartos para venda   Sumarezinho</t>
  </si>
  <si>
    <t xml:space="preserve">Apartamento de 69m² com 01 quarto à venda   Centro</t>
  </si>
  <si>
    <t xml:space="preserve">R$ 276.000,00</t>
  </si>
  <si>
    <t xml:space="preserve">Apartamento de 105m² com 02 suítes para locação e venda   Parque Industrial Lagoinha</t>
  </si>
  <si>
    <t xml:space="preserve">Apartamento de 46m² com 02 quartos para locação   Nova Aliança</t>
  </si>
  <si>
    <t xml:space="preserve">R$ 373.000,00</t>
  </si>
  <si>
    <t xml:space="preserve">Apartamento de 57m² com 02 quartos à venda   Planalto Verde</t>
  </si>
  <si>
    <t xml:space="preserve">Apartamento de 61m² com 03 quartos para locação   Alto da Boa Vista</t>
  </si>
  <si>
    <t xml:space="preserve">R$ 243.800,00</t>
  </si>
  <si>
    <t xml:space="preserve">Apartamento de 66m² com 03 quartos sendo 01 suíte à venda   Parque Industrial Lagoinha</t>
  </si>
  <si>
    <t xml:space="preserve">Apartamento de 59m² com 01 quarto para a locação e venda   Centro</t>
  </si>
  <si>
    <t xml:space="preserve">Apartamento de 79m² com 03 quartos para locação e venda   Nova Ribeirânia</t>
  </si>
  <si>
    <t xml:space="preserve">R$ 319.000,00</t>
  </si>
  <si>
    <t xml:space="preserve">Apartamento de 85m² com 02 quartos para locação e venda   Jardim Palma Travassos</t>
  </si>
  <si>
    <t xml:space="preserve">Apartamento de 63m² com 02 quartos para venda e locação   Campos Elíseos</t>
  </si>
  <si>
    <t xml:space="preserve">Apartamento de 53m² com 02 quartos para locação e venda   Nova Aliança</t>
  </si>
  <si>
    <t xml:space="preserve">Apartamento de 33m² com 01 quarto para venda   Ribeirânia</t>
  </si>
  <si>
    <t xml:space="preserve">R$ 370.000,00</t>
  </si>
  <si>
    <t xml:space="preserve">Apartamento de 62m² com 02 quartos para locação e venda   Loteamento Santa Marta</t>
  </si>
  <si>
    <t xml:space="preserve">R$ 400.000,00</t>
  </si>
  <si>
    <t xml:space="preserve">R$ 550.000,00</t>
  </si>
  <si>
    <t xml:space="preserve">Apartamento de 138 m² com 03 quartos   Jardim Sumaré.</t>
  </si>
  <si>
    <t xml:space="preserve">R$ 560.000,00</t>
  </si>
  <si>
    <t xml:space="preserve">Apartamento de 281m² com 04 suítes à venda   Jardim Irajá</t>
  </si>
  <si>
    <t xml:space="preserve">Apartamento de 180m² com 03 suítes à venda   Residencial Alto do Ipê</t>
  </si>
  <si>
    <t xml:space="preserve">Apartamento de 254m² com 03 quartos à venda   Jardim Olhos D`Água II</t>
  </si>
  <si>
    <t xml:space="preserve">R$ 2.018.186,00</t>
  </si>
  <si>
    <t xml:space="preserve">Apartamento de 254m² com 04 quartos à venda   Jardim Olhos D`Água II</t>
  </si>
  <si>
    <t xml:space="preserve">R$ 2.073.602,00</t>
  </si>
  <si>
    <t xml:space="preserve">Apartamento mobiliado de 45m² com 02 quartos para venda e locação   Vila Guiomar</t>
  </si>
  <si>
    <t xml:space="preserve">R$ 279.000,00</t>
  </si>
  <si>
    <t xml:space="preserve">Apartamento de 50m² com 01 quarto para locação  Alto da Boa Vista</t>
  </si>
  <si>
    <t xml:space="preserve">Apartamento de 125m² com 03 quartos   Centro</t>
  </si>
  <si>
    <t xml:space="preserve">R$ 580.000,00</t>
  </si>
  <si>
    <t xml:space="preserve">Apartamento de 137m² com 03 quartos à venda   Jardim São Luiz</t>
  </si>
  <si>
    <t xml:space="preserve">Apartamento de 237m² com 03 suítes à venda   Ilhas do Sul</t>
  </si>
  <si>
    <t xml:space="preserve">R$ 1.900.000,00</t>
  </si>
  <si>
    <t xml:space="preserve">Apartamento de 237m² com 03 quartos para à venda   Jardim Ilhas do Sul</t>
  </si>
  <si>
    <t xml:space="preserve">Apartamento de 237m² com 03 quartos para locação e venda   Jardim Ilhas do Sul</t>
  </si>
  <si>
    <t xml:space="preserve">R$ 2.120.000,00</t>
  </si>
  <si>
    <t xml:space="preserve">Lançamento: Léman View   Apartamento de 236m² com 03 suítes à venda   Ilhas do Sul</t>
  </si>
  <si>
    <t xml:space="preserve">R$ 2.128.320,00</t>
  </si>
  <si>
    <t xml:space="preserve">Apartamento de 281m² com 03 suítes à venda   Jardim Irajá</t>
  </si>
  <si>
    <t xml:space="preserve">Lançamento Artse   Apartamento de 237m² com 04 suítes à venda   Jardim Ilhas do Sul</t>
  </si>
  <si>
    <t xml:space="preserve">R$ 2.169.998,87</t>
  </si>
  <si>
    <t xml:space="preserve">Apartamento de 158m² com 04 quartos para locação e venda   Centro</t>
  </si>
  <si>
    <t xml:space="preserve">Apartamento de 35m² com 01 quartos para locação e venda   Vila Seixas</t>
  </si>
  <si>
    <t xml:space="preserve">Apartamento mobiliado de 01 quarto com 46m² para locação   Jd Botânico</t>
  </si>
  <si>
    <t xml:space="preserve">Apartamento de 60m² com 2 quartos à venda   Jardim Paulista</t>
  </si>
  <si>
    <t xml:space="preserve">Flat mobiliado de 32m² com 01 quarto para locação e venda   Nova Aliança</t>
  </si>
  <si>
    <t xml:space="preserve">R$ 375.000,00</t>
  </si>
  <si>
    <t xml:space="preserve">Apartamento de 72m² com 02 quartos sendo 01 suíte para locação   Santa Cruz do José Jacques</t>
  </si>
  <si>
    <t xml:space="preserve">R$ 390.000,00</t>
  </si>
  <si>
    <t xml:space="preserve">Apartamento de 107m² com 03 quartos para venda e locação   Centro</t>
  </si>
  <si>
    <t xml:space="preserve">Apartamento de 47m² com 02 quartos á venda   Alto do Ipiranga</t>
  </si>
  <si>
    <t xml:space="preserve">Apartamento de 140m² com 03 suítes para venda   Jardim Botânico</t>
  </si>
  <si>
    <t xml:space="preserve">Apartamento de 292m² com 04 suítes à venda   Jardim Botânico</t>
  </si>
  <si>
    <t xml:space="preserve">R$ 2.250.000,00</t>
  </si>
  <si>
    <t xml:space="preserve">R$ 2.256.798,82</t>
  </si>
  <si>
    <t xml:space="preserve">Apartamento de 140m² com 02 quartos sendo 01 suíte para locação   Nova Aliança</t>
  </si>
  <si>
    <t xml:space="preserve">R$ 410.000,00</t>
  </si>
  <si>
    <t xml:space="preserve">Apartamento de 254m² com 03 suítes à venda   Jardim Olhos D`Água</t>
  </si>
  <si>
    <t xml:space="preserve">R$ 2.294.824,00</t>
  </si>
  <si>
    <t xml:space="preserve">Apartamento de 49m² com 02 quartos para locação e venda   Jardim Novo Mundo</t>
  </si>
  <si>
    <t xml:space="preserve">R$ 265.000,00</t>
  </si>
  <si>
    <t xml:space="preserve">Apartamento de 39m² com 01 quarto para locação e venda   Nova Aliança</t>
  </si>
  <si>
    <t xml:space="preserve">Apartamento mobiliado de 47 m² com 02 quartos para locação e venda   Condomínio Mirante Sul.</t>
  </si>
  <si>
    <t xml:space="preserve">R$ 295.000,00</t>
  </si>
  <si>
    <t xml:space="preserve">Apartamento de 44m² com 01 quarto para locação e venda   Nova Aliança</t>
  </si>
  <si>
    <t xml:space="preserve">Apartamento de 03 quartos para locação   Centro</t>
  </si>
  <si>
    <t xml:space="preserve">R$ 650.000,00</t>
  </si>
  <si>
    <t xml:space="preserve">Apartamento de 82m² com 03 quartos para locação   Parque Anhangüera</t>
  </si>
  <si>
    <t xml:space="preserve">Apartamento de 65m² com 03 quartos à venda   Sumarezinho</t>
  </si>
  <si>
    <t xml:space="preserve">R$ 424.000,00</t>
  </si>
  <si>
    <t xml:space="preserve">Apartamento de 57m² com 02 quartos   Vila Tibério</t>
  </si>
  <si>
    <t xml:space="preserve">R$ 305.000,00</t>
  </si>
  <si>
    <t xml:space="preserve">Apartamento para locação com 3 quartos   Jardim Irajá</t>
  </si>
  <si>
    <t xml:space="preserve">Apartamento de 63m² com 02 quartos para locação e venda   Jardim Botânico</t>
  </si>
  <si>
    <t xml:space="preserve">R$ 386.000,00</t>
  </si>
  <si>
    <t xml:space="preserve">Apartamento de 78m² com 02 quartos para locação e venda   Bonfim Paulista</t>
  </si>
  <si>
    <t xml:space="preserve">R$ 382.000,00</t>
  </si>
  <si>
    <t xml:space="preserve">Apartamento de 94m² com 03 quartos para locação e venda   Ribeirânia</t>
  </si>
  <si>
    <t xml:space="preserve">Apartamento de 74m² com 02 quartos à venda   Santa Cruz do José Jacques</t>
  </si>
  <si>
    <t xml:space="preserve">R$ 405.000,00</t>
  </si>
  <si>
    <t xml:space="preserve">Apartamento de 71m² com 02 quartos para locação e venda   Jardim Botânico</t>
  </si>
  <si>
    <t xml:space="preserve">R$ 425.000,00</t>
  </si>
  <si>
    <t xml:space="preserve">R$ 2.452.598,00</t>
  </si>
  <si>
    <t xml:space="preserve">Apartamento de 298m² com 04 quartos à venda   Jardim Olhos D`Água II</t>
  </si>
  <si>
    <t xml:space="preserve">R$ 2.479.791,00</t>
  </si>
  <si>
    <t xml:space="preserve">Apartamento de 51m² com 02 quartos para locação e venda   Jardim Novo Mundo</t>
  </si>
  <si>
    <t xml:space="preserve">R$ 2.499.000,00</t>
  </si>
  <si>
    <t xml:space="preserve">Apartamento 44m² com 01 quarto para locação   Centro</t>
  </si>
  <si>
    <t xml:space="preserve">Apartamento de 72m² com 02 quartos sendo 1 suíte porteira fechada   Parque dos Bandeirantes</t>
  </si>
  <si>
    <t xml:space="preserve">Apartamento de 46m² com 01 quartos para venda e locação   Jardim Botânico</t>
  </si>
  <si>
    <t xml:space="preserve">Apartamento de 168m² com 04 quartos para locação e venda   Centro</t>
  </si>
  <si>
    <t xml:space="preserve">Apartamento de 55m² com 02 quartos para locação e venda   Iguatemi</t>
  </si>
  <si>
    <t xml:space="preserve">Apartamento mobiliado de 31m² com 01 quarto para locação e venda   Ribeirânia</t>
  </si>
  <si>
    <t xml:space="preserve">Apartamento de 45m² com 02 quartos para locação e venda   Bonfim Paulista</t>
  </si>
  <si>
    <t xml:space="preserve">Apartamento de 113m² com 03 quartos para locação e venda   Centro</t>
  </si>
  <si>
    <t xml:space="preserve">Apartamento de 80m² com 02 quartos à venda   Vila Tibério</t>
  </si>
  <si>
    <t xml:space="preserve">Apartamento de 71m² com 02 quartos sendo 01 suíte para locação e venda   Bonfim Paulista</t>
  </si>
  <si>
    <t xml:space="preserve">Apartamento de 111m² com 03 quartos para venda e locação   Alto da Boa Vista</t>
  </si>
  <si>
    <t xml:space="preserve">R$ 460.000,00</t>
  </si>
  <si>
    <t xml:space="preserve">Apartamento de 75m² com 02 quartos para locação e venda   Nova Aliança</t>
  </si>
  <si>
    <t xml:space="preserve">R$ 480.000,00</t>
  </si>
  <si>
    <t xml:space="preserve">Apartamento de 102m² com 03 quartos para locação e venda   Vila Ana Maria</t>
  </si>
  <si>
    <t xml:space="preserve">Apartamento de 82m² com 02 quartos à venda   Jardim Nova Aliança Sul</t>
  </si>
  <si>
    <t xml:space="preserve">R$ 520.000,00</t>
  </si>
  <si>
    <t xml:space="preserve">Apartamento de 53m² com 02 quartos sendo 01 suíte para locação e venda   Nova Aliança</t>
  </si>
  <si>
    <t xml:space="preserve">Apartamento de 134m² com 03 quartos para locação   Jardim Sumaré</t>
  </si>
  <si>
    <t xml:space="preserve">R$ 530.000,00</t>
  </si>
  <si>
    <t xml:space="preserve">Apartamento de 212m² com 03 quartos para locação e venda   Centro</t>
  </si>
  <si>
    <t xml:space="preserve">R$ 780.000,00</t>
  </si>
  <si>
    <t xml:space="preserve">Apartamento duplex de 239m² com 03 suítes à venda   Jardim Canadá</t>
  </si>
  <si>
    <t xml:space="preserve">Apartamento de 367m² com 04 quartos à venda   Jardim Olhos D`Água</t>
  </si>
  <si>
    <t xml:space="preserve">R$ 2.572.110,00</t>
  </si>
  <si>
    <t xml:space="preserve">Apartamento de 54m² com 01 suíte para locação e venda   Jardim São Luiz</t>
  </si>
  <si>
    <t xml:space="preserve">Apartamento de 152m² com 03 suítes à venda   Centro</t>
  </si>
  <si>
    <t xml:space="preserve">APARTAMENTO NO GRAND PRIVILEGE</t>
  </si>
  <si>
    <t xml:space="preserve">R$ 2.699.000,00</t>
  </si>
  <si>
    <t xml:space="preserve">Apartamento de 83m² com 02 quartos para locação e venda   Nova Aliança</t>
  </si>
  <si>
    <t xml:space="preserve">Apartamento de 49m² com 02 quartos para locação e venda   Jardim Olhos D`Água</t>
  </si>
  <si>
    <t xml:space="preserve">R$ 470.000,00</t>
  </si>
  <si>
    <t xml:space="preserve">Apartamento de 59m² com 02 quartos para locação e venda   Ribeirânia</t>
  </si>
  <si>
    <t xml:space="preserve">R$ 479.000,00</t>
  </si>
  <si>
    <t xml:space="preserve">Apartamento de 112m² com 03 quartos para venda   Nova Aliança</t>
  </si>
  <si>
    <t xml:space="preserve">R$ 615.000,00</t>
  </si>
  <si>
    <t xml:space="preserve">Apartamento de 55m² com 02 quartos para venda e locação   Iguatemi</t>
  </si>
  <si>
    <t xml:space="preserve">R$ 385.000,00</t>
  </si>
  <si>
    <t xml:space="preserve">Apartamento à venda com 02 quartos sendo 01 suíte   Vila Ana Maria</t>
  </si>
  <si>
    <t xml:space="preserve">R$ 2.797.600,00</t>
  </si>
  <si>
    <t xml:space="preserve">Apartamento de 83m² com 02 quartos para locação e venda   Vila Seixas</t>
  </si>
  <si>
    <t xml:space="preserve">R$ 477.000,00</t>
  </si>
  <si>
    <t xml:space="preserve">Apartamento de 64m² com 02 quartos para locação e venda   Vila Monte Alegre</t>
  </si>
  <si>
    <t xml:space="preserve">Apartamento de 109m² com 03 quartos para locação   Parque dos Bandeirantes</t>
  </si>
  <si>
    <t xml:space="preserve">Apartamento de 134m² com 03 quartos sendo 01 suíte para locação   Jardim Sumaré</t>
  </si>
  <si>
    <t xml:space="preserve">Apartamento de 35m² com 01 quarto para locação   Jardim Botânico</t>
  </si>
  <si>
    <t xml:space="preserve">Apartamento de 77m² com 02 quartos para locação   Jardim Nova Aliança Sul</t>
  </si>
  <si>
    <t xml:space="preserve">Apartamento de 92m² com 02 suítes para locação e venda   Jardim Botânico</t>
  </si>
  <si>
    <t xml:space="preserve">Apartamento de 56m² com 02 quartos para locação e venda   Bosque das Juritis</t>
  </si>
  <si>
    <t xml:space="preserve">Apartamento de 03 quartos para locação   Jardim Botânico</t>
  </si>
  <si>
    <t xml:space="preserve">R$ 600.000,00</t>
  </si>
  <si>
    <t xml:space="preserve">Apartamento de 283m² com 04 suítes à venda   Jardim Ilhas do Sul</t>
  </si>
  <si>
    <t xml:space="preserve">R$ 2.824.710,00</t>
  </si>
  <si>
    <t xml:space="preserve">R$ 395.000,00</t>
  </si>
  <si>
    <t xml:space="preserve">Apartamento de 104m² com 03 quartos para venda e locação   Bosque das Juritis</t>
  </si>
  <si>
    <t xml:space="preserve">R$ 540.000,00</t>
  </si>
  <si>
    <t xml:space="preserve">Apartamento de 34 m² com 1 quarto   Centro</t>
  </si>
  <si>
    <t xml:space="preserve">Apartamento de 376m² com 04 suítes para locação   Ilhas do Sul</t>
  </si>
  <si>
    <t xml:space="preserve">R$ 3.600.000,00</t>
  </si>
  <si>
    <t xml:space="preserve">Apartamento de 191m² com 03 suítes para locação e venda   Vila do Golf</t>
  </si>
  <si>
    <t xml:space="preserve">R$ 3.000.000,00</t>
  </si>
  <si>
    <t xml:space="preserve">Apartamento de 298m² 04 suítes para locação e venda   Jardim Olhos D`Água</t>
  </si>
  <si>
    <t xml:space="preserve">Apartamento de 345m² com 04 suítes à venda   Residencial Morro do Ipê</t>
  </si>
  <si>
    <t xml:space="preserve">R$ 3.500.000,00</t>
  </si>
  <si>
    <t xml:space="preserve">Apartamento de 53 m² com 03 quartos   Jardim Paulistano</t>
  </si>
  <si>
    <t xml:space="preserve">Apartamento de 57m² com 02 quartos à venda  Jardim Paulista</t>
  </si>
  <si>
    <t xml:space="preserve">Apartamento de 48m² com 02 quartos à venda   Bairro Bonfim Paulista</t>
  </si>
  <si>
    <t xml:space="preserve">Apartamento de 47m² com 02 quartos para locação   Parque São Sebastião</t>
  </si>
  <si>
    <t xml:space="preserve">Apartamento de 42m² 02 quarto para locação   Avelino Alves Palma</t>
  </si>
  <si>
    <t xml:space="preserve">Apartamento de 34m² com 01 quarto à venda   Residencial Greenville</t>
  </si>
  <si>
    <t xml:space="preserve">Apartamento de 43m² com 02 quartos à venda   Loteamento Santa Marta</t>
  </si>
  <si>
    <t xml:space="preserve">APARTAMENTO NA VILA AMÉLIA</t>
  </si>
  <si>
    <t xml:space="preserve">APARTAMENTO PRÓXIMO AO NOVO SHOPPING</t>
  </si>
  <si>
    <t xml:space="preserve">Apartamento de 42m² 01 quarto à venda   Jardim Manoel Penna</t>
  </si>
  <si>
    <t xml:space="preserve">Apartamento de 46m² com 02 quartos à venda   Campos Elíseos</t>
  </si>
  <si>
    <t xml:space="preserve">Apartamento de 43m² com 02 quartos para à venda   Parque dos Lagos</t>
  </si>
  <si>
    <t xml:space="preserve">Apartamento de 40m² com 01 quartos para locação   Vila Ana Maria</t>
  </si>
  <si>
    <t xml:space="preserve">EXCELENTE APARTAMENTO NOVO NA LAGOINHA</t>
  </si>
  <si>
    <t xml:space="preserve">EXCELENTE APARTAMENTO TÉRREO PARA VENDA NO BAIRRO JARDIM IRAJÁ</t>
  </si>
  <si>
    <t xml:space="preserve">Apartamento de 48m² com 02 quartos à venda   Jardim São Fernando</t>
  </si>
  <si>
    <t xml:space="preserve">Apartamento de 69m² com 02 quartos para venda   Ipiranga</t>
  </si>
  <si>
    <t xml:space="preserve">Apartamento de 65 m² com 02 quartos para locação   Centro</t>
  </si>
  <si>
    <t xml:space="preserve">Apartamento de 40m² para venda   Jardim Califórnia</t>
  </si>
  <si>
    <t xml:space="preserve">Apartamento de 43m² com 02 quartos para locação e venda   Parque dos Lagos</t>
  </si>
  <si>
    <t xml:space="preserve">Apartamento de 47m² com 02 quartos para locação e venda</t>
  </si>
  <si>
    <t xml:space="preserve">Apartamento 46m² com 02 quartos à venda   Parque Industrial Lagoinha</t>
  </si>
  <si>
    <t xml:space="preserve">Apartamento de 42 m² com 02 quartos à venda   Vila Virgínia</t>
  </si>
  <si>
    <t xml:space="preserve">Apartamento de 40m² com 02 quartos para venda   Jardim Ouro Branco</t>
  </si>
  <si>
    <t xml:space="preserve">Apartamento reformado de 42m² com 02 quartos à venda   Jardim João Rossi</t>
  </si>
  <si>
    <t xml:space="preserve">Apartamento de 40m² com 02 quartos para locação   Jardim Emília</t>
  </si>
  <si>
    <t xml:space="preserve">Apartamento de 80m² com 03 quartos para locação   Campos Eliseos</t>
  </si>
  <si>
    <t xml:space="preserve">Apartamento de 42 m² com 02 quartos à venda   Quintino Facci II</t>
  </si>
  <si>
    <t xml:space="preserve">Apartamento de 42m² com 02 quartos   Parque Industrial Lagoinha</t>
  </si>
  <si>
    <t xml:space="preserve">Apartamento de 44m² com 02 quartos à venda   Ipiranga</t>
  </si>
  <si>
    <t xml:space="preserve">APARTAMENTO À VENDA NO BAIRRO RESIDENCIAL GREENVILLE</t>
  </si>
  <si>
    <t xml:space="preserve">APARTAMENTO DO JD INTERLAGOS</t>
  </si>
  <si>
    <t xml:space="preserve">APARTAMENTO NO ADELINO SIMIONI</t>
  </si>
  <si>
    <t xml:space="preserve">ÓTIMO APARTAMENTO NO PALÁCIO DE WINDSOR</t>
  </si>
  <si>
    <t xml:space="preserve">APARTAMENTO NO PARQUE DOS MANACAS</t>
  </si>
  <si>
    <t xml:space="preserve">APARTAMENTO NO DULTRA</t>
  </si>
  <si>
    <t xml:space="preserve">APRTAMENTO PRÓXIMO A QUITO JUNQUEIRA</t>
  </si>
  <si>
    <t xml:space="preserve">Apartamento de 32m² de 01 quarto   Vila Ana Maria</t>
  </si>
  <si>
    <t xml:space="preserve">APARTAMENTO PRÓXIMO AO SENAC</t>
  </si>
  <si>
    <t xml:space="preserve">APARTAMENTO NO RESERVA SUL PARA PERMUTAR</t>
  </si>
  <si>
    <t xml:space="preserve">LINDO APARTAMENTO , NO PARQUE DOS LAGO</t>
  </si>
  <si>
    <t xml:space="preserve">Apartamento Sumarezinho com 2 Dormitórios</t>
  </si>
  <si>
    <t xml:space="preserve">APARTAMENTO PRÓXIMO À AV. LUZITANA</t>
  </si>
  <si>
    <t xml:space="preserve">Apartamento de 02 quartos mobiliado para locação   Vila Virginia</t>
  </si>
  <si>
    <t xml:space="preserve">APARTAMENTO NO NOVA ALIANÇA</t>
  </si>
  <si>
    <t xml:space="preserve">APARTAMENTO NO JARDIM SUMARÉ</t>
  </si>
  <si>
    <t xml:space="preserve">APARTAMENTO PRÓXIMO À RUA GENERAL CÂMARA</t>
  </si>
  <si>
    <t xml:space="preserve">APARTAMENTO NA AVENIDA MIGUEL PADULLA</t>
  </si>
  <si>
    <t xml:space="preserve">APARTAMENTO PRÓXIMO À AVENIDA HERÁCLITO FONTOURA SOBRAL PINTO</t>
  </si>
  <si>
    <t xml:space="preserve">APARTAMENTO PRÓXIMO À RUA PADRE ANCHIETA</t>
  </si>
  <si>
    <t xml:space="preserve">LINDO APARTAMENTO PRÓXIMO AO NOVO SHOPPING !!!!</t>
  </si>
  <si>
    <t xml:space="preserve">Apartamento de 49m² com 01 quarto á venda   Centro</t>
  </si>
  <si>
    <t xml:space="preserve">APARTAMENTO JARDIM MANOEL PENNA</t>
  </si>
  <si>
    <t xml:space="preserve">Apartamento de 32m² com 01 quarto à venda   Jardim Irajá</t>
  </si>
  <si>
    <t xml:space="preserve">APARTAMENTO PARA INVESTIMENTO RENTÁVEL</t>
  </si>
  <si>
    <t xml:space="preserve">Apartamento de 36m² com 01 quarto para venda e locação   Parque Industrial Lagoinha</t>
  </si>
  <si>
    <t xml:space="preserve">Apartamento de 66m² com 02 quartos para locação   Vila Amélia</t>
  </si>
  <si>
    <t xml:space="preserve">Apartamento de 40m² com 01 quarto à venda   Centro</t>
  </si>
  <si>
    <t xml:space="preserve">Imóvel próximo à Avenida Antônio Ferrarezi</t>
  </si>
  <si>
    <t xml:space="preserve">***ÓTIMO APARTAMENTO NO PALMARES***</t>
  </si>
  <si>
    <t xml:space="preserve">APARTAMENTO NO BAIRRO JARDIM IRAJA</t>
  </si>
  <si>
    <t xml:space="preserve">Apartamento de 74m² com 03 quartos sendo 02 suites à venda   Lagoinha</t>
  </si>
  <si>
    <t xml:space="preserve">APARTAMENTO NO ANA MARIA</t>
  </si>
  <si>
    <t xml:space="preserve">Apartamento de 46,36 m² com 02 quartos para locação e venda   Jardim Itaú</t>
  </si>
  <si>
    <t xml:space="preserve">APARTAMENTO PRÓXIMO À AVENIDA MEIRA JÚNIOR</t>
  </si>
  <si>
    <t xml:space="preserve">Apartamento de 56m² com 01 quarto para venda   Centro</t>
  </si>
  <si>
    <t xml:space="preserve">apartamento de 37m² com 01 quarto   Centro</t>
  </si>
  <si>
    <t xml:space="preserve">EXCELENTE APARTAMENTO NO CENTRO</t>
  </si>
  <si>
    <t xml:space="preserve">Apartamento de 02 quartos para venda   Monte Alegre</t>
  </si>
  <si>
    <t xml:space="preserve">Apartamento de 48m² com 02 quartos para locação   Parque dos Pinus</t>
  </si>
  <si>
    <t xml:space="preserve">Apartamento de 49m² com 02 quartos para locação e venda   Jardim Sumaré</t>
  </si>
  <si>
    <t xml:space="preserve">Apartamento de 51m² 01 quarto para locação   Centro</t>
  </si>
  <si>
    <t xml:space="preserve">Apartamento de 37m² com 01 quarto para locação   Jardim Irajá</t>
  </si>
  <si>
    <t xml:space="preserve">APARTAMENTO PRÓXIMO À AVENIDA SENADOR CÉSAR VERGUEIRO</t>
  </si>
  <si>
    <t xml:space="preserve">Apartamento de 37m² com 01 quarto à venda   Presidente Médici</t>
  </si>
  <si>
    <t xml:space="preserve">Apartamento de 49m² com 02 quartos sendo 01 suíte para venda   Sumarezinho</t>
  </si>
  <si>
    <t xml:space="preserve">Apartamento de 40m² com 01 quarto à venda  Vila Seixas</t>
  </si>
  <si>
    <t xml:space="preserve">Apartamento de 37m² com 01 quarto à venda   Jardim Nova Aliança</t>
  </si>
  <si>
    <t xml:space="preserve">Apartamento de 49m² com 01 quarto   Centro</t>
  </si>
  <si>
    <t xml:space="preserve">Apartamento de 48m² com 01 quarto   Higienópolis</t>
  </si>
  <si>
    <t xml:space="preserve">Apartamento de 48m² com 02 quartos Reserva sul</t>
  </si>
  <si>
    <t xml:space="preserve">R$ 201.000,00</t>
  </si>
  <si>
    <t xml:space="preserve">APARTAMENTO NPRÓXIMO AO CENTRO</t>
  </si>
  <si>
    <t xml:space="preserve">APARTAMENTO PARA VENDA NO BAIRRO JARDIM INTERLAGOS</t>
  </si>
  <si>
    <t xml:space="preserve">Apartamento de 74m² com 03 quartos para locação   Residencial e Comercial Palmares</t>
  </si>
  <si>
    <t xml:space="preserve">Apartamento de 46m² 01 quarto para locação e venda   Jardim Paulista</t>
  </si>
  <si>
    <t xml:space="preserve">Apartamento de 31m² com 01 quarto à venda   Vila Ana Maria</t>
  </si>
  <si>
    <t xml:space="preserve">Apartamento de 37m² com 01 quarto para venda   Jardim Irajá</t>
  </si>
  <si>
    <t xml:space="preserve">Apartamento de 01 quarto para venda   Jardim Sumaré</t>
  </si>
  <si>
    <t xml:space="preserve">R$ 204.000,00</t>
  </si>
  <si>
    <t xml:space="preserve">APARTAMENTO MOBILIADO NO JARDIM JOSÉ SAMPAIO JUNIOR</t>
  </si>
  <si>
    <t xml:space="preserve">Apartamento de 02 quartos para locação   Jardim Sumaré</t>
  </si>
  <si>
    <t xml:space="preserve">APARTAMENTO NA REPUBLICA</t>
  </si>
  <si>
    <t xml:space="preserve">Apartamento próximo a Henry Nestle</t>
  </si>
  <si>
    <t xml:space="preserve">Apartamento de 46m² com 02 quartos à venda   Parque Industrial Lagoinha</t>
  </si>
  <si>
    <t xml:space="preserve">Apartamento de 45m² com 01 quarto para locação   Nova Aliança</t>
  </si>
  <si>
    <t xml:space="preserve">Apartamento de 44m² com 02 quartos à venda   Reserva São José</t>
  </si>
  <si>
    <t xml:space="preserve">LINDO APARTAMENTO NA LAGOINHA</t>
  </si>
  <si>
    <t xml:space="preserve">Apartamento 43m² com 02 quartos para Locação   Residencial Parque dos Servidores</t>
  </si>
  <si>
    <t xml:space="preserve">Apartamento de 47m² com 02 quartos para venda   Residencial Jequitibá</t>
  </si>
  <si>
    <t xml:space="preserve">Apartamento de 02 quartos à venda   Vila Virgínia</t>
  </si>
  <si>
    <t xml:space="preserve">Apartamento de 56m² com 02 quartos para locação e venda   Reserva Macaúba</t>
  </si>
  <si>
    <t xml:space="preserve">R$ 207.000,00</t>
  </si>
  <si>
    <t xml:space="preserve">Apartamento de 32m² com 01 quarto à venda   Jardim São Luiz</t>
  </si>
  <si>
    <t xml:space="preserve">Apartamento de 67m² com 02 quartos para locação e venda   Jardim Anhanguera</t>
  </si>
  <si>
    <t xml:space="preserve">R$ 159.600,00</t>
  </si>
  <si>
    <t xml:space="preserve">Apartamento de 46m² com 02 quartos à venda   Jardim Marchesi</t>
  </si>
  <si>
    <t xml:space="preserve">Apartamento de 46m² com 01 quartos à venda   Jardim Paulista</t>
  </si>
  <si>
    <t xml:space="preserve">R$ 199.900,00</t>
  </si>
  <si>
    <t xml:space="preserve">Apartamento térreo de 57,70m² com 02 Quartos para Venda   Alto da Boa Vista</t>
  </si>
  <si>
    <t xml:space="preserve">Apartamento de 49m² com 02 quartos à venda   Sumarezinho</t>
  </si>
  <si>
    <t xml:space="preserve">Apartamento de 61m² com 02 quartos à venda   Ipiranga</t>
  </si>
  <si>
    <t xml:space="preserve">Apartamento de 42m² com 02 quartos à venda   Parque Residencial Lagoinha</t>
  </si>
  <si>
    <t xml:space="preserve">Apartamento de 46m² com 02 quartos à venda   Vila Virgínia</t>
  </si>
  <si>
    <t xml:space="preserve">Apartamento de 43m² à venda   Recreio das Acácias</t>
  </si>
  <si>
    <t xml:space="preserve">Apartamento de 47m² com 02 quartos à venda   Alto do Ipiranga</t>
  </si>
  <si>
    <t xml:space="preserve">Apartamento de 41m² com 01 quarto para locação e venda   Campos Elíseos</t>
  </si>
  <si>
    <t xml:space="preserve">Apartamento de 34m² com 01 quarto para locação e venda   Quintas de São José</t>
  </si>
  <si>
    <t xml:space="preserve">Apartamento de 51m² com 02 quartos à venda   Alto da Boa Vista</t>
  </si>
  <si>
    <t xml:space="preserve">Apartamento de 71m² com 02 quartos   Vila Elisa</t>
  </si>
  <si>
    <t xml:space="preserve">Apartamento de 46m² com 02 quartos para locação e venda   Ribeirânia</t>
  </si>
  <si>
    <t xml:space="preserve">Apartamento de 32m² com 01 quarto à venda   Bonfim Paulista</t>
  </si>
  <si>
    <t xml:space="preserve">Apartamento de 66m² com 03 quartos sendo 01 suíte para locação e venda   Jardim Europa</t>
  </si>
  <si>
    <t xml:space="preserve">Apartamento de 40m² com 01 quarto para locação e venda   Alto da Boa Vista</t>
  </si>
  <si>
    <t xml:space="preserve">LINDO APARTAMENTO NO JARDIM ZARA</t>
  </si>
  <si>
    <t xml:space="preserve">APARTAMENTO LINDO MOBILIADO NO RIBEIRÃO VERDE</t>
  </si>
  <si>
    <t xml:space="preserve">APARTAMENTO LOCALIZADO NA AV. CARAMURU</t>
  </si>
  <si>
    <t xml:space="preserve">APARTAMENTO NO RESERVA SUL</t>
  </si>
  <si>
    <t xml:space="preserve">Apartamento de 63m² com 02 quartos à venda   Residencial e Comercial Palmares</t>
  </si>
  <si>
    <t xml:space="preserve">Apartamento de 57m² com 02 quartos à venda   Caramuru</t>
  </si>
  <si>
    <t xml:space="preserve">Apartamento de 45 m² com 2 quartos  Lagoinha</t>
  </si>
  <si>
    <t xml:space="preserve">APARTAMENTO TÉRREO NO SUMAREZINHO</t>
  </si>
  <si>
    <t xml:space="preserve">Apartamento de 2 quartos   Lagoinha</t>
  </si>
  <si>
    <t xml:space="preserve">Apartamento de 44m² com 02 quartos para locação   Residencial Greenville</t>
  </si>
  <si>
    <t xml:space="preserve">APARTAMENTO 2 DORMITÓRIOS EM BONFIM PAULISTA</t>
  </si>
  <si>
    <t xml:space="preserve">APARTAMENTO PRÓXIMO À AVENIDA LUIS GALVÃO CÉSAR</t>
  </si>
  <si>
    <t xml:space="preserve">APARTAMENTO EM ÓTIMA LOCALIZAÇÃO NO CAMPOS ELISEOS!</t>
  </si>
  <si>
    <t xml:space="preserve">APARTAMENTO DE 1 DORMITÓRIO NO NOVA ALIANÇA</t>
  </si>
  <si>
    <t xml:space="preserve">Apartamento de 42m² com 02 quartos para venda   Planalto Verde</t>
  </si>
  <si>
    <t xml:space="preserve">Apartamento duplex de 60m² com 01 quarto   Jardim Palma Travassos</t>
  </si>
  <si>
    <t xml:space="preserve">Apartamento de 37m² com 01 quarto à venda   Nova Aliança</t>
  </si>
  <si>
    <t xml:space="preserve">Apartamento de 45m² com 02 quartos para locação e venda   Sumarezinho</t>
  </si>
  <si>
    <t xml:space="preserve">APARTAMENTO NO JARDIM NOVA ALIANÇA</t>
  </si>
  <si>
    <t xml:space="preserve">Apartamento de 01 quarto para locação , bairro Jd. Macedo</t>
  </si>
  <si>
    <t xml:space="preserve">Apartamento de 42m² com 02 quartos para venda   Vila Vírginia</t>
  </si>
  <si>
    <t xml:space="preserve">Apartamento de 69m² com 02 quartos à venda   Jardim Paulista</t>
  </si>
  <si>
    <t xml:space="preserve">Apartamento de 02 quartos para locação   Jd. Presidente Médici</t>
  </si>
  <si>
    <t xml:space="preserve">Apartamento de 65m² com 03 quartos à venda   Av. do Café</t>
  </si>
  <si>
    <t xml:space="preserve">Apartamento duplex de 49m² com 01 quarto à venda   Centro</t>
  </si>
  <si>
    <t xml:space="preserve">APARTAMENTO TÉRREO NO RESERVA SUL</t>
  </si>
  <si>
    <t xml:space="preserve">Apartamento de 48M² 02 Quartos a venda  Jardim Heitor Rigon</t>
  </si>
  <si>
    <t xml:space="preserve">Apartamento de 45m² com 02 quartos à venda   Lagoinha</t>
  </si>
  <si>
    <t xml:space="preserve">Apartamento de 42m° com 01 quarto para à venda   Jardim Botânico</t>
  </si>
  <si>
    <t xml:space="preserve">Apartamento de 47m² com 02 quartos à venda   Jardim Manoel Penna</t>
  </si>
  <si>
    <t xml:space="preserve">Apartamento de 57m² com 02 quartos para venda   Jardim Antártica</t>
  </si>
  <si>
    <t xml:space="preserve">Apartamento de 40m² com 02 quartos para locação e venda   Reserva São José</t>
  </si>
  <si>
    <t xml:space="preserve">Apartamento de 58 m² com 2 quartos à venda   Ipiranga</t>
  </si>
  <si>
    <t xml:space="preserve">APARTAMENTO NO JARDIM ZARA</t>
  </si>
  <si>
    <t xml:space="preserve">EXCELENTE APARTAMENTO PARA VENDA NO BAIRRO CAMPOS ELISEOS</t>
  </si>
  <si>
    <t xml:space="preserve">APARTAMENTO NA RIBEIRÂNIA</t>
  </si>
  <si>
    <t xml:space="preserve">APARTAMENTO NO PALMARES, 2 DORMITÓRIOS</t>
  </si>
  <si>
    <t xml:space="preserve">APARTAMENTO 2 DORMITÓRIOS NA VILA VIRGINIA</t>
  </si>
  <si>
    <t xml:space="preserve">KIT PRÓXIMO À AVENIDA LEÃO XIII</t>
  </si>
  <si>
    <t xml:space="preserve">Ótimo apartamento no Parque São Sebastião</t>
  </si>
  <si>
    <t xml:space="preserve">APARTAMENTO TÉRREO PRÓXIMO À RUA JAVARI</t>
  </si>
  <si>
    <t xml:space="preserve">Apartamento de 03 quartos para venda   Jardim Sumaré</t>
  </si>
  <si>
    <t xml:space="preserve">APARTAMENTO NO GERALDO CORREA DE CARVALHO</t>
  </si>
  <si>
    <t xml:space="preserve">Apartamento de 43m² com 01 quarto e sacada à venda   Nova Aliança</t>
  </si>
  <si>
    <t xml:space="preserve">Apartamento de 32m² com 01 quarto para venda   Jardim Paulista</t>
  </si>
  <si>
    <t xml:space="preserve">APARTAMENTO TÉRREO PRÓXIMO A AVENIDA RECIFE</t>
  </si>
  <si>
    <t xml:space="preserve">APARTAMENTO PRÓXIMO Á AVENIDA HENRY NESTLÉ</t>
  </si>
  <si>
    <t xml:space="preserve">Apartamento de 2 quartos para locação e venda   Vila Tamandaré</t>
  </si>
  <si>
    <t xml:space="preserve">APARTAMENTO PRÓXIMO À AVENIDA BRAZ OLAIA ACOSTA</t>
  </si>
  <si>
    <t xml:space="preserve">****APARTAMENTO PADRÃO****</t>
  </si>
  <si>
    <t xml:space="preserve">Apartamento de 42m² 02 quartos à venda   Parque dos Servidores</t>
  </si>
  <si>
    <t xml:space="preserve">APARTAMENTO PRÓXIMO À AVENIDA SAUDADE</t>
  </si>
  <si>
    <t xml:space="preserve">APARTAMENTO PRÓXIMO À RUA MARQUÊS DA CRUZ</t>
  </si>
  <si>
    <t xml:space="preserve">Apartamento de 48 m² com 02 quartos para venda   Alto Da Boa Vista</t>
  </si>
  <si>
    <t xml:space="preserve">APARTAMENTO AVENIDA CARAMURU</t>
  </si>
  <si>
    <t xml:space="preserve">Apartamento de 02 quartos para locação   Republica</t>
  </si>
  <si>
    <t xml:space="preserve">Apartamento de 02 quartos para locação   City Ribeirão</t>
  </si>
  <si>
    <t xml:space="preserve">Apartamento de 42m² com 01 quarto à venda   Vila Seixas</t>
  </si>
  <si>
    <t xml:space="preserve">APARTAMENTO NO VILA ANA MARIA</t>
  </si>
  <si>
    <t xml:space="preserve">Apartamento de 43m² com 01 quarto á venda   Vila Seixas</t>
  </si>
  <si>
    <t xml:space="preserve">Apartamento 43m² com 02 quartos para venda   Residencial Parque dos Servidores</t>
  </si>
  <si>
    <t xml:space="preserve">R$ 213.000,00</t>
  </si>
  <si>
    <t xml:space="preserve">Apartamento de 48m² com 02 quartos à venda   Vila Maria Luiza</t>
  </si>
  <si>
    <t xml:space="preserve">Apartamento de 42m² com 01 quarto para venda   Vila Virgínia</t>
  </si>
  <si>
    <t xml:space="preserve">Apartamento de 51m² com 02 quartos à venda   Presidente Medici</t>
  </si>
  <si>
    <t xml:space="preserve">Apartamento de 46m² com 02 quartos à venda   Lagoinha</t>
  </si>
  <si>
    <t xml:space="preserve">R$ 209.000,00</t>
  </si>
  <si>
    <t xml:space="preserve">Apartamento Térreo de 60m² com 02 quartos para venda   Jardim Ângelo Jurca</t>
  </si>
  <si>
    <t xml:space="preserve">Apartamento térreo de 46m² com 02 quartos á venda   Campos Elíseos</t>
  </si>
  <si>
    <t xml:space="preserve">Apartamento de 39m² com 02 quartos à venda   Parque São Sebastião</t>
  </si>
  <si>
    <t xml:space="preserve">Apartamento de 46m² com 02 quartos à venda   Ribeirânia</t>
  </si>
  <si>
    <t xml:space="preserve">APARTAMENTO NO JARDIM ANANHGUERA</t>
  </si>
  <si>
    <t xml:space="preserve">****APARTAMENTO NO JARDIM MANOEL PENNA****</t>
  </si>
  <si>
    <t xml:space="preserve">APARTAMENTO NO RESIDENCIAL JEQUITIBA</t>
  </si>
  <si>
    <t xml:space="preserve">Apartamento de 74m² com 03 quartos à venda   residencial e comercial Palmares</t>
  </si>
  <si>
    <t xml:space="preserve">Apartamento de 37m² com 01 quarto para locação   Nova Aliança</t>
  </si>
  <si>
    <t xml:space="preserve">APARTAMENTO NO MIRANTE SUL</t>
  </si>
  <si>
    <t xml:space="preserve">Apartamento de 45m² com 01 quarto à venda   Bairro Nova Aliança</t>
  </si>
  <si>
    <t xml:space="preserve">Apartamento de 41m² com 02 quartos para locação e venda   Jardim José Sampaio Júnior</t>
  </si>
  <si>
    <t xml:space="preserve">APARTAMENTO NO JARDIM MANOEL PENA</t>
  </si>
  <si>
    <t xml:space="preserve">Apartamento de 02 quartos para locação e venda   Ribeirânia</t>
  </si>
  <si>
    <t xml:space="preserve">APARTAMENTO NO JARDIM CALIFORNIA</t>
  </si>
  <si>
    <t xml:space="preserve">Apartamento de 39m² com 01 quarto para locação   Nova Aliança</t>
  </si>
  <si>
    <t xml:space="preserve">APARTAMENTO CONDOMÍNIO RESERVA SUL</t>
  </si>
  <si>
    <t xml:space="preserve">Apartamento mobiliado de 38m² com 01 quarto à venda   Jardim Iguatemi</t>
  </si>
  <si>
    <t xml:space="preserve">Apartamento de 43m² com 01 quarto para locação e venda   Vila Seixas</t>
  </si>
  <si>
    <t xml:space="preserve">Apartamento de 55m² á venda   Vila Virgínia</t>
  </si>
  <si>
    <t xml:space="preserve">Apartamento de 42m² com 02 quartos à venda   Parque Industrial Lagoinha</t>
  </si>
  <si>
    <t xml:space="preserve">R$ 215.500,00</t>
  </si>
  <si>
    <t xml:space="preserve">****APARTAMENTO NO JOSE FIGUEIRA****</t>
  </si>
  <si>
    <t xml:space="preserve">Apartamento de 43m² semi mobiliado com 02 quartos à venda   Reserva Macaúba</t>
  </si>
  <si>
    <t xml:space="preserve">Apartamento de 48m² com 02 quartos à venda   Bonfim Paulista</t>
  </si>
  <si>
    <t xml:space="preserve">R$ 219.000,00</t>
  </si>
  <si>
    <t xml:space="preserve">Apartamento de 48m² com 02 quartos à venda   Jardim José Sampaio Júnior</t>
  </si>
  <si>
    <t xml:space="preserve">Apartamento térreo de 50m² com 01 quarto à venda   Jardim Paulistano</t>
  </si>
  <si>
    <t xml:space="preserve">R$ 171.000,00</t>
  </si>
  <si>
    <t xml:space="preserve">APARTAMENTO NO MANOEL PENNA</t>
  </si>
  <si>
    <t xml:space="preserve">Apartamento de 63m² com 03 quartos à venda   Jardim |nhanguera</t>
  </si>
  <si>
    <t xml:space="preserve">Apartamento de 55m² com 02 quartos à venda   Residencial e Comercial Palmares</t>
  </si>
  <si>
    <t xml:space="preserve">Apartamento de 66m² com 02 quartos à venda   Parque dos Bandeirantes</t>
  </si>
  <si>
    <t xml:space="preserve">Apartamento de 55m² com 02 quartos à venda   Vila Maria Luiza</t>
  </si>
  <si>
    <t xml:space="preserve">APARTAMENTO PRÓXIMO À AVENIDA WLADIMIR MEIRELLES FERREIRA</t>
  </si>
  <si>
    <t xml:space="preserve">APARTAMENTO COM LOCALIZAÇÃO PRIVILEGIADA NO JARDIM BOTÂNICO</t>
  </si>
  <si>
    <t xml:space="preserve">APARTAMENTO NA CITY RIBEIRÃO</t>
  </si>
  <si>
    <t xml:space="preserve">Apartamento de 48m² com 02 quartos para venda   Reserva Sul Condomínio</t>
  </si>
  <si>
    <t xml:space="preserve">EXCELENTE APARTAMENTO PRÓXIMO À AVENIDA VIRGILIO SOEIRA</t>
  </si>
  <si>
    <t xml:space="preserve">Apartamento de 39m² com 01 suíte à venda  Jardim Irajá</t>
  </si>
  <si>
    <t xml:space="preserve">Apartamento de 63m² com 02 quartos à venda  Jardim Interlagos</t>
  </si>
  <si>
    <t xml:space="preserve">Apartamento de 38m² com 01 quarto à venda   Residencial Flórida</t>
  </si>
  <si>
    <t xml:space="preserve">Apartamento de 46m² com 02 quartos para venda e locação   Vila Abranches</t>
  </si>
  <si>
    <t xml:space="preserve">Apartamento de 42m² com 02 quartos á venda   Jardim Cybelli</t>
  </si>
  <si>
    <t xml:space="preserve">Apartamento 48m² com 01 quarto à venda   Vila Seixas</t>
  </si>
  <si>
    <t xml:space="preserve">Apartamento de 70m² com 02 quartos á venda   Centro</t>
  </si>
  <si>
    <t xml:space="preserve">Apartamento com 40m² com 02 quartos para locação e venda   Jardim Emília</t>
  </si>
  <si>
    <t xml:space="preserve">Apartamento de 47m² com 02 quartos à venda   Parque dos Bandeirantes</t>
  </si>
  <si>
    <t xml:space="preserve">Apartamento de 42m² com 02 quartos para venda   Valentina Figueiredo</t>
  </si>
  <si>
    <t xml:space="preserve">Apartamento de 46m² com 02 quartos à venda   Jardim Castelo Branco</t>
  </si>
  <si>
    <t xml:space="preserve">Apartamento de 49m² com 02 dormitórios à venda   Ipiranga</t>
  </si>
  <si>
    <t xml:space="preserve">Apartamento de 41m² com 02 quartos à venda   Parque Palácio Imperial</t>
  </si>
  <si>
    <t xml:space="preserve">Apartamento de 60m² com 02 quartos para locação   Planalto Verde</t>
  </si>
  <si>
    <t xml:space="preserve">Apartamento de 49m² com 02 quartos à venda   Campos Elíseos</t>
  </si>
  <si>
    <t xml:space="preserve">Apartamento térreo de 59m² com 02 quartos para venda e locação   Parque Anhanguera</t>
  </si>
  <si>
    <t xml:space="preserve">Apartamento de 49m² com 02 quartos para locação   City Ribeirão</t>
  </si>
  <si>
    <t xml:space="preserve">Apartamento de 77m² com 02 quartos à venda   Campos Elíseos</t>
  </si>
  <si>
    <t xml:space="preserve">Apartamento térreo de 76m² com 03 quartos para venda   Parque dos Bandeirantes</t>
  </si>
  <si>
    <t xml:space="preserve">Apartamento de 45m² com 02 quartos   Santa Marta</t>
  </si>
  <si>
    <t xml:space="preserve">Apartamento de 31m² para locação e venda   Vila Amélia</t>
  </si>
  <si>
    <t xml:space="preserve">APARTAMENTO NO JARDIM PRESIDENTE MÉDICI</t>
  </si>
  <si>
    <t xml:space="preserve">Apartamento de 41m² com 01 quarto à venda   Vila Seixas</t>
  </si>
  <si>
    <t xml:space="preserve">Apartamento de 02 quartos para locação   Recreio das Acácias</t>
  </si>
  <si>
    <t xml:space="preserve">APARTAMENTO TÉRREO PRÓXIMO À JOSÉ ANTÔNIO FERRAREZI</t>
  </si>
  <si>
    <t xml:space="preserve">Apartamento de 43m² com 02 quartos a venda   Bonfim Paulista</t>
  </si>
  <si>
    <t xml:space="preserve">ÓTIMO APARTAMENTO NO JARDIM NOVA ALIANÇA</t>
  </si>
  <si>
    <t xml:space="preserve">Apartamento de 58m² com 03 quartos para venda ou locação   Jardim Sumaré</t>
  </si>
  <si>
    <t xml:space="preserve">Apartamento de 40m² com 02 quartos para locação   Jardim Ouro Branco</t>
  </si>
  <si>
    <t xml:space="preserve">Apartamento 43 m² e 2 quartos   Loteamento Santa Marta</t>
  </si>
  <si>
    <t xml:space="preserve">APARTAMENTO NO VALENTINA FIGUEIREDO</t>
  </si>
  <si>
    <t xml:space="preserve">APARTAMENTO NO PRESIDENTE MÉDICI / IGUATEMI</t>
  </si>
  <si>
    <t xml:space="preserve">Apartamento de 74m² com 02 quartos à venda   Parque dos Bandeirantes</t>
  </si>
  <si>
    <t xml:space="preserve">Apartamento de 59m² com 03 quartos à venda   Campos Elíseos</t>
  </si>
  <si>
    <t xml:space="preserve">APARTAMENTO NO VITTA BANDEIRANTES</t>
  </si>
  <si>
    <t xml:space="preserve">Apartamento de 01 quarto para venda   Vila Seixas</t>
  </si>
  <si>
    <t xml:space="preserve">APARTAMENTO NA RUA NITERÓI</t>
  </si>
  <si>
    <t xml:space="preserve">Apartamento de 01 quarto para venda   Nova Aliança</t>
  </si>
  <si>
    <t xml:space="preserve">APARTAMENTO PRÓXIMO À AV. JOÃO FIÚSA</t>
  </si>
  <si>
    <t xml:space="preserve">Apartamento de 71m² com 03 quartos sendo 01 suíte à venda   Independência</t>
  </si>
  <si>
    <t xml:space="preserve">Apartamento de 63m² com 03 quartos à venda   Jardim Interlagos</t>
  </si>
  <si>
    <t xml:space="preserve">Apartamento de 43m² com 02 quartos à venda   Parque dos Lagos</t>
  </si>
  <si>
    <t xml:space="preserve">Apartamento de 56m² com 01 quarto para venda   Vila Monte Alegre</t>
  </si>
  <si>
    <t xml:space="preserve">****LINDO APARTAMENTO ****</t>
  </si>
  <si>
    <t xml:space="preserve">Apartamento de 54 m² e 1 quarto   Centro</t>
  </si>
  <si>
    <t xml:space="preserve">Apartamento de 46m² com 02 quartos para locação   Residencial Jequitibá</t>
  </si>
  <si>
    <t xml:space="preserve">Apartamento de 27m² com 1 suíte à venda  Jardim Paulista</t>
  </si>
  <si>
    <t xml:space="preserve">Apartamento com 2 quartos de 44 m²   Condomínio Reino da Escócia</t>
  </si>
  <si>
    <t xml:space="preserve">Apartamento de 02 quartos para locação e venda   Vila Maria Luiza</t>
  </si>
  <si>
    <t xml:space="preserve">Apartamento de 02 quartos para locação   Vila Virgínia</t>
  </si>
  <si>
    <t xml:space="preserve">Apartamento de 47m á venda com 02 quartos   Campos Eliseos</t>
  </si>
  <si>
    <t xml:space="preserve">Apartamento de 48m² com 01 quartos para venda e locação  Centro</t>
  </si>
  <si>
    <t xml:space="preserve">Apartamento de 57m² com 02 quartos para locação   Jardim Paulista</t>
  </si>
  <si>
    <t xml:space="preserve">KITNET MOBILIADA PRÓXIMO À USP</t>
  </si>
  <si>
    <t xml:space="preserve">APARTAMENTO NA CARAMURU</t>
  </si>
  <si>
    <t xml:space="preserve">Apartamento de 38m² com 01 suíte   Presidente Medici</t>
  </si>
  <si>
    <t xml:space="preserve">Apartamento de 69m² com 02 quarto sendo 01 suíte à venda   Independência</t>
  </si>
  <si>
    <t xml:space="preserve">Apartamento de 50m² com 02 quartos à venda   Residencial Greenville</t>
  </si>
  <si>
    <t xml:space="preserve">Apartamento de 47m² com 02 quartos à venda   Condomínio Mirante Sul</t>
  </si>
  <si>
    <t xml:space="preserve">Apartamento de 57m² à venda   Planalto Verde</t>
  </si>
  <si>
    <t xml:space="preserve">Apartamento de 58m² com 02 quartos   Zardim Zara</t>
  </si>
  <si>
    <t xml:space="preserve">Apartamento de 63 m² e 2 quartos  Presidente Medici</t>
  </si>
  <si>
    <t xml:space="preserve">Apartamento de 44m² com 01 suíte para locação   Jardim Sumaré</t>
  </si>
  <si>
    <t xml:space="preserve">Apartamento de 66m² com 03 quartos à venda   Parque Industrial Lagoinha</t>
  </si>
  <si>
    <t xml:space="preserve">Apartamento de 53m² com 02 quartos   Reserva Sul</t>
  </si>
  <si>
    <t xml:space="preserve">R$ 222.000,00</t>
  </si>
  <si>
    <t xml:space="preserve">Apartamento de 46m² com 02 quartos para locação e venda   Jardim Paulistano</t>
  </si>
  <si>
    <t xml:space="preserve">R$ 222.600,00</t>
  </si>
  <si>
    <t xml:space="preserve">Apartamento com 47m² de 2 quartos para venda   Jardim Manoel Penna</t>
  </si>
  <si>
    <t xml:space="preserve">Apartamento de 40m² com 02 quartos para locação e venda   Jardim Ouro Branco</t>
  </si>
  <si>
    <t xml:space="preserve">Apartamento de 49m² com 02 quartos á venda   Jardim Santa Cecília</t>
  </si>
  <si>
    <t xml:space="preserve">R$ 223.000,00</t>
  </si>
  <si>
    <t xml:space="preserve">APARTAMENTO NO FLAMBOYANS</t>
  </si>
  <si>
    <t xml:space="preserve">Apartamento de 40m² com 02 quartos para locação   Recreio das Acácios</t>
  </si>
  <si>
    <t xml:space="preserve">APARTAMENTO PRÓXIMO À AVENIDA JOSÉ ANTÔNIO FERRARI</t>
  </si>
  <si>
    <t xml:space="preserve">Apartamento de 71m² com 03 quartos à venda   Vila Amélia</t>
  </si>
  <si>
    <t xml:space="preserve">APARTAMENTO PRÓXIMO Á RODOVIA ANTÔNIO MACHADO SANTANNA</t>
  </si>
  <si>
    <t xml:space="preserve">Apartamento de 34m² com 01 quarto á venda   Vila Ana Maria</t>
  </si>
  <si>
    <t xml:space="preserve">Apartamento de 42m² com 02 quartos para venda   Jardim José Wilson Toni</t>
  </si>
  <si>
    <t xml:space="preserve">R$ 224.000,00</t>
  </si>
  <si>
    <t xml:space="preserve">APARTAMENTO SEMI NOVO PRÓXIMO Á BARÃO DO BANANAL</t>
  </si>
  <si>
    <t xml:space="preserve">Apartamento de 45m² com 01 quarto à venda   Nova Aliança</t>
  </si>
  <si>
    <t xml:space="preserve">Apartamento de 87m² com 03 quartos à venda   Jardim Paulistano</t>
  </si>
  <si>
    <t xml:space="preserve">Apartamento de 41m² com 02 quartos á venda   Residencial Jequitibá</t>
  </si>
  <si>
    <t xml:space="preserve">Apartamento de 47m² com 02 quartos para venda</t>
  </si>
  <si>
    <t xml:space="preserve">Apartamento de 51m² com 2 quartos à venda   Residencial Greenville</t>
  </si>
  <si>
    <t xml:space="preserve">Apartamento de 41m² com 01 quarto para venda   Vila Seixas</t>
  </si>
  <si>
    <t xml:space="preserve">EXCELENTE APARTAMENTO GIARDINO NO BAIRRO PLANALTO VERDE</t>
  </si>
  <si>
    <t xml:space="preserve">Apartamento de 69m² com 02 quartos para venda   Jardim Helena</t>
  </si>
  <si>
    <t xml:space="preserve">Apartamento de 49m² com 01 suíte   Centro</t>
  </si>
  <si>
    <t xml:space="preserve">Apartamento de 47m² com 02 quartos à venda   Quinta da Primavera</t>
  </si>
  <si>
    <t xml:space="preserve">Apartamento de 02 quartos para locação   Bonfim Paulista</t>
  </si>
  <si>
    <t xml:space="preserve">APARTAMENTO PRÓXIMO À AVENIDA MARIA DE JESUS CONDEIXA</t>
  </si>
  <si>
    <t xml:space="preserve">Apartamento de 42m² com 02 quartos à venda   Jardim Orestes Lopes de Camargo</t>
  </si>
  <si>
    <t xml:space="preserve">R$ 225.663,00</t>
  </si>
  <si>
    <t xml:space="preserve">R$ 227.900,00</t>
  </si>
  <si>
    <t xml:space="preserve">Apartamento de 42m² com 02 quartos para locação   Vila Virgínia</t>
  </si>
  <si>
    <t xml:space="preserve">Apartamento de 58m² com 03 quartos sendo 01 suíte à venda   República</t>
  </si>
  <si>
    <t xml:space="preserve">R$ 228.000,00</t>
  </si>
  <si>
    <t xml:space="preserve">Apartamento de 66m² com 02 quartos á venda   Parque Anhanguera</t>
  </si>
  <si>
    <t xml:space="preserve">Apartamento de 49m² com 02 quartos à venda Parque Industrial Lagoinha</t>
  </si>
  <si>
    <t xml:space="preserve">Apartamento de 49m² com 02 quartos à venda   Jardim Botânico</t>
  </si>
  <si>
    <t xml:space="preserve">Apartamento térreo de 47m² com 02 quartos para venda   Vale das Nascentes</t>
  </si>
  <si>
    <t xml:space="preserve">Apartamento de 42.50 m² com 02 quartos para venda</t>
  </si>
  <si>
    <t xml:space="preserve">Apartamento de 42m² com 02 quartos para locação e venda   Jardim Santa Cecília</t>
  </si>
  <si>
    <t xml:space="preserve">Apartamento de 46m² com 02 quartos à venda   Reserva Sul Condomínio</t>
  </si>
  <si>
    <t xml:space="preserve">Apartamento de 55m² com 02 quartos para venda   Parque dos Servidores</t>
  </si>
  <si>
    <t xml:space="preserve">APARTAMENTO PRÓXIMO À CATEDRAL</t>
  </si>
  <si>
    <t xml:space="preserve">Apartamento de 56 m² com 01 quarto para locação   Centro</t>
  </si>
  <si>
    <t xml:space="preserve">Apartamento de 40m² com 02 quartos para venda e locação   Jardim Castelo Branco</t>
  </si>
  <si>
    <t xml:space="preserve">IMÓVEL MOBILIADO PRÓXIMO À FRANCISCO JUNQUERA</t>
  </si>
  <si>
    <t xml:space="preserve">Apartamento de 51m² com 02 quartos à venda   Ipiranga</t>
  </si>
  <si>
    <t xml:space="preserve">Apartamento de 33m² com 01 suíte à venda   Nova Aliança</t>
  </si>
  <si>
    <t xml:space="preserve">R$ 226.000,00</t>
  </si>
  <si>
    <t xml:space="preserve">Apartamento de 77m² com 02 quartos   Vila Monte Alegre</t>
  </si>
  <si>
    <t xml:space="preserve">Apartamento de 44m² com 02 quartos à venda   Ribeirânia</t>
  </si>
  <si>
    <t xml:space="preserve">Apartamento de 47m² com 02 quartos à venda   Ribeirânia</t>
  </si>
  <si>
    <t xml:space="preserve">Apartamento de 51m² com 02 quartos à venda   Presidente Médici</t>
  </si>
  <si>
    <t xml:space="preserve">Apartamento de 65m² com 03 quartos à venda   Jardim Eugênio Mendes Lopes</t>
  </si>
  <si>
    <t xml:space="preserve">Apartamento de 39m² com 01 quarto   Jardim California</t>
  </si>
  <si>
    <t xml:space="preserve">Apartamento de 48m² com 02 quartos para venda   Campos Elíseos</t>
  </si>
  <si>
    <t xml:space="preserve">Apartamento de 69m² com 03 quartos à venda   Jardim Paulista</t>
  </si>
  <si>
    <t xml:space="preserve">Apartamento de 42m² com 02 quartos para venda   Parque Industrial Lagoinha</t>
  </si>
  <si>
    <t xml:space="preserve">Apartamento de 65m² com 02 quartos para venda   Centro</t>
  </si>
  <si>
    <t xml:space="preserve">Apartamento de 65m² com 02 quartos à venda   Vila Seixas</t>
  </si>
  <si>
    <t xml:space="preserve">Apartamento de 52m² com 02 quartos à venda   Jardim Paulistano</t>
  </si>
  <si>
    <t xml:space="preserve">Apartamento de 46m² com 02 quartos para locação e venda   Campos Elíseos</t>
  </si>
  <si>
    <t xml:space="preserve">Apartamento semimobiliado de 43m² com 01 quarto para locação e venda   Vila Seixas</t>
  </si>
  <si>
    <t xml:space="preserve">Apartamento de 55m² com 02 quartos à venda   Vila Virginia</t>
  </si>
  <si>
    <t xml:space="preserve">Apartamento de 42m² com 02 quartos para locação   Jardim Maria Goretti</t>
  </si>
  <si>
    <t xml:space="preserve">Apartamento de 43m² com 02 quartos   Alto da Boa Vista</t>
  </si>
  <si>
    <t xml:space="preserve">Apartamento de 44m² com 02 quartos à venda   Vila Guiomar</t>
  </si>
  <si>
    <t xml:space="preserve">Apartamento de 45m² com 01 quarto à venda   Bairro Vila Seixas</t>
  </si>
  <si>
    <t xml:space="preserve">Apartamento de 40m² com 02 quartos para locação   Recreio das Acácias</t>
  </si>
  <si>
    <t xml:space="preserve">Apartamento de 50m² com 02 quartos para locação e venda   Vila Recreio</t>
  </si>
  <si>
    <t xml:space="preserve">EXCELENTE APARTAMENTO PARA LOCAÇÃO E VENDA NO BAIRRO VILLA GUIOMAR</t>
  </si>
  <si>
    <t xml:space="preserve">Apartamento de 43m² com 02 quartos para locação e venda   Bonfim Paulista</t>
  </si>
  <si>
    <t xml:space="preserve">APARTAMENTO NO CASTELO BRANCO</t>
  </si>
  <si>
    <t xml:space="preserve">APARTAMENTO PROX. SODIMAC</t>
  </si>
  <si>
    <t xml:space="preserve">EXCELENTE APARTAMENTO PARA VENDAPRÓXIMO AO JARDIM ANHANGUERA</t>
  </si>
  <si>
    <t xml:space="preserve">Apartamento de 41m² com 02 quartos para locação e venda   Reserva Imperial</t>
  </si>
  <si>
    <t xml:space="preserve">Lindo apartamento no bairro Jardim Itaú</t>
  </si>
  <si>
    <t xml:space="preserve">APARTAMENTO A VENDA NO RESIDENCIAL JEQUITIBÁ</t>
  </si>
  <si>
    <t xml:space="preserve">Apartamento 69 m² com 2 quartos para locação   Vila Monte Alegre</t>
  </si>
  <si>
    <t xml:space="preserve">APARTAMENTO MOBILIADO NO JARDIM IRAJÁ</t>
  </si>
  <si>
    <t xml:space="preserve">Apartamento de 39m² com 01 quarto à venda   Jardim Botânico</t>
  </si>
  <si>
    <t xml:space="preserve">Apartamento de 60m² com 02 quartos à venda   Jardim Mosteiro</t>
  </si>
  <si>
    <t xml:space="preserve">Apartamento de 32m² com 01 quarto para venda   Ana Maria</t>
  </si>
  <si>
    <t xml:space="preserve">Apartamento/Padrão   Residencial   No bairro Ipiranga  </t>
  </si>
  <si>
    <t xml:space="preserve">Apartamento de 46m² para locação   Reserva Sul</t>
  </si>
  <si>
    <t xml:space="preserve">APARTAMENTO DE 82 M COM VAGA COBERTA NO ALTO DO IPIRANGA E PRÓXIMO A AV. DOM PEDRO</t>
  </si>
  <si>
    <t xml:space="preserve">Apartamento de 32m² com 01 quarto à venda   Jardim Botânico</t>
  </si>
  <si>
    <t xml:space="preserve">Apartamento de 37m² com 01 quarto para locação   Noa Aliança</t>
  </si>
  <si>
    <t xml:space="preserve">Apartamento de 48m² com 1 dormitório   Vila Seixas</t>
  </si>
  <si>
    <t xml:space="preserve">Apartamento de 64m² com 02 quartos à venda   Parque Industrial Lagoinha</t>
  </si>
  <si>
    <t xml:space="preserve">APARTAMENTO Á VENDA NO ANA MARIA</t>
  </si>
  <si>
    <t xml:space="preserve">Apartamento de 41m² com 01 quarto à venda   Vila Ana Maria</t>
  </si>
  <si>
    <t xml:space="preserve">Apartamento de 50m² com 01 quarto à venda   Jardim Paulista</t>
  </si>
  <si>
    <t xml:space="preserve">Apartamento de 01 quarto para locação  Jardim California</t>
  </si>
  <si>
    <t xml:space="preserve">Apartamento de 37m² com 1 quarto à venda   Jardim Ana Maria</t>
  </si>
  <si>
    <t xml:space="preserve">Apartamento de 46m² com 01 quarto para a venda   Centro</t>
  </si>
  <si>
    <t xml:space="preserve">R$ 231.000,00</t>
  </si>
  <si>
    <t xml:space="preserve">Apartamento de 57m² com 02 quartos à venda   Jardim Antártica</t>
  </si>
  <si>
    <t xml:space="preserve">R$ 232.000,00</t>
  </si>
  <si>
    <t xml:space="preserve">EXCELENTE APARTAMENTO NO GREENVILLE</t>
  </si>
  <si>
    <t xml:space="preserve">**Oportunidade Apartamento**</t>
  </si>
  <si>
    <t xml:space="preserve">APARTAMENTO NO JARDIM BOTÂNICO</t>
  </si>
  <si>
    <t xml:space="preserve">R$ 233.000,00</t>
  </si>
  <si>
    <t xml:space="preserve">Apartamento de 58m² com 01 quarto para locação e venda   Sumarezinho</t>
  </si>
  <si>
    <t xml:space="preserve">APARTAMENTO PRÓXIMO À AVENIDA LUZITANA</t>
  </si>
  <si>
    <t xml:space="preserve">R$ 233.200,00</t>
  </si>
  <si>
    <t xml:space="preserve">Apartamento de 39m² com 02 quartos à venda   Jardim Zara</t>
  </si>
  <si>
    <t xml:space="preserve">APARTAMENTO TÉRREO PARA LOCAÇÃO PRÓXIMO À USP</t>
  </si>
  <si>
    <t xml:space="preserve">Apartamento de 59m² com 02 quarto sendo 01 suíte para venda   Parque São Sebastião</t>
  </si>
  <si>
    <t xml:space="preserve">EXCELENTE APARTAMENTO À VENDA NO CENTRO DE RIBEIRÃO PRETO</t>
  </si>
  <si>
    <t xml:space="preserve">APARTAMENTO NO BAIRRO JARDIM NOVA ALIANÇA</t>
  </si>
  <si>
    <t xml:space="preserve">R$ 234.000,00</t>
  </si>
  <si>
    <t xml:space="preserve">Apartamento de 54² com 02 quartos para locação e venda   Reserva Sul Condomínio</t>
  </si>
  <si>
    <t xml:space="preserve">Apartamento de 53m² com 02 quartos à venda   Reserva Sul Condomínio</t>
  </si>
  <si>
    <t xml:space="preserve">LANÇAMENTO APARTAMENTO NA ZONA LESTE</t>
  </si>
  <si>
    <t xml:space="preserve">R$ 234.800,00</t>
  </si>
  <si>
    <t xml:space="preserve">R$ 234.900,00</t>
  </si>
  <si>
    <t xml:space="preserve">R$ 218.000,00</t>
  </si>
  <si>
    <t xml:space="preserve">Apartamento de 44m² com 02 quartos à venda   Recreio das Acácias</t>
  </si>
  <si>
    <t xml:space="preserve">Apartamento de 49m² com 01 quarto à venda   City Ribeirão</t>
  </si>
  <si>
    <t xml:space="preserve">Apartamento de 44m² com 02 quartos para venda   Recreio das Acácias</t>
  </si>
  <si>
    <t xml:space="preserve">Apartamento mobiliado de 40m² com 02 quartos á venda   Jardim Ouro Branco</t>
  </si>
  <si>
    <t xml:space="preserve">Apartamento duplex de 61m² com 03 quartos sendo 01 suíte para venda   Parque dos Lagos</t>
  </si>
  <si>
    <t xml:space="preserve">Apartamento de 43m² com 02 quartos para venda</t>
  </si>
  <si>
    <t xml:space="preserve">Apartamento de 57m² com 02 quartos à venda   Jardim Castelo Branco</t>
  </si>
  <si>
    <t xml:space="preserve">EXCELENTE APARTAMENTO NO CAMPOS ELISEOS</t>
  </si>
  <si>
    <t xml:space="preserve">EXCELENTE APARTAMENTO COM SUITE E ELEVADOR   OPORTUNIDADE</t>
  </si>
  <si>
    <t xml:space="preserve">APARTAMENTO PRÓXIMO À TRANSERP</t>
  </si>
  <si>
    <t xml:space="preserve">Apartamento de 56m² com 02 quartos à venda   Residencial Greenville</t>
  </si>
  <si>
    <t xml:space="preserve">APARTAMENTO MOBILIADO NO CENTRO</t>
  </si>
  <si>
    <t xml:space="preserve">APARTAMENTO NO JARDIM PALMARES</t>
  </si>
  <si>
    <t xml:space="preserve">Apartamento no Recanto da Lagoinha</t>
  </si>
  <si>
    <t xml:space="preserve">Apartamento de 59m² com 02 quartos à venda   Parque Industrial Lagoinha</t>
  </si>
  <si>
    <t xml:space="preserve">Apartamento de 61m² para locação e venda   Presidente Médici</t>
  </si>
  <si>
    <t xml:space="preserve">APARTAMAMENTO SEMI MOBILIADO RICO EM ARMÁRIOS</t>
  </si>
  <si>
    <t xml:space="preserve">Apartamento mobiliado com 02 quartos para locação   Jardim Paulista</t>
  </si>
  <si>
    <t xml:space="preserve">APARTAMENTO EM BONFIM PAULISTA.</t>
  </si>
  <si>
    <t xml:space="preserve">APARTAMENTO PRÓXIMO A RODOVIA ANTÔNIO MACHADO SANTANA</t>
  </si>
  <si>
    <t xml:space="preserve">APARTAMENTO NO BAIRRO ANA MARIA</t>
  </si>
  <si>
    <t xml:space="preserve">Apartamento com 72m² com 3 quartos à venda   Parque dos Bandeirantes</t>
  </si>
  <si>
    <t xml:space="preserve">Apartamento de 40m² com 02 quartos à venda   Jardim Castelo Branco</t>
  </si>
  <si>
    <t xml:space="preserve">R$ 238.500,00</t>
  </si>
  <si>
    <t xml:space="preserve">Apartamento de 48m² com 02 quartos à venda   Condomínio Mirante Sul</t>
  </si>
  <si>
    <t xml:space="preserve">R$ 239.000,00</t>
  </si>
  <si>
    <t xml:space="preserve">Apartamento térreo de 66m² á venda   Lagoinha</t>
  </si>
  <si>
    <t xml:space="preserve">Apartamento de 43m² de 01 suíte   Jardim Irajá</t>
  </si>
  <si>
    <t xml:space="preserve">Apartamento de 44m² com 01 quarto para venda e locação   Jardim Sumaré</t>
  </si>
  <si>
    <t xml:space="preserve">Apartamento de 46m² com 02 quartos para locação e venda   Reserva Sul Condomínio</t>
  </si>
  <si>
    <t xml:space="preserve">APARTAMENTO PRÓXIMO JARDIM MANOEL PENNA</t>
  </si>
  <si>
    <t xml:space="preserve">Apartamento flat de 01 quarto para locação e venda   Jardim Califórnia</t>
  </si>
  <si>
    <t xml:space="preserve">Apartamento de 68m² com 01 dormitório à venda   Jardim Sumaré</t>
  </si>
  <si>
    <t xml:space="preserve">R$ 238.900,00</t>
  </si>
  <si>
    <t xml:space="preserve">Apartamento reformado de 57m² com 02 quartos para venda   Alto da Boa Vista</t>
  </si>
  <si>
    <t xml:space="preserve">Apartamento de 45m² com 01 quarto para venda   Jardim Nova Aliança</t>
  </si>
  <si>
    <t xml:space="preserve">Apartamento de 45m² com 02 quartos para venda   Ribeirânia</t>
  </si>
  <si>
    <t xml:space="preserve">APARTAMENTO NO RESIDENCIAL TAMARINDOS</t>
  </si>
  <si>
    <t xml:space="preserve">Apartamento de 83m² com 02 quartos para locação   Vila Tibério</t>
  </si>
  <si>
    <t xml:space="preserve">Apartamento de 41m² com 1 quarto   Jd Nova Aliança Sul</t>
  </si>
  <si>
    <t xml:space="preserve">Apartamento/Padrão   Residencial   No bairro Residencial e Comercial Palmares   Edifício Rio Tâmisa</t>
  </si>
  <si>
    <t xml:space="preserve">Apartamento de 42m² com 02 quartos para venda e locação   Vila Virgínia</t>
  </si>
  <si>
    <t xml:space="preserve">Apartamento de 42m² com 02 Quartos a venda Quintino Face II</t>
  </si>
  <si>
    <t xml:space="preserve">Apartamento mobiliado de 47m² com 02 quartos para locação e venda   City Ribeirão</t>
  </si>
  <si>
    <t xml:space="preserve">Apartamento de 49m² com 02 quartos para locação   Jardim Paulistano</t>
  </si>
  <si>
    <t xml:space="preserve">Apartamento de 51m² com 02 quartos à venda   Residencial das Américas</t>
  </si>
  <si>
    <t xml:space="preserve">Apartamento de 43m² com 02 quartos para locação   Santa Marta em Bonfim Paulista</t>
  </si>
  <si>
    <t xml:space="preserve">Apartamento de 43m² com 02 quartos à venda   Parque dos Pinus</t>
  </si>
  <si>
    <t xml:space="preserve">APARTAMENTO NO BAIRRO JARDIM ANHANGUERA</t>
  </si>
  <si>
    <t xml:space="preserve">Apartamento de 62m² com 02 quartos sendo 01 suíte à venda   Residencial e Comercial Palmares</t>
  </si>
  <si>
    <t xml:space="preserve">Apartamento de 59m² com 02 quartos para locação   Centro</t>
  </si>
  <si>
    <t xml:space="preserve">Apartamento de 48m² com 02 quartos para venda   Vila Virgínia</t>
  </si>
  <si>
    <t xml:space="preserve">Apartamento de 49m² com 02 quartos para venda e locação   Reserva Sul</t>
  </si>
  <si>
    <t xml:space="preserve">ÓTIMO APARTAMENTO TÉRREO NO RESIDENCIAL GREENVILLE!</t>
  </si>
  <si>
    <t xml:space="preserve">Apartamento de 51m² com 02 quartos à venda   Campos Eliseos</t>
  </si>
  <si>
    <t xml:space="preserve">Apartamento 3 dormitórios no Interlagos.!</t>
  </si>
  <si>
    <t xml:space="preserve">APARTAMENTO PADRÃO NO JARDIM ANHAGUERA</t>
  </si>
  <si>
    <t xml:space="preserve">EXCELENTE APARTAMENTO PRÓXIMO À RUA JOÃO BIM</t>
  </si>
  <si>
    <t xml:space="preserve">Apartamento de 63m² com 01 quarto térreo no mirante Sul</t>
  </si>
  <si>
    <t xml:space="preserve">Apartamento de 40m² com 01 quarto   Centro</t>
  </si>
  <si>
    <t xml:space="preserve">Apartamento de 53m² com 2 quartos à venda   Condomínio Mirante Sul</t>
  </si>
  <si>
    <t xml:space="preserve">APARTAMENTO TÉRREO PRÓXIMO AO RIBEIRÃO SHOPPING</t>
  </si>
  <si>
    <t xml:space="preserve">Apartamento de 51m² com 02 quartos para venda   Presidente Médici</t>
  </si>
  <si>
    <t xml:space="preserve">Apartamento de 03 quartos para locação e venda   Campos Elíseos</t>
  </si>
  <si>
    <t xml:space="preserve">Apartamento de 58m² com 03 quartos à venda   Campos Elíseos</t>
  </si>
  <si>
    <t xml:space="preserve">Apartamento de 02 quartos para locação   Jardim Paulista</t>
  </si>
  <si>
    <t xml:space="preserve">Apartamento de 55m² com 01 quarto á venda   Centro</t>
  </si>
  <si>
    <t xml:space="preserve">APARTAMENTO NO JARDIM PRESIDENTE DUTRA</t>
  </si>
  <si>
    <t xml:space="preserve">APARRTAMENTO TÉRREO PRÓXIMO À AVENIDA BRAZ OLAIA ACOSTA</t>
  </si>
  <si>
    <t xml:space="preserve">Apartamento mobiliado de 40m² com 01 quarto para locação   Vila Tibério</t>
  </si>
  <si>
    <t xml:space="preserve">Apartamento de 51m² com 02 quartos para venda  </t>
  </si>
  <si>
    <t xml:space="preserve">Apartamento de 46² com 02 quartos para venda   Reserva Sul Condomínio</t>
  </si>
  <si>
    <t xml:space="preserve">Apartamento de 52m² com 02 quartos à venda   Jardim Zara</t>
  </si>
  <si>
    <t xml:space="preserve">Apartamento de 45m² com 01 quarto à venda   Jardim Botânico</t>
  </si>
  <si>
    <t xml:space="preserve">Apartamento de 02 quartos à venda   City Ribeirão.</t>
  </si>
  <si>
    <t xml:space="preserve">Apartamento de 03 quartos para locação   Jd Sumaré</t>
  </si>
  <si>
    <t xml:space="preserve">Apartamento de 48m² com 02 quartos para locação e venda   Vila Maria Luiza</t>
  </si>
  <si>
    <t xml:space="preserve">Apartamento de 01 quarto para locação   Vila Ana Maria</t>
  </si>
  <si>
    <t xml:space="preserve">ÓTIMO APARTAMENTO NO BAIRRO VILA TIBÉRIO</t>
  </si>
  <si>
    <t xml:space="preserve">R$ 241.000,00</t>
  </si>
  <si>
    <t xml:space="preserve">LINDO APARTAMENTO PRÓXIMO A AV. DOM PEDRO</t>
  </si>
  <si>
    <t xml:space="preserve">R$ 241.491,20</t>
  </si>
  <si>
    <t xml:space="preserve">Apartamento de 45m² com 02 quartos à venda   Jardim Orestes Lopes de Camargo</t>
  </si>
  <si>
    <t xml:space="preserve">R$ 242.194,50</t>
  </si>
  <si>
    <t xml:space="preserve">Apartamento de 47m² com 02 quartos à venda   City Ribeirão</t>
  </si>
  <si>
    <t xml:space="preserve">Apartamento de 65m² com 02 quartos à venda   Vila Tibério</t>
  </si>
  <si>
    <t xml:space="preserve">Apartamento de 76 m² com 03 quartos   Presidente Medici</t>
  </si>
  <si>
    <t xml:space="preserve">EXCELENTE APARTAMENTO NO VILA ANA MARIA</t>
  </si>
  <si>
    <t xml:space="preserve">R$ 244.000,00</t>
  </si>
  <si>
    <t xml:space="preserve">Apartamento de 67m² com 02 quartos para venda   Vila Amélia</t>
  </si>
  <si>
    <t xml:space="preserve">APARTAMENTO PRÓXIMO À AVENIDA LUIGI ROSIELLO</t>
  </si>
  <si>
    <t xml:space="preserve">Apartamento de 48m² com 02 quartos á venda   Alto do Ipiranga</t>
  </si>
  <si>
    <t xml:space="preserve">Apartamento de 59m² com 03 quartos para locação e venda   Campos Elíseos</t>
  </si>
  <si>
    <t xml:space="preserve">Apartamento 46m² com 02 quartos   Residencial Greenville</t>
  </si>
  <si>
    <t xml:space="preserve">R$ 219.999,00</t>
  </si>
  <si>
    <t xml:space="preserve">Apartamento de 48m² com 02 quartos para locação   Residencial Jequitibá</t>
  </si>
  <si>
    <t xml:space="preserve">EXCELENTE LOCALIZAÇÃO NA VILA TIBÉRIO</t>
  </si>
  <si>
    <t xml:space="preserve">APARTAMENTO 3 DORMITÓRIOS, BAIRRO LAGOINHA</t>
  </si>
  <si>
    <t xml:space="preserve">Apartamento de 54m² com 02 quartos à venda   Dom Bernardo José Mielle</t>
  </si>
  <si>
    <t xml:space="preserve">Apartamento de 76m² com 02 quartos à venda   Centro</t>
  </si>
  <si>
    <t xml:space="preserve">Apartamento de 60m² com 02 quartos à venda   Jardim Paulistano</t>
  </si>
  <si>
    <t xml:space="preserve">APARTAMENTO NO BAIRRO JARDIM MANOEL PENNA</t>
  </si>
  <si>
    <t xml:space="preserve">APARTAMENTO DIFERENCIADO NO SUMAREZINHO</t>
  </si>
  <si>
    <t xml:space="preserve">*** Ótima Oportunidade Apartamento no Parque São Sebastião***</t>
  </si>
  <si>
    <t xml:space="preserve">Apartamento de 30m² com 01 quarto à venda   Nova Aliança</t>
  </si>
  <si>
    <t xml:space="preserve">Apartamento de 33m² com 01 quarto para locação e venda   Nova Aliança</t>
  </si>
  <si>
    <t xml:space="preserve">Apartamento de 42m² com 01 quarto para locação   Jardim Nova Aliança Sul</t>
  </si>
  <si>
    <t xml:space="preserve">Apartamento de 42m² com 01 quarto para a locação e venda   Vila Ana Maria</t>
  </si>
  <si>
    <t xml:space="preserve">Apartamento de 72m² com 03 quartos à venda   Presidente Médici</t>
  </si>
  <si>
    <t xml:space="preserve">Apartamento de 37 m² com 01 quarto   Presidente Medici</t>
  </si>
  <si>
    <t xml:space="preserve">Apartamento de 47m² com 01 quarto para locação e venda   Nova Aliança</t>
  </si>
  <si>
    <t xml:space="preserve">EXCELENTE APARTAMENTO PRÓXIMO À AVENIDA LEÃO XIII</t>
  </si>
  <si>
    <t xml:space="preserve">R$ 246.000,00</t>
  </si>
  <si>
    <t xml:space="preserve">R$ 247.000,00</t>
  </si>
  <si>
    <t xml:space="preserve">Apartamento de 64m² com 02 quartos sendo 01 suíte à venda   Jardim Itaporã</t>
  </si>
  <si>
    <t xml:space="preserve">APARTAMENTO NO JARDIM ANHANGUERA</t>
  </si>
  <si>
    <t xml:space="preserve">****APARTAMENTO NA VILA VIRGINIA****</t>
  </si>
  <si>
    <t xml:space="preserve">R$ 248.450,00</t>
  </si>
  <si>
    <t xml:space="preserve">Apartamento de 50m² com 02 quartos à venda   Jardim Bom Pastor</t>
  </si>
  <si>
    <t xml:space="preserve">R$ 249.000,00</t>
  </si>
  <si>
    <t xml:space="preserve">R$ 249.100,00</t>
  </si>
  <si>
    <t xml:space="preserve">R$ 249.900,00</t>
  </si>
  <si>
    <t xml:space="preserve">Apartamento de 376m² com 04 suítes à venda   Jardim Olhos D`Água</t>
  </si>
  <si>
    <t xml:space="preserve">R$ 3.150.000,00</t>
  </si>
  <si>
    <t xml:space="preserve">R$ 156.000,00</t>
  </si>
  <si>
    <t xml:space="preserve">Apartamento de 02 quartos para locação   Reserva Sul</t>
  </si>
  <si>
    <t xml:space="preserve">Excelente apartamento Térreo com quintal.</t>
  </si>
  <si>
    <t xml:space="preserve">Apartamento duplex de 61m² com 03 quartos para venda e locação   Parque dos Lagos</t>
  </si>
  <si>
    <t xml:space="preserve">Apartamento com 54m² com 02 quartos à venda   Jardim Zara</t>
  </si>
  <si>
    <t xml:space="preserve">Apartamento de 46m² com 02 quartos para venda   Lagoinha</t>
  </si>
  <si>
    <t xml:space="preserve">Apartamento de 49m² com 02 quartos para venda   Parque Industrial Lagoinha.</t>
  </si>
  <si>
    <t xml:space="preserve">APARTAMENTO TÉRREO PRÓXIMO A AVENIDA SENADOR CÉSAR VERGUEIRO</t>
  </si>
  <si>
    <t xml:space="preserve">Apartamento de 76 m² com 03 quartos   Presidente Médici</t>
  </si>
  <si>
    <t xml:space="preserve">Apartamento de 46m² com 02 quartos para venda   Jardim Paulistano</t>
  </si>
  <si>
    <t xml:space="preserve">Apartamento de 56m² com 02 quartos sendo 01 suíte à venda   Chácara Pedro Correa de Carvalho</t>
  </si>
  <si>
    <t xml:space="preserve">LINDO APARTAMENTO NO PARQUE ANHANGUERA</t>
  </si>
  <si>
    <t xml:space="preserve">APARTAMENTO PADRÃO 1 DORMITÓRIO   CENTRO   RIBEIRÃO PRETO SP</t>
  </si>
  <si>
    <t xml:space="preserve">Apartamento de 44m² com 01 quarto à venda   Jardim Sumaré</t>
  </si>
  <si>
    <t xml:space="preserve">Apartamento de 38m² com 01 quarto para venda   Presidente Médici</t>
  </si>
  <si>
    <t xml:space="preserve">Apartamento de 01 quarto para locação   Vila Seixas</t>
  </si>
  <si>
    <t xml:space="preserve">Apartamento Mobiliado de 52m² com 02 quartos à venda   Jardim do Trêvo</t>
  </si>
  <si>
    <t xml:space="preserve">Apartamento duplex com 02 quartos à venda   Jardim Zara</t>
  </si>
  <si>
    <t xml:space="preserve">Apartamento de 54m² com 02 quartos para venda  Parque São Sebastião.</t>
  </si>
  <si>
    <t xml:space="preserve">Apartamento de 73m² com 03 quartos para venda   Residencial Lívia</t>
  </si>
  <si>
    <t xml:space="preserve">Apartamento de 44m² com 01 suíte à venda   Nova Aliança</t>
  </si>
  <si>
    <t xml:space="preserve">Apartamento térreo de 94m² com 03 quartos para locação   Vila Monte Alegre</t>
  </si>
  <si>
    <t xml:space="preserve">Apartamento térreo de 47m² com 02 quartos à venda   Jardim Regatas</t>
  </si>
  <si>
    <t xml:space="preserve">Apartamento de 41m² com 01 quarto à venda   Vila Monte Alegre</t>
  </si>
  <si>
    <t xml:space="preserve">Apartamento de 51m² com 2 quartos e quintal à venda   Residencial Greenville</t>
  </si>
  <si>
    <t xml:space="preserve">Apartamento de 53m² com 02 quartos á venda   Quinta da Primavera</t>
  </si>
  <si>
    <t xml:space="preserve">Apartamento</t>
  </si>
  <si>
    <t xml:space="preserve">Apartamento de 52m² com 02 quartos à venda   Jardim Anhanguera</t>
  </si>
  <si>
    <t xml:space="preserve">Apartamento de 72m² com 02 quartos para venda   Jardim Castelo Branco</t>
  </si>
  <si>
    <t xml:space="preserve">Apartamento de 65m² com 02 quartos à venda   Parque Anhanguera</t>
  </si>
  <si>
    <t xml:space="preserve">Apartamento de 46m² com 01 quarto 01 vaga de garagem à venda   Centro</t>
  </si>
  <si>
    <t xml:space="preserve">Apartamento de 44m² com 02 quartos à venda   Jardim Paulista</t>
  </si>
  <si>
    <t xml:space="preserve">Apartamento de 64m² com 02 quartos à venda   Presidente Médici</t>
  </si>
  <si>
    <t xml:space="preserve">Apartamento de 66m² com 03 quartos sendo 01 suíte para locação   Parque Industrial Lagoinha</t>
  </si>
  <si>
    <t xml:space="preserve">Apartamento de 86m² com 03 quartos à venda   Jardim Castelo Branco</t>
  </si>
  <si>
    <t xml:space="preserve">Apartamento térreo de 52m² com 02 quartos à venda   Residencial Greenville</t>
  </si>
  <si>
    <t xml:space="preserve">Apartamento de 45m² com 01 quarto à venda   Jardim Irajá</t>
  </si>
  <si>
    <t xml:space="preserve">Apartamento de 46m² com 02 quartos à venda   Jardim Manoel Penna</t>
  </si>
  <si>
    <t xml:space="preserve">Apartamento de 48m² 02 quartos para locação e venda   Ipiranga</t>
  </si>
  <si>
    <t xml:space="preserve">Apartamento de 67m² com 02 quartos para venda   Residencial Florida</t>
  </si>
  <si>
    <t xml:space="preserve">Apartamento de 38m² com 01 quarto   Condomínio Itamaraty</t>
  </si>
  <si>
    <t xml:space="preserve">Apartamento de 43m² com 02 quartos à venda   Recreio das Acácias</t>
  </si>
  <si>
    <t xml:space="preserve">Apartamento de 72m² com 02 quartos à venda   Jardim Palma Travassos</t>
  </si>
  <si>
    <t xml:space="preserve">EXCELENTE APARTAMENTO PARA VENDA NO BAIRRO JARDIM IRAJÁ</t>
  </si>
  <si>
    <t xml:space="preserve">EXCELENTE APARTAMENTO PARA VENDA NO BAIRRO LAGOINHA</t>
  </si>
  <si>
    <t xml:space="preserve">Apartamento de 43m² com 02 quartos   Santa Marta em Bonfim Paulista</t>
  </si>
  <si>
    <t xml:space="preserve">Apartamento de 47m² com 02 quartos para locação  City Ribeirão</t>
  </si>
  <si>
    <t xml:space="preserve">LINDO APARTAMENTO NO IGUATEMI</t>
  </si>
  <si>
    <t xml:space="preserve">EXCELENTE APARTAMENTO TÉRREO NO PRESIDENTE MEDICI</t>
  </si>
  <si>
    <t xml:space="preserve">APARTAMENTO PRÓXIMO JARDIM PAULISTA</t>
  </si>
  <si>
    <t xml:space="preserve">Apartamento de 81m² com 02 quartos à venda   Nova Ribeirânia</t>
  </si>
  <si>
    <t xml:space="preserve">Apartamento Condomínio Mirante Sul Resort</t>
  </si>
  <si>
    <t xml:space="preserve">UMA ÓTIMA OPORTUNIDADE</t>
  </si>
  <si>
    <t xml:space="preserve">Apartamento de 55m² com 01 quarto para venda   Centro</t>
  </si>
  <si>
    <t xml:space="preserve">APARTAMENTO PRÓXIMO À AVENIDA CORONEL QUITO JUNQUEIRA</t>
  </si>
  <si>
    <t xml:space="preserve">Apartamento a Venda no Centro de Ribeirão Preto</t>
  </si>
  <si>
    <t xml:space="preserve">Apartamento de 58m² com 02 quartos   Campos Eliseos</t>
  </si>
  <si>
    <t xml:space="preserve">Apartamento de 72m² com 02 quartos à venda   Presidente Médici</t>
  </si>
  <si>
    <t xml:space="preserve">Apartamento de 45m² com 02 quartos para venda   Vila Virgínia</t>
  </si>
  <si>
    <t xml:space="preserve">Apartamento de 50m² com 02 quartos á venda   Alto do Ipiranga</t>
  </si>
  <si>
    <t xml:space="preserve">EXCELENTE APARTAMENTO RESIDENCIAL FLOR DE LOTUS</t>
  </si>
  <si>
    <t xml:space="preserve">Apartamento com 01 dormitórios à venda   Centro</t>
  </si>
  <si>
    <t xml:space="preserve">APARTAMENTO DIFERENCIADO NO IPIRANGA</t>
  </si>
  <si>
    <t xml:space="preserve">Apartamento de 47m² com 01 quarto   Vila Seixas</t>
  </si>
  <si>
    <t xml:space="preserve">Apartamento de 42m² com 01 quarto à venda   Nova Aliança.</t>
  </si>
  <si>
    <t xml:space="preserve">APARTAMENTO PRÓXIMO À AVENIDA NOVE DE JULHO</t>
  </si>
  <si>
    <t xml:space="preserve">Apartamento de 76m² com 02 quartos sendo 01 suíte á venda   Alto do Ipiranga</t>
  </si>
  <si>
    <t xml:space="preserve">**APARTAMENTO PRÓXIMO BANANAL</t>
  </si>
  <si>
    <t xml:space="preserve">Apartamento mobiliado de 37m² com 01 quarto para locação e venda   Nova Aliança</t>
  </si>
  <si>
    <t xml:space="preserve">Apartamento de 40m² com 01 quarto para venda   Jardim Palma Travassos</t>
  </si>
  <si>
    <t xml:space="preserve">Apartamento de 79m² com 03 quartos para venda   Jardim Mosteiro</t>
  </si>
  <si>
    <t xml:space="preserve">Apartamento de 39m² com 01 quarto para venda   Vila Ana Maria</t>
  </si>
  <si>
    <t xml:space="preserve">APARTAMENTO TERREO PRÓXIMO À AVENIDA TREZE DE MAIO</t>
  </si>
  <si>
    <t xml:space="preserve">APARTAMENTO TÉRREO PRÓXIMO À AVENIDA BARÃO DO BANANAL</t>
  </si>
  <si>
    <t xml:space="preserve">*** Excelente Oportunidade***</t>
  </si>
  <si>
    <t xml:space="preserve">Apartamento de 42m² com 02 quartos para locação e venda   Vila Ana Maria</t>
  </si>
  <si>
    <t xml:space="preserve">Apartamento de 64m² com 02 quartos sendo 01 suíte à venda   Jardim Anhangüera</t>
  </si>
  <si>
    <t xml:space="preserve">Apartamento de 45m²com 01 quarto para locação   Nova Aliança</t>
  </si>
  <si>
    <t xml:space="preserve">**LINDO APARTAMENTO PRÓXIMO A NESTLE**</t>
  </si>
  <si>
    <t xml:space="preserve">Apartamento de 43m² com 01 quarto à venda   Vila Ana Maria</t>
  </si>
  <si>
    <t xml:space="preserve">Apartamento de 69m² com 03 quartos sendo 01 suíte à venda   Centro</t>
  </si>
  <si>
    <t xml:space="preserve">Apartamento de 74m² com 3 quartos à venda   Residencial Palmares</t>
  </si>
  <si>
    <t xml:space="preserve">Apartamento de 64m² com 03 quartos à venda   Jardim Palma Travassos</t>
  </si>
  <si>
    <t xml:space="preserve">Apartamento de 53m² com 01 quarto à venda   Centro</t>
  </si>
  <si>
    <t xml:space="preserve">** OPORTUNIDADE DE APARTAMENTO NO PALMARES **</t>
  </si>
  <si>
    <t xml:space="preserve">Apartamento de 57m² com 02 quartos   Jardim Paulista</t>
  </si>
  <si>
    <t xml:space="preserve">Apartamento de 95m²...Oportunidade!</t>
  </si>
  <si>
    <t xml:space="preserve">Apartamento de 67m² com 02 quartos   Vila Amélia</t>
  </si>
  <si>
    <t xml:space="preserve">Apartamento loft de 34m² com 01 quarto à venda   Santa Cruz do José Jacques</t>
  </si>
  <si>
    <t xml:space="preserve">Apartamento de 2 quartos para locação e venda   Vila Virgínia</t>
  </si>
  <si>
    <t xml:space="preserve">Apartamento de 45m² com 01 quarto   Nova Aliança</t>
  </si>
  <si>
    <t xml:space="preserve">Apartamento de 41m² com 01 quarto para à venda   Jardim Irajá</t>
  </si>
  <si>
    <t xml:space="preserve">Apartamento de 66m² com 02 quartos à venda   Alto do Ipiranga</t>
  </si>
  <si>
    <t xml:space="preserve">Apartamento de 45m² com 02 quartos á venda   Nova Aliança</t>
  </si>
  <si>
    <t xml:space="preserve">Apartamento de 38m² com 01 quarto para locação   Nova Aliança</t>
  </si>
  <si>
    <t xml:space="preserve">Apartamento de 69m² com 01 quarto   Centro</t>
  </si>
  <si>
    <t xml:space="preserve">Apartamento de 110m² com armarios a venda   Jardim Macedo</t>
  </si>
  <si>
    <t xml:space="preserve">Apartamento 2 dormitórios próximo a avenida Independência   65m²</t>
  </si>
  <si>
    <t xml:space="preserve">Excelente apartamento no Nova Aliança Sul.</t>
  </si>
  <si>
    <t xml:space="preserve">Apartamento de 63m² com 01 quarto à venda   Centro</t>
  </si>
  <si>
    <t xml:space="preserve">Apartamento semi mobiliado para venda   Nova Aliança</t>
  </si>
  <si>
    <t xml:space="preserve">Apartamento de 43m² com 01 quarto para venda   Jardim Irajá</t>
  </si>
  <si>
    <t xml:space="preserve">EXCELNTE APARTAMENTO PRÓXIMO À FACULDADE BARÃO DE MAUÁ</t>
  </si>
  <si>
    <t xml:space="preserve">Apartamento de 01 quarto á venda   Vila Seixas</t>
  </si>
  <si>
    <t xml:space="preserve">Apartamento de 57,7m² com 2 quartos à venda   Alto da Boa Vista</t>
  </si>
  <si>
    <t xml:space="preserve">Apartamento de 90m² com 03 quartos sendo 01 suíte para locação   Jardim Anhanguera</t>
  </si>
  <si>
    <t xml:space="preserve">Apartamento de 46m² com 02 quartos para locação e venda   Nova Aliança</t>
  </si>
  <si>
    <t xml:space="preserve">Apartamento de 69m² com 02 quartos para venda   Jardim Independência</t>
  </si>
  <si>
    <t xml:space="preserve">Apartamento de 67m² com 02 quartos à venda   Jardim Anhanguera</t>
  </si>
  <si>
    <t xml:space="preserve">Apartamento de 44m² com 01 suíte para locação e venda   Jardim Sumaré</t>
  </si>
  <si>
    <t xml:space="preserve">Apartamento de 96m² com 03 quartos à venda   Jardim Paulista</t>
  </si>
  <si>
    <t xml:space="preserve">Apartamento de 42m² com 01 quarto para venda e locação   Vila Ana Maria</t>
  </si>
  <si>
    <t xml:space="preserve">R$ 251.000,00</t>
  </si>
  <si>
    <t xml:space="preserve">Apartamento de 51m² com 02 quartos sendo 01 suíte à venda   Presidente Médici</t>
  </si>
  <si>
    <t xml:space="preserve">Apartamento reformado de 46m² com 02 quartos à venda   City Ribeirão</t>
  </si>
  <si>
    <t xml:space="preserve">R$ 254.000,00</t>
  </si>
  <si>
    <t xml:space="preserve">Apartamento de 54m² com 02 quartos para venda   Residencial e Comercial Palmares</t>
  </si>
  <si>
    <t xml:space="preserve">Apartamento de 42m² com 02 quartps à venda   Ipiranga</t>
  </si>
  <si>
    <t xml:space="preserve">Apartamento de 02 quartos á venda   Vila Maria Luiza</t>
  </si>
  <si>
    <t xml:space="preserve">Apartamento térreo de 34m² com 01 quarto à venda   Bonfim Paulista</t>
  </si>
  <si>
    <t xml:space="preserve">Apartamento de 67m² com 03 quartos à venda   Jardim Palma Travassos</t>
  </si>
  <si>
    <t xml:space="preserve">APARTAMENTO PRÓXIMO Á AVENIDA CARAMURU</t>
  </si>
  <si>
    <t xml:space="preserve">EXCELENTE APARTAMENTO NO CAMPOS ELÍSEOS</t>
  </si>
  <si>
    <t xml:space="preserve">Apartamento de 58m² com 02 quartos sendo 01 suíte à venda   Campos Elíseos</t>
  </si>
  <si>
    <t xml:space="preserve">R$ 255.000,00</t>
  </si>
  <si>
    <t xml:space="preserve">Apartamento de 80m² com 03 quartos à venda   Jardim Palma Travassos</t>
  </si>
  <si>
    <t xml:space="preserve">Apartamento de 52m² com 02 quartos à venda   Alto do Ipiranga</t>
  </si>
  <si>
    <t xml:space="preserve">Apartamento de 53m² à venda   Residencial Greenville</t>
  </si>
  <si>
    <t xml:space="preserve">Apartamento de 44m² com 02 quartos à venda   Reserva Imperial</t>
  </si>
  <si>
    <t xml:space="preserve">Apartamento de 40m² com 02 quartos   Recreio das Acácias</t>
  </si>
  <si>
    <t xml:space="preserve">EXCELENTE APARTAMENTO À VENDA NA CITY RIBEIRÃO</t>
  </si>
  <si>
    <t xml:space="preserve">APARTAMENTO NO RESIDENCIAL PALMARES</t>
  </si>
  <si>
    <t xml:space="preserve">Apartamento de 48m² com 02 quartos para locação e venda   Condomínio Mirante Sul</t>
  </si>
  <si>
    <t xml:space="preserve">APARTAMENTO PRÓXIMO A AV. PORTUGAL</t>
  </si>
  <si>
    <t xml:space="preserve">EXCELENTE APARTAMENTO NA LAGOINHA</t>
  </si>
  <si>
    <t xml:space="preserve">Apartamento de 82m² com 03 quartos para locação e venda   Palmares</t>
  </si>
  <si>
    <t xml:space="preserve">Apartamento de 43m² com 01 quarto para venda   Vila Ana Maria</t>
  </si>
  <si>
    <t xml:space="preserve">Apartamento de 48m² com 01 quarto à venda   Centro</t>
  </si>
  <si>
    <t xml:space="preserve">Apartamento de 53m² com 02 quartos para locação e venda   Condomínio Mirante Sul</t>
  </si>
  <si>
    <t xml:space="preserve">Apartamento de 59m² com 02 quartos à venda   Residencial e Comercial Palmares</t>
  </si>
  <si>
    <t xml:space="preserve">Apartamento de 46m² com 01 quartos para locação   Vila Seixas</t>
  </si>
  <si>
    <t xml:space="preserve">Apartamento de 48m² com 01 suíte para venda   Centro</t>
  </si>
  <si>
    <t xml:space="preserve">Apartamento de 3 quartos   Vila Tibério</t>
  </si>
  <si>
    <t xml:space="preserve">Apartamento de 56m² com 02 quartos à venda   Ipiranga</t>
  </si>
  <si>
    <t xml:space="preserve">R$ 258.000,00</t>
  </si>
  <si>
    <t xml:space="preserve">Apartamento de 46m² com 01 quarto para venda   Jardim Paulista</t>
  </si>
  <si>
    <t xml:space="preserve">Apartamento de 61m² com 02 quartos à venda   Jardim Zara</t>
  </si>
  <si>
    <t xml:space="preserve">R$ 258.900,00</t>
  </si>
  <si>
    <t xml:space="preserve">Exclusividade   Apartamento de 46m² com 02 quartos à venda   Clube Parque das Árvores</t>
  </si>
  <si>
    <t xml:space="preserve">Apartamento de 50m² com 02 quartos à venda   Jardim Novo Mundo</t>
  </si>
  <si>
    <t xml:space="preserve">R$ 259.000,00</t>
  </si>
  <si>
    <t xml:space="preserve">R$ 259.900,00</t>
  </si>
  <si>
    <t xml:space="preserve">Apartamento de 322m² com 04 suítes e 04 vagas de garagem para locação e venda   Vila do Golf</t>
  </si>
  <si>
    <t xml:space="preserve">R$ 2.880.000,00</t>
  </si>
  <si>
    <t xml:space="preserve">Apartamento de 69m² com 02 quartos à venda   Jardim Macedo</t>
  </si>
  <si>
    <t xml:space="preserve">Apartamento de 69m² com 02 quartos   Jardim Paulista</t>
  </si>
  <si>
    <t xml:space="preserve">Apartamento de 55m² com 01 quarto à venda   Centro</t>
  </si>
  <si>
    <t xml:space="preserve">Apartamento de 48m² com 02 quartos para venda   Guaporé</t>
  </si>
  <si>
    <t xml:space="preserve">Apartamento de 48m² com 02 quartos para venda   Jardim Paulistano</t>
  </si>
  <si>
    <t xml:space="preserve">Apartamento de 41m² com 02 quartos à venda   Residencial Greenville</t>
  </si>
  <si>
    <t xml:space="preserve">Apartamento de 68m² com 03 quartos para locação   Lagoinha</t>
  </si>
  <si>
    <t xml:space="preserve">Apartamento de 57m² com 02 quartos sendo 01 suíte para venda   Residencial Greenville</t>
  </si>
  <si>
    <t xml:space="preserve">Apartamento de 78m² com 02 quartos para locação e venda   Centro</t>
  </si>
  <si>
    <t xml:space="preserve">Apartamento térreo de 40m² com 02 quartos para locação   Jardim Ouro Branco</t>
  </si>
  <si>
    <t xml:space="preserve">Apartamento de 62m² com 03 quartos à venda   Presidente Médici</t>
  </si>
  <si>
    <t xml:space="preserve">Apartamento de 83m² com 03 quartos sendo 01 suíte à venda   Presidente Médici</t>
  </si>
  <si>
    <t xml:space="preserve">Apartamento de 55m² com 02 quartos à venda   Vila Ana Maria</t>
  </si>
  <si>
    <t xml:space="preserve">Apartamento de 47m² com 02 quartos à venda   Ipiranga</t>
  </si>
  <si>
    <t xml:space="preserve">Apartamento de 56m² com 02 quartos sendo 01 suíte à venda   Chácaras Pedro Corrêa de Carvalho</t>
  </si>
  <si>
    <t xml:space="preserve">Apartamento mobiliado de 35m² com 01 quarto para locação e venda   Vila Seixas</t>
  </si>
  <si>
    <t xml:space="preserve">Apartamento de 47m² com 02 quartos á venda   Ipiranga</t>
  </si>
  <si>
    <t xml:space="preserve">Apartamento de 45m² com 01 quarto para venda   Recreio das Acácias</t>
  </si>
  <si>
    <t xml:space="preserve">Apartamento de 47m² com 01 quarto à venda   Vila Seixas</t>
  </si>
  <si>
    <t xml:space="preserve">Apartamento de 51m² com 02 quartos à venda   Jardim Novo Mundo</t>
  </si>
  <si>
    <t xml:space="preserve">Apartamento térreo de 81m² com 02 quartos com 01 suíte e 02 vagas de garagem à venda   Jardim Novo Mundo</t>
  </si>
  <si>
    <t xml:space="preserve">Apartamento térreo de 58m² com 02 quartos à venda   Residencial Greenville</t>
  </si>
  <si>
    <t xml:space="preserve">Apartamento de 91m² com 03 quartos à venda   Jardim Anhanguera</t>
  </si>
  <si>
    <t xml:space="preserve">Apartamento de 48m² com 02 quartos para locação   Jardim Paulistano</t>
  </si>
  <si>
    <t xml:space="preserve">Apartamento térreo de 54m² com 02 quartos sendo 01 suíte à venda   Residencial Greenville</t>
  </si>
  <si>
    <t xml:space="preserve">Apartamento de 75m² com 02 quartos à venda   Vila Amélia</t>
  </si>
  <si>
    <t xml:space="preserve">Apartamento de 49m² com 02 quartos à venda   Quintas de São José</t>
  </si>
  <si>
    <t xml:space="preserve">Apartamento de 56m² com 02 quartos à venda   Chácara Pedro Correa de Carvalho</t>
  </si>
  <si>
    <t xml:space="preserve">Excelente apartamento no Jardim Botânico</t>
  </si>
  <si>
    <t xml:space="preserve">LINDO APARTAMENTO NO JARDIM PALMA TRAVASSOS</t>
  </si>
  <si>
    <t xml:space="preserve">APARTAMENTO EM EXCELENTE LOCALIZAÇÃO NO CENTRO</t>
  </si>
  <si>
    <t xml:space="preserve">APARTAMENTO NO CENTRO EDIFICIO TABAJARA</t>
  </si>
  <si>
    <t xml:space="preserve">Apartamento de 57m² com 02 quartos e quintal à venda   Residencial Greenville</t>
  </si>
  <si>
    <t xml:space="preserve">Apartamento de 47m² com 02 quartos à venda   Vila Virgínia</t>
  </si>
  <si>
    <t xml:space="preserve">EXCELENTE APARTAMENTO PARA LOCAÇÃO E VENDA NO BAIRRO JARDIM PALMARES.</t>
  </si>
  <si>
    <t xml:space="preserve">EXCELENTE OPORTUNIDADE DE APARTAMENTO NO CENTRO</t>
  </si>
  <si>
    <t xml:space="preserve">Apartamento de 02 quartos para locação   Jardim Antártica</t>
  </si>
  <si>
    <t xml:space="preserve">Apartamento de 71m² com 03 quartos à venda   Vila Monte Alegre</t>
  </si>
  <si>
    <t xml:space="preserve">Apartamento de 84m² com 02 quartos   Jardim Paulista</t>
  </si>
  <si>
    <t xml:space="preserve">Apartamento 48m² com 02 quartos à venda   Parque São Sebastião</t>
  </si>
  <si>
    <t xml:space="preserve">APARTAMENTO NO RESIDENCIAL FLORIDA</t>
  </si>
  <si>
    <t xml:space="preserve">Apartamento térrea de 53m² com 02 quartos para venda   Jardim Manoel Penna</t>
  </si>
  <si>
    <t xml:space="preserve">Apartamento de 50m² com 02 quartos à venda   Jardim Anhangüera</t>
  </si>
  <si>
    <t xml:space="preserve">Apartamento de 75m² com 03 quartos   Presidente Médici</t>
  </si>
  <si>
    <t xml:space="preserve">APARTAMENTO COM PORTARIA 24 HORAS NO CENTRO</t>
  </si>
  <si>
    <t xml:space="preserve">* Excelente Oportunidade *</t>
  </si>
  <si>
    <t xml:space="preserve">Apartamento de 79 m² com 03 quartos à venda   Campos Elíseos</t>
  </si>
  <si>
    <t xml:space="preserve">Apartamento com 65m² de 02 quartos   Centro</t>
  </si>
  <si>
    <t xml:space="preserve">Apartamento de 68m² com 3 quartos e suíte   Centro</t>
  </si>
  <si>
    <t xml:space="preserve">Apartamento de 46m² com 01 quarto à venda   Nova Aliança</t>
  </si>
  <si>
    <t xml:space="preserve">Apartamento de 49m² com 02 quartos sendo 01 suíte para locação e venda  Nova Aliança</t>
  </si>
  <si>
    <t xml:space="preserve">Apartamento de 01 quarto para locação   Jardim Botânico</t>
  </si>
  <si>
    <t xml:space="preserve">Apartamento novo de 51m² com 02 quartos à venda   Jardim Novo Mundo</t>
  </si>
  <si>
    <t xml:space="preserve">R$ 263.500,79</t>
  </si>
  <si>
    <t xml:space="preserve">APARTAMENTO NOVO NO BAIRRO JARDIM ANHANGUERA</t>
  </si>
  <si>
    <t xml:space="preserve">Apartamento de 56m² com 02 quartos para venda   Parque São Sebastião</t>
  </si>
  <si>
    <t xml:space="preserve">R$ 262.000,00</t>
  </si>
  <si>
    <t xml:space="preserve">Apartamento de 50m² com 02 quartos e sacada à venda   Fiúsa 016</t>
  </si>
  <si>
    <t xml:space="preserve">R$ 264.600,00</t>
  </si>
  <si>
    <t xml:space="preserve">R$ 264.947,70</t>
  </si>
  <si>
    <t xml:space="preserve">Apartamento de 82m² com 02 quartos à venda   Campos Elíseos</t>
  </si>
  <si>
    <t xml:space="preserve">Apartamento de 47m² com 02 quartos à venda   Campos Elíseos</t>
  </si>
  <si>
    <t xml:space="preserve">Apartamento com 49m² com 02 quartos à venda   Jardim Novo Mundo</t>
  </si>
  <si>
    <t xml:space="preserve">Apartamento de 69m² com 02 quartos à venda   Jardim Anhanguera</t>
  </si>
  <si>
    <t xml:space="preserve">Apartamento do 48m² com 02 quartos para a locação   Campos Elíseos</t>
  </si>
  <si>
    <t xml:space="preserve">Apartamento de 52m² com 02 quartos à venda   Jardim Bom Pastor</t>
  </si>
  <si>
    <t xml:space="preserve">Apartamento de 29m² com 01 quarto à venda   Jardim Palma Travassos</t>
  </si>
  <si>
    <t xml:space="preserve">Apartamento de 48m² 02 quartos para locação e venda   Bonfim Paulista</t>
  </si>
  <si>
    <t xml:space="preserve">Apartamento de 55m² com 01 quarto para locação e venda   Centro</t>
  </si>
  <si>
    <t xml:space="preserve">APARTAMENTO NO PALMARES</t>
  </si>
  <si>
    <t xml:space="preserve">Apartamento de 51m² com 02 quartos para venda   Jardim Zara</t>
  </si>
  <si>
    <t xml:space="preserve">Apartamento de 73m² com 02 quartos à venda   Residencial e Comercial Palmares</t>
  </si>
  <si>
    <t xml:space="preserve">Apartamento de 63m² com 02 quartos à venda   Planalto Verde</t>
  </si>
  <si>
    <t xml:space="preserve">Apartamento de 60m² com 02 quartos para venda   Jardim Anhanguera</t>
  </si>
  <si>
    <t xml:space="preserve">Apartamento de 46m² com 02 quartos à venda   Bonfim Paulista</t>
  </si>
  <si>
    <t xml:space="preserve">Apartamento de 66m² com 02 quartos sendo 01 suíte à venda   Parque Industrial Lagoinha</t>
  </si>
  <si>
    <t xml:space="preserve">Apartamento mobiliado de 46m² com 02 quartos à venda   Nova Aliança</t>
  </si>
  <si>
    <t xml:space="preserve">Apartamento de 53m² com 01 quarto para locação   Residencial e Comercial Palmares</t>
  </si>
  <si>
    <t xml:space="preserve">Apartamento de 34 m² com 1 quarto   Bonfim Paulista</t>
  </si>
  <si>
    <t xml:space="preserve">Apartamento de 42m² com 02 quartos   Residencial Parque dos Servidores</t>
  </si>
  <si>
    <t xml:space="preserve">APARTAMENTO À VENDA NO BAIRRO RIBEIRÃO VERDE</t>
  </si>
  <si>
    <t xml:space="preserve">APARTAMENTO NO CENTRO DE RIBEIRÃO PRETO</t>
  </si>
  <si>
    <t xml:space="preserve">APARTAMENTO NA VILA TAMANDARÉ</t>
  </si>
  <si>
    <t xml:space="preserve">EXCELENTE APARTAMENTO, NOVO, PARA LOCAÇÃO E VENDA NA AVENIDA BARÃO DO BANANAL</t>
  </si>
  <si>
    <t xml:space="preserve">APARTAMENTO NO PARQUE DOS BANDEIRANTES</t>
  </si>
  <si>
    <t xml:space="preserve">EXCELENTE APARTAMENTO NO BAIRRO VILA ANA MARIA</t>
  </si>
  <si>
    <t xml:space="preserve">Ótimo apartamento próximo ao Sesi</t>
  </si>
  <si>
    <t xml:space="preserve">Kitnet de 30m² com 01 para venda   Vila Seixas</t>
  </si>
  <si>
    <t xml:space="preserve">Ótimo apartamento padrão na Zona Sul</t>
  </si>
  <si>
    <t xml:space="preserve">APARTAMENTO NO ALTO DO IPIRANGA</t>
  </si>
  <si>
    <t xml:space="preserve">LINDO APARTAMENTO NO PALMARES</t>
  </si>
  <si>
    <t xml:space="preserve">Apartamento de 49m² com 02 quartos para locação e venda   Bonfim Paulista</t>
  </si>
  <si>
    <t xml:space="preserve">Apartamento de 51m² com 02 quartos à venda   Jardim Presidente Dutra</t>
  </si>
  <si>
    <t xml:space="preserve">APARTAMENTO TÉRREO NO JARDIM ANHANGUERA</t>
  </si>
  <si>
    <t xml:space="preserve">Apartamento mobiliado de 66m² com 01 quarto à venda   Nova Aliança</t>
  </si>
  <si>
    <t xml:space="preserve">Apartamento de 34m² com 01 quarto à venda   Quintas de São José</t>
  </si>
  <si>
    <t xml:space="preserve">APARTAMENTO PRÓXIMO À RUA PARANAPANEMA</t>
  </si>
  <si>
    <t xml:space="preserve">APARTAMENTO PRÓXIMO À PRAÇA 7 DE SETEMBRO</t>
  </si>
  <si>
    <t xml:space="preserve">Apartamento de 45m² com 01 quarto para locação   Jardim Nova Aliança</t>
  </si>
  <si>
    <t xml:space="preserve">EXCELENTE APARTAMENTO NO CASTELO BRANCO</t>
  </si>
  <si>
    <t xml:space="preserve">APARTAMENTO NO JARDIM PALMA TRAVASSOS</t>
  </si>
  <si>
    <t xml:space="preserve">Apartamento de 34m² com 01 quarto à venda   Jardim Irajá</t>
  </si>
  <si>
    <t xml:space="preserve">Apartamento de 35m² com 01 quarto à venda   Jardim Irajá</t>
  </si>
  <si>
    <t xml:space="preserve">Apartamento de 49m com 1 quarto   Centro</t>
  </si>
  <si>
    <t xml:space="preserve">Apartamento próximo ao COC</t>
  </si>
  <si>
    <t xml:space="preserve">APARTAMENTO NO BAIRRO JARDIM IRAJÁ</t>
  </si>
  <si>
    <t xml:space="preserve">APARTAMENTO PRÓXIMO AO SHOPING SANTA ÚRSULA</t>
  </si>
  <si>
    <t xml:space="preserve">Apartamento com 48m² com 02 quartos   Ipiranga</t>
  </si>
  <si>
    <t xml:space="preserve">R$ 267.000,00</t>
  </si>
  <si>
    <t xml:space="preserve">R$ 267.990,00</t>
  </si>
  <si>
    <t xml:space="preserve">R$ 268.000,00</t>
  </si>
  <si>
    <t xml:space="preserve">R$ 268.557,50</t>
  </si>
  <si>
    <t xml:space="preserve">R$ 269.000,00</t>
  </si>
  <si>
    <t xml:space="preserve">Apartamento de 89m² com 03 quartos à venda   Jardim Paulista</t>
  </si>
  <si>
    <t xml:space="preserve">Apartamento de 44m² com 01 suíte á venda   Nova Aliança</t>
  </si>
  <si>
    <t xml:space="preserve">R$ 269.850,00</t>
  </si>
  <si>
    <t xml:space="preserve">Apartamento de 49m² com 02 quartos à venda   Jardim Sumaré</t>
  </si>
  <si>
    <t xml:space="preserve">Apartamento de 73m² com 02 quartos   Parque Industrial Lagoinha</t>
  </si>
  <si>
    <t xml:space="preserve">Duplex de 43m² com 01 suítes à venda   Vila Ana Maria</t>
  </si>
  <si>
    <t xml:space="preserve">APARTAMENTO NO ALTO DA BOA VISTA</t>
  </si>
  <si>
    <t xml:space="preserve">Apartamento de 71m² de 02 quartos sendo 01 suíte à venda   Residencial Flórida</t>
  </si>
  <si>
    <t xml:space="preserve">****OTIMO APARTAMENTO TERREO BONFIM PAULISTA****</t>
  </si>
  <si>
    <t xml:space="preserve">Apartamento de 68m² com 02 quartos à venda   Castelo Branco</t>
  </si>
  <si>
    <t xml:space="preserve">APARTAMENTO PRÓXIMO À RUA MONTE ALEGRE</t>
  </si>
  <si>
    <t xml:space="preserve">Apartamento reformado de 74m²com 02 quartos à venda   Jardim Zara</t>
  </si>
  <si>
    <t xml:space="preserve">Apartamento de 76m² com 03 quartos para venda   Nova Ribeirânea</t>
  </si>
  <si>
    <t xml:space="preserve">Apartamento de 66m² com 02 quartos à venda   Campos Elíseos</t>
  </si>
  <si>
    <t xml:space="preserve">Apartamento de 50m² com 01 suíte à venda   Parque Bandeirantes</t>
  </si>
  <si>
    <t xml:space="preserve">Apartamento de 95m² com 02 quartos à venda   Vila Seixas</t>
  </si>
  <si>
    <t xml:space="preserve">Apartamento de 59m² com 02 quartos à venda   Independência</t>
  </si>
  <si>
    <t xml:space="preserve">Apartamento de 50m² com 02 quartos para venda   Vila Tibério</t>
  </si>
  <si>
    <t xml:space="preserve">Apartamento de 54m² com 02 quartos à venda   Parque Industrial Lagoinha</t>
  </si>
  <si>
    <t xml:space="preserve">Apartamento de 63m² com 02 quartos sendo 01 suíte à venda   Residencial Flórida</t>
  </si>
  <si>
    <t xml:space="preserve">Apartamento mobiliado de 46m² com 01 quarto para locação e venda   Nova Aliança</t>
  </si>
  <si>
    <t xml:space="preserve">Apartamento de 47m² com 2 quartos à venda   Jardim Paiva.</t>
  </si>
  <si>
    <t xml:space="preserve">Apartamento de 48m² com 02 quartos à venda   Centro</t>
  </si>
  <si>
    <t xml:space="preserve">Apartamento térreo de 85m² com 03 quartos à venda   Sumarezinho</t>
  </si>
  <si>
    <t xml:space="preserve">Apartamento de 46m² com 02 Quartos à Venda   Vila Monte Alegre</t>
  </si>
  <si>
    <t xml:space="preserve">Apartamento de 43m² com 01 suíte à venda   Nova Aliança</t>
  </si>
  <si>
    <t xml:space="preserve">Apartamento de 54m² com 02 quartos à venda   Jardim Zara</t>
  </si>
  <si>
    <t xml:space="preserve">Apartamento de 47m² com 02 quartos à venda   Jardim Paiva</t>
  </si>
  <si>
    <t xml:space="preserve">Apartamento de 47m² com 01 quarto à venda   Centro</t>
  </si>
  <si>
    <t xml:space="preserve">Apartamento de 92m² com 03 quartos para locação e venda   Centro</t>
  </si>
  <si>
    <t xml:space="preserve">Apartamento de 64m² com 03 quartos sendo 01 suíte para locação e venda   Campos Elísios</t>
  </si>
  <si>
    <t xml:space="preserve">Apartamento de 64m² com 03 quartos para locação   Campos Eliseos</t>
  </si>
  <si>
    <t xml:space="preserve">Apartamento de 53m² com 02 quartos à venda   Jardim Zara</t>
  </si>
  <si>
    <t xml:space="preserve">Apartamento com 02 quartos sendo 01 suíte à venda   Ipiranga</t>
  </si>
  <si>
    <t xml:space="preserve">Apartamento de 32m² com 01 quarto para venda   Nova Ribeirânia</t>
  </si>
  <si>
    <t xml:space="preserve">Apartamento a Venda no Jardim Paulistano em Ribeirão Preto</t>
  </si>
  <si>
    <t xml:space="preserve">Apartamento de 02 quartos para locação   Centro</t>
  </si>
  <si>
    <t xml:space="preserve">Apartamento de 46m² com 01 quarto   Jardim Botânico</t>
  </si>
  <si>
    <t xml:space="preserve">APARTAMENTO NA VILA TIBÉRIO</t>
  </si>
  <si>
    <t xml:space="preserve">Apartamento de 66m² com 02 quartos à venda   Sumarezinho</t>
  </si>
  <si>
    <t xml:space="preserve">Apartamento de 56² com 2 quartos á venda   Parque São Sebastião</t>
  </si>
  <si>
    <t xml:space="preserve">Apartamento de 56m² com 02 qartos á venda   Parque São Sebastião</t>
  </si>
  <si>
    <t xml:space="preserve">Apartamento de 02 quartos para locação   Parque dos Lagos</t>
  </si>
  <si>
    <t xml:space="preserve">Apartamento de 47m² com 02 quartos para venda  City Ribeirão</t>
  </si>
  <si>
    <t xml:space="preserve">Apartamento de 94m² com 03 quartos à venda   Jardim Palma Travassos</t>
  </si>
  <si>
    <t xml:space="preserve">APARTAMENTO NO BAIRRO VILA MONTE ALEGRE</t>
  </si>
  <si>
    <t xml:space="preserve">APARTAMENTO NO JARDIM FLORIDA</t>
  </si>
  <si>
    <t xml:space="preserve">Apartamento de 48m² com 1 quarto para locação e venda  Nova Aliança</t>
  </si>
  <si>
    <t xml:space="preserve">Apartamento de 78m² com 03 quartos à venda   Jardim Califórnia</t>
  </si>
  <si>
    <t xml:space="preserve">Apartamento de 29m² com 01 quarto à venda   Vila Amélia</t>
  </si>
  <si>
    <t xml:space="preserve">EXCELENTE LOCALIZAÇÃO NO CENTRO</t>
  </si>
  <si>
    <t xml:space="preserve">APARTAMENTO TÉRREO NO RESIDENCIAL FLORIDA</t>
  </si>
  <si>
    <t xml:space="preserve">Apartamento de 02 quartos para locação   Jd. Califórnia</t>
  </si>
  <si>
    <t xml:space="preserve">OPORTUNIDADE DE NEGÓCIO</t>
  </si>
  <si>
    <t xml:space="preserve">APARTAMENTO A VENDA NA ARNALDO VICTALIANO</t>
  </si>
  <si>
    <t xml:space="preserve">EXCELENTE APARTAMENTOPARA VENDA NO BAIRRO ALTO DO IPIRANGA</t>
  </si>
  <si>
    <t xml:space="preserve">Apartamento de 03 quartos para locação   Jardim Paulista</t>
  </si>
  <si>
    <t xml:space="preserve">Apartamento de 65m² com 03 quartos sendo 01 suíte à venda   Jardim Palma Travassos</t>
  </si>
  <si>
    <t xml:space="preserve">APARTAMENTO NO JARDIM PAULISTANO</t>
  </si>
  <si>
    <t xml:space="preserve">Apartamento de 53m² com 02 quartos à venda   Parque São Sebastião</t>
  </si>
  <si>
    <t xml:space="preserve">R$ 270.900,00</t>
  </si>
  <si>
    <t xml:space="preserve">R$ 271.000,00</t>
  </si>
  <si>
    <t xml:space="preserve">Apartamento de 38m² com 01 quarto para Venda Mobiliado   Residencial Florida</t>
  </si>
  <si>
    <t xml:space="preserve">Apartamento de 56 m² com 02 quartos   Parque São Sebastião</t>
  </si>
  <si>
    <t xml:space="preserve">Apartamento de 83m² com 03 quartos à venda   Presidente Médici</t>
  </si>
  <si>
    <t xml:space="preserve">R$ 265.650,00</t>
  </si>
  <si>
    <t xml:space="preserve">EXCELENTE APARTAMENTO NOVO PARA LOCAÇÃO E VENDA EM AVENIDA DE GRANDE FLUXO</t>
  </si>
  <si>
    <t xml:space="preserve">Apartamento de 74m² com 03 quartos sendo 01 suíte à venda   Parque dos Bandeirantes</t>
  </si>
  <si>
    <t xml:space="preserve">Apartamento de 48m² com 02 quartos para venda   Residencial Jequitibá</t>
  </si>
  <si>
    <t xml:space="preserve">Apartamento de 40m² com 02 quartos para venda   Recreio das Acácias</t>
  </si>
  <si>
    <t xml:space="preserve">Apartamento de 45m² com 02 quartos para venda e locação   Nova Aliança</t>
  </si>
  <si>
    <t xml:space="preserve">Apartamento de 46m² com 02 quartos á venda   Jardim Manoel Penna</t>
  </si>
  <si>
    <t xml:space="preserve">APARTAMENTO COM SACADA NO BAIRRO JARDIM NOVO MUNDO</t>
  </si>
  <si>
    <t xml:space="preserve">Apartamento de 56m² com 02 quartos à venda   Vila Amélia</t>
  </si>
  <si>
    <t xml:space="preserve">Apartamento de 65m² com 03 quartos à venda   Jardim Palma Travassos</t>
  </si>
  <si>
    <t xml:space="preserve">Apartamento de 44m² com 02 quartos para venda   Quinta da Primavera</t>
  </si>
  <si>
    <t xml:space="preserve">APARTAMENTO NA VILA AMELIA</t>
  </si>
  <si>
    <t xml:space="preserve">Apartamento de 45m² com 01 quarto para venda   Nova Aliança</t>
  </si>
  <si>
    <t xml:space="preserve">APARTAMENTO À VENDA NO BAIRRO IGUATEMI</t>
  </si>
  <si>
    <t xml:space="preserve">R$ 275.500,00</t>
  </si>
  <si>
    <t xml:space="preserve">Apartamento de 67 m² com 03 quartos para venda   Jardim Europa</t>
  </si>
  <si>
    <t xml:space="preserve">Apartamento de 54m² com 02 quartos à venda   Parque Anhanguera</t>
  </si>
  <si>
    <t xml:space="preserve">R$ 275.600,00</t>
  </si>
  <si>
    <t xml:space="preserve">Apartamento novo de 49m² com 02 quartos à venda   Jardim Novo Mundo</t>
  </si>
  <si>
    <t xml:space="preserve">R$ 275.923,33</t>
  </si>
  <si>
    <t xml:space="preserve">APARTAMENTO PADRÃO   ÚNICO RESIDENCIAL</t>
  </si>
  <si>
    <t xml:space="preserve">Apartamento de 56m² com 02 quartos à venda   Alto do Ipiranga</t>
  </si>
  <si>
    <t xml:space="preserve">Apartamento de 59m² com 02 quartos à venda   Residencial Palmares</t>
  </si>
  <si>
    <t xml:space="preserve">Apartamento de 90m² com 03 quartos à venda   Jardim Castelo Branco</t>
  </si>
  <si>
    <t xml:space="preserve">Apartamento de 50m² com 02 quartos à venda   Jardim Paulistano</t>
  </si>
  <si>
    <t xml:space="preserve">Apartamento de 50m² com 02 quartos para locação e venda   Iguatemi</t>
  </si>
  <si>
    <t xml:space="preserve">Apartamento de 79m² para locação e venda   Jardim Paulistano</t>
  </si>
  <si>
    <t xml:space="preserve">Apartamento de 46m² com 01 dormitório   Centro</t>
  </si>
  <si>
    <t xml:space="preserve">Apartamento de 54m² com 02 quartos à venda   Ipiranga</t>
  </si>
  <si>
    <t xml:space="preserve">R$ 276.600,00</t>
  </si>
  <si>
    <t xml:space="preserve">Apartamento de 48m² com 02 quartos para locação   Residencial Greenville</t>
  </si>
  <si>
    <t xml:space="preserve">R$ 277.000,00</t>
  </si>
  <si>
    <t xml:space="preserve">Apartamento com 2 dormitórios em ótima localização</t>
  </si>
  <si>
    <t xml:space="preserve">Lançamento: Gran Primavera   Apartamento de 50m² com 02 quartos à venda   Região do Jardim Olhos D`Água</t>
  </si>
  <si>
    <t xml:space="preserve">R$ 279.900,00</t>
  </si>
  <si>
    <t xml:space="preserve">APARTAMENTO MOBILIADO</t>
  </si>
  <si>
    <t xml:space="preserve">R$ 206.700,00</t>
  </si>
  <si>
    <t xml:space="preserve">Apartamento mobiliado de 60m² com 02 quartos à venda   Vila Amélia</t>
  </si>
  <si>
    <t xml:space="preserve">Apartamento de 48m² com 02 quartos para venda   Parque das Oliveiras</t>
  </si>
  <si>
    <t xml:space="preserve">Apartamento de 109m² com 02 quartos à venda   Jardim Macedo</t>
  </si>
  <si>
    <t xml:space="preserve">Apartamento de 76m² com 02 quartos á venda   Vila Monte Alegre</t>
  </si>
  <si>
    <t xml:space="preserve">Apartamento de 30m² com 01 quarto e varanda à venda   Nova Aliança</t>
  </si>
  <si>
    <t xml:space="preserve">Apartamento de 81m² com 03 quartos à venda   Jardim Paulista</t>
  </si>
  <si>
    <t xml:space="preserve">R$ 269.900,00</t>
  </si>
  <si>
    <t xml:space="preserve">Apartamento de 47m² com 2 quartos à venda   Ipiranga</t>
  </si>
  <si>
    <t xml:space="preserve">Ótimo apartamento no Jardim Paulista   Edifício Capri</t>
  </si>
  <si>
    <t xml:space="preserve">APARTAMENTO NOVO NO BAIRRO VILA MONTE ALEGRE</t>
  </si>
  <si>
    <t xml:space="preserve">Apartamento de 75m² com 02 quartos à venda porteira fechada   Campos Eliseos</t>
  </si>
  <si>
    <t xml:space="preserve">Apartamento de 71m² de 03 quartos sendo uma suíte   Iguatemi</t>
  </si>
  <si>
    <t xml:space="preserve">Apartamento de 56m² com 02 quartos à venda   Planalto Verde</t>
  </si>
  <si>
    <t xml:space="preserve">Apartamento de 75m² com 02 quartos à venda   Presidente Médici</t>
  </si>
  <si>
    <t xml:space="preserve">Apartamento de 134m² com 03 quartos à venda   Jardim Sumaré</t>
  </si>
  <si>
    <t xml:space="preserve">Apartamento de 61m² com 02 quartos à venda  Jardim Palma Ttravasso</t>
  </si>
  <si>
    <t xml:space="preserve">Apartamento de 72m² com 03 quartos para venda e locação   Presidente Médici</t>
  </si>
  <si>
    <t xml:space="preserve">Apartamento térreo de 48m² com 02 quartos para locação   Parque das Oliveiras II</t>
  </si>
  <si>
    <t xml:space="preserve">Apartamento térreo de 42 m² com 01 quarto   Jardim Irajá.</t>
  </si>
  <si>
    <t xml:space="preserve">Apartamento de 44m² com 02 quartos   Quintas de São José</t>
  </si>
  <si>
    <t xml:space="preserve">KITNET NO JARDIM CALIFORNIA</t>
  </si>
  <si>
    <t xml:space="preserve">Apartamento de 52m² com 02 quartos sendo 01 suíte à venda   Quintas de São José</t>
  </si>
  <si>
    <t xml:space="preserve">LINDO APARTAMENTO COM QUINTAL PRÓXIMO AO NOVO SHOOPING</t>
  </si>
  <si>
    <t xml:space="preserve">Apartamento de 121m² com 02 quartos à venda   Centro</t>
  </si>
  <si>
    <t xml:space="preserve">Apartamento de 02 quartos para locação   Vila Tibério</t>
  </si>
  <si>
    <t xml:space="preserve">Apartamento de 60m² com 02 quartos à venda   Monte Alegre</t>
  </si>
  <si>
    <t xml:space="preserve">Apartamento mobiliado de 35m² com 01 quarto à venda   Vila Seixas</t>
  </si>
  <si>
    <t xml:space="preserve">Apartamento de 41m² com 2 quartos para venda e locação   Jardim José Sampaio</t>
  </si>
  <si>
    <t xml:space="preserve">Apartamento 48m² com 02 quartos   Vila Seixas</t>
  </si>
  <si>
    <t xml:space="preserve">Apartamento de 40m² com 02 quartos para locação e venda   Ipiranga</t>
  </si>
  <si>
    <t xml:space="preserve">Apartamento de 120m² com 03 quartos à venda   Centro</t>
  </si>
  <si>
    <t xml:space="preserve">APARTAMENTO DE 1 DORMITÓRIO OPORTUNIDADE</t>
  </si>
  <si>
    <t xml:space="preserve">Apartamento 3 dormitórios   Lagoinha</t>
  </si>
  <si>
    <t xml:space="preserve">Apartamento de 96m² com 03 quartos à venda   Jardim Paulistano</t>
  </si>
  <si>
    <t xml:space="preserve">LINDO APARTAMENTO PRÓXIMO À AVENIDA NOVE DE JULHO</t>
  </si>
  <si>
    <t xml:space="preserve">Duplex de 49m² 01 quarto à venda   Centro</t>
  </si>
  <si>
    <t xml:space="preserve">Apartamento de 65m² com 02 quartos para locação e venda   Centro</t>
  </si>
  <si>
    <t xml:space="preserve">EXCELENTE APARTAMENTO NA ZONA SUL</t>
  </si>
  <si>
    <t xml:space="preserve">Apartamento de 62m² com 02 quartos á venda   Vila Maria Luiza</t>
  </si>
  <si>
    <t xml:space="preserve">Apartamento térreo de 46m² para locação   Jardim Marchesi</t>
  </si>
  <si>
    <t xml:space="preserve">ÓTIMO APARTAMENTO NO RESIDENCIAL PALMARES</t>
  </si>
  <si>
    <t xml:space="preserve">Apartamento de 71m² com 02 quartos para locação   Jardim Paulista</t>
  </si>
  <si>
    <t xml:space="preserve">APARTAMENTO NO CENTRO COM 2 DORMITÓRIOS</t>
  </si>
  <si>
    <t xml:space="preserve">Apartamento de 59m² à venda   Parque Industrial Lagoinha</t>
  </si>
  <si>
    <t xml:space="preserve">Apartamento de 66m² com 03 quartos para venda   Lagoinha</t>
  </si>
  <si>
    <t xml:space="preserve">R$ 281.000,00</t>
  </si>
  <si>
    <t xml:space="preserve">Apartamento de 62m² com 03 quartos à venda   Alto do Ipiranga</t>
  </si>
  <si>
    <t xml:space="preserve">R$ 282.000,00</t>
  </si>
  <si>
    <t xml:space="preserve">Lançamento Portugal 2207   Apartamento de 38m² com 01 quarto à venda   Santa Cruz do José Jacques</t>
  </si>
  <si>
    <t xml:space="preserve">R$ 282.290,74</t>
  </si>
  <si>
    <t xml:space="preserve">Apartamento de 55m² com 02 quartos à venda   Campos Elíseos</t>
  </si>
  <si>
    <t xml:space="preserve">R$ 283.990,00</t>
  </si>
  <si>
    <t xml:space="preserve">Apartamento com 53m² 2 quartos sendo 1 suíte à venda no Parque dos Lagos. Mirante dos Lagos</t>
  </si>
  <si>
    <t xml:space="preserve">Apartamento de 2 quartos térreo com 47 m² no Guaporé</t>
  </si>
  <si>
    <t xml:space="preserve">Apartamento de 49m² com 02 quartos sendo 01 suite à venda   Residencial Greenville</t>
  </si>
  <si>
    <t xml:space="preserve">R$ 285.000,00</t>
  </si>
  <si>
    <t xml:space="preserve">Apartamento de 59m² com 02 quartos sendo 01 suite à venda   Residencial Greenville</t>
  </si>
  <si>
    <t xml:space="preserve">LINDO APARTAMENTO PRÓXIMO A BANANAL</t>
  </si>
  <si>
    <t xml:space="preserve">Apartamento de 64m² com 02 quartos sendo 01 suíte   Jardim Palma Travassos</t>
  </si>
  <si>
    <t xml:space="preserve">Apartamento de 44m² com 1 suíte para locação e venda   Jardim Paulista</t>
  </si>
  <si>
    <t xml:space="preserve">Apartamento de 86m² com 03 quartos para venda   Vila Virgínia</t>
  </si>
  <si>
    <t xml:space="preserve">Apartamento de 57m² com 02 quartos à venda   Ipiranga</t>
  </si>
  <si>
    <t xml:space="preserve">R$ 286.000,00</t>
  </si>
  <si>
    <t xml:space="preserve">Apartamento mobiliado de 31m² com 01 quarto à venda   Ribeirânia</t>
  </si>
  <si>
    <t xml:space="preserve">R$ 287.000,00</t>
  </si>
  <si>
    <t xml:space="preserve">Apartamento de 56m² com 01 quarto para locação   Centro</t>
  </si>
  <si>
    <t xml:space="preserve">APARTAMENTO À VENDA NO JARDIM MANOEL PENNA</t>
  </si>
  <si>
    <t xml:space="preserve">EXCELENTE APARTAMENTO PARA VENDA NO BAIRRO JARDIM BOTÂNICO</t>
  </si>
  <si>
    <t xml:space="preserve">APARTAMENTO NO BAIRRO CITY RIBEIRÃO</t>
  </si>
  <si>
    <t xml:space="preserve">Apartamento de 48m² com 01 quarto para locação   Jardim botânico</t>
  </si>
  <si>
    <t xml:space="preserve">Apartamento com 77 m² 02 quartos à venda   Jardim Paulista</t>
  </si>
  <si>
    <t xml:space="preserve">R$ 289.000,00</t>
  </si>
  <si>
    <t xml:space="preserve">Apartamento de 47 m² com 02 quartos à venda   Condomínio Mirante Sul.</t>
  </si>
  <si>
    <t xml:space="preserve">Apartamento mobiliado de 46m² com 01 quarto à venda   Jardim Botânico</t>
  </si>
  <si>
    <t xml:space="preserve">Apartamento de 40m² com 01 quarto à venda   Jardim Palma Travassos</t>
  </si>
  <si>
    <t xml:space="preserve">Apartamento de 44m² com 02 quartos à venda   Bonfim Paulista</t>
  </si>
  <si>
    <t xml:space="preserve">Apartamento de 64m² com 02 quartos à venda   Vila Monte Alegre</t>
  </si>
  <si>
    <t xml:space="preserve">Apartamento de 80m² com 03 quartos para locação   Vila Seixas</t>
  </si>
  <si>
    <t xml:space="preserve">Apartamento de 02 quartos com 73m² para locação e venda   Centro</t>
  </si>
  <si>
    <t xml:space="preserve">Apartamento térreo de 62m² com quintal e 02 quartos sendo 01 suíte à venda   Lagoinha</t>
  </si>
  <si>
    <t xml:space="preserve">Apartamento de 107m² com 03 quartos à venda   Centro</t>
  </si>
  <si>
    <t xml:space="preserve">Apartamento de 49m² com 02 quartos à venda   Mirante Sul</t>
  </si>
  <si>
    <t xml:space="preserve">Apartamento de 48m² com 02 quartos à venda   Vila Virginia</t>
  </si>
  <si>
    <t xml:space="preserve">Apartamento de 67m² com 02 quartos à venda   Parque dos Bandeirantes</t>
  </si>
  <si>
    <t xml:space="preserve">Apartamento de 46m² com 02 quartos à venda   Reserva Flor de Lotus</t>
  </si>
  <si>
    <t xml:space="preserve">Apartamento de 53m² com 02 quartos sendo 01 suíte à venda   Reserva Sul Condomínio</t>
  </si>
  <si>
    <t xml:space="preserve">Apartamento de 53m² com 02 quartos para locação   Jardim Zara</t>
  </si>
  <si>
    <t xml:space="preserve">Apartamento de 74m² com 02 quartos   Residencial Florida</t>
  </si>
  <si>
    <t xml:space="preserve">Apartamento de 02 quartos à venda   Sumarezinho</t>
  </si>
  <si>
    <t xml:space="preserve">BELISSIMO APARTAMENTO NA ZONA SUL</t>
  </si>
  <si>
    <t xml:space="preserve">Apartamento de 66m² com 02 quartos à venda   Residencial e Comercial Palmares</t>
  </si>
  <si>
    <t xml:space="preserve">Apartamento duplex de 92m² com 03 quartos   Vila Recreio</t>
  </si>
  <si>
    <t xml:space="preserve">Apartamento de 49m² com 02 quartos   Santa Marta</t>
  </si>
  <si>
    <t xml:space="preserve">Apartamento de 66m² com 03 quartos á venda   Jardim Paulista</t>
  </si>
  <si>
    <t xml:space="preserve">Apartamento de 50m² com 02 quartos à venda   Jardim Anhanguera</t>
  </si>
  <si>
    <t xml:space="preserve">APARTAMENTO NOVO NO MONTE ALEGRE</t>
  </si>
  <si>
    <t xml:space="preserve">Apartamento com 75m² com 2 quartos à venda   Centro</t>
  </si>
  <si>
    <t xml:space="preserve">Apartamento de 46m² com 02 quartos   Reserva do sul</t>
  </si>
  <si>
    <t xml:space="preserve">Apartamento de 96m² com 03 quartos para venda   Jardim Paulista</t>
  </si>
  <si>
    <t xml:space="preserve">Apartamento de 50m² com 01 quarto para venda   Jardim Anhangüera</t>
  </si>
  <si>
    <t xml:space="preserve">APARTAMENTO NO CENTRO PRÓXIMO À CATEDRAL</t>
  </si>
  <si>
    <t xml:space="preserve">Apartamento 76m² com 03 quartos à venda   Presidente Médici</t>
  </si>
  <si>
    <t xml:space="preserve">APARTAMENTO LINDO PRÓXIMO À AVENIDA CARAMURU</t>
  </si>
  <si>
    <t xml:space="preserve">Apartamento de 66m² com 03 quartos sendo 01 suíte para venda   Parque Industrial Lagoinha</t>
  </si>
  <si>
    <t xml:space="preserve">Apartamento de 75m² com 03 quartos para locação   Jardim Zara</t>
  </si>
  <si>
    <t xml:space="preserve">Apartamento de 03 quartos para locação   Jd. Castelo Branco</t>
  </si>
  <si>
    <t xml:space="preserve">APARTAMENTO NO RESIDENCIAL FLÓRIDA</t>
  </si>
  <si>
    <t xml:space="preserve">Apartamento de 54m² com 2 quartos   Jardim São Luiz</t>
  </si>
  <si>
    <t xml:space="preserve">APARTAMENTO 41m², 1 DORMITÓRIO MOBILIADO, NO JARDIM NOVA ALIANÇA</t>
  </si>
  <si>
    <t xml:space="preserve">Apartamento de 63 m² com 02 quartos   Jardim São José.</t>
  </si>
  <si>
    <t xml:space="preserve">Apartamento térreo de 48m² com 02 quartos à venda   Jardim Heitor Rigon</t>
  </si>
  <si>
    <t xml:space="preserve">R$ 148.400,00</t>
  </si>
  <si>
    <t xml:space="preserve">R$ 202.200,00</t>
  </si>
  <si>
    <t xml:space="preserve">Apartamento de 43m² com 02 quartos à venda   Vila Guiomar</t>
  </si>
  <si>
    <t xml:space="preserve">Apartamento de 40m² com 01 quarto para locação   Jardim Palma Travassos</t>
  </si>
  <si>
    <t xml:space="preserve">Apartamento de 01 quarto para locação   Bosque das Juritis</t>
  </si>
  <si>
    <t xml:space="preserve">Apartamento de 48,73m² com 02 quartos à venda   Jardim Paulista</t>
  </si>
  <si>
    <t xml:space="preserve">Apartamento de 58m² com 02 quartos à venda   Residencial Parque dos Servidores</t>
  </si>
  <si>
    <t xml:space="preserve">Apartamento mobiliado de 62m² com 02 quartos à venda   Vila Maria Luiza</t>
  </si>
  <si>
    <t xml:space="preserve">Apartamento de 44m² com 01 quarto à venda   Nova Ribeirânia</t>
  </si>
  <si>
    <t xml:space="preserve">Apartamento de 48m² com 02 quartos à venda   Quintas de São José</t>
  </si>
  <si>
    <t xml:space="preserve">R$ 296.000,00</t>
  </si>
  <si>
    <t xml:space="preserve">Apartamento de 63m² com 02 quartos à venda   Ipiranga</t>
  </si>
  <si>
    <t xml:space="preserve">Apartamento de 77m² com 02 quartos à venda   Jardim Antártica</t>
  </si>
  <si>
    <t xml:space="preserve">R$ 296.800,00</t>
  </si>
  <si>
    <t xml:space="preserve">Apartamento de 61m² com 02 quartos sendo 01 suite à venda   Residencial e Comercial Palmares</t>
  </si>
  <si>
    <t xml:space="preserve">Apartamento térreo com quintal de 48m² com 02 quartos à venda   Bonfim Paulista</t>
  </si>
  <si>
    <t xml:space="preserve">R$ 297.000,00</t>
  </si>
  <si>
    <t xml:space="preserve">Apartamento mobiliado de 44m² com 01 quarto à venda   Nova Aliança</t>
  </si>
  <si>
    <t xml:space="preserve">Apartamento de 126m² com 03 quartos para locação e venda   Residencial e Comercial Palmares</t>
  </si>
  <si>
    <t xml:space="preserve">Apartamento de 89m² com 03 quartos à venda   Centro</t>
  </si>
  <si>
    <t xml:space="preserve">APARTAMENTO PRÓXIMO À AVENIDA LUÍS GALVÃO CÉSAR</t>
  </si>
  <si>
    <t xml:space="preserve">APARTAMENTO COM VARANDA GOURMET NA ZONA SUL</t>
  </si>
  <si>
    <t xml:space="preserve">R$ 297.890,00</t>
  </si>
  <si>
    <t xml:space="preserve">R$ 253.000,00</t>
  </si>
  <si>
    <t xml:space="preserve">Apartamento de 92m² com 3 quartos à venda   Vila Seixas</t>
  </si>
  <si>
    <t xml:space="preserve">R$ 298.000,00</t>
  </si>
  <si>
    <t xml:space="preserve">Apartamento de 84m² com 03 quartos para locação e venda   Residencial Greenville</t>
  </si>
  <si>
    <t xml:space="preserve">Apartamento de 60m² com 02 quartos para venda   Jardim Botânico</t>
  </si>
  <si>
    <t xml:space="preserve">APARTAMENTO PRÓXIIMO À UNIP</t>
  </si>
  <si>
    <t xml:space="preserve">Apartamento de 81m² com 02 quarto à venda   Sumarezinho</t>
  </si>
  <si>
    <t xml:space="preserve">Apartamento de 52m² com 02 quartos para locação venda   Loteamento Santa Marta</t>
  </si>
  <si>
    <t xml:space="preserve">R$ 289.900,00</t>
  </si>
  <si>
    <t xml:space="preserve">Apartamento de 76m² com 02 quartos à venda   Residencial Flórida</t>
  </si>
  <si>
    <t xml:space="preserve">Apartamento 56m² com 03 quartos á venda   Planalto Verde</t>
  </si>
  <si>
    <t xml:space="preserve">Lançamento em Bonfim Paulista! Montverde Residencial</t>
  </si>
  <si>
    <t xml:space="preserve">R$ 299.657,00</t>
  </si>
  <si>
    <t xml:space="preserve">Apartamento de 86m² com 2 quartos   Nova Ribeirânia</t>
  </si>
  <si>
    <t xml:space="preserve">Apartamento mobiliado de 39m² com 01 quarto para locação e venda   Jardim Sumaré</t>
  </si>
  <si>
    <t xml:space="preserve">Apartamento de 54m² com 02 quartos para locação e venda   Campos Elíseos</t>
  </si>
  <si>
    <t xml:space="preserve">Apartamento de 71m² com 02 quartos para locação e venda   Bosque das Juritis</t>
  </si>
  <si>
    <t xml:space="preserve">Apartamento de 71m² com 02 quartos à venda   Bosque das Juritis</t>
  </si>
  <si>
    <t xml:space="preserve">Apartamento de 59m² com 02 quartos para locação e venda   Residencial Taiwan</t>
  </si>
  <si>
    <t xml:space="preserve">Apartamento 146m² com 03 quartos para locação e venda   Jardim Macedo</t>
  </si>
  <si>
    <t xml:space="preserve">R$ 499.000,00</t>
  </si>
  <si>
    <t xml:space="preserve">Apartamento de 75m² com 03 quartos para locação e venda   Presidente Médici</t>
  </si>
  <si>
    <t xml:space="preserve">Apartamento de 156m² com 04 quartos para venda e locação  Centro</t>
  </si>
  <si>
    <t xml:space="preserve">R$ 750.000,00</t>
  </si>
  <si>
    <t xml:space="preserve">Apartamento de 367m² com 04 suítes à venda   Jardim Ilhas do Sul</t>
  </si>
  <si>
    <t xml:space="preserve">Apartamento de 310m² com 04 quartos à venda   Jardim Botânico</t>
  </si>
  <si>
    <t xml:space="preserve">R$ 3.040.000,00</t>
  </si>
  <si>
    <t xml:space="preserve">Apartamento de 461m² com 04 suítes à venda   Ilhas do Sul</t>
  </si>
  <si>
    <t xml:space="preserve">R$ 3.090.000,00</t>
  </si>
  <si>
    <t xml:space="preserve">Apartamento de 107m² com 02 quartos para locação e venda   Centro</t>
  </si>
  <si>
    <t xml:space="preserve">Apartamento de 173m² com 04 quartos para venda e locação   Centro</t>
  </si>
  <si>
    <t xml:space="preserve">R$ 850.000,00</t>
  </si>
  <si>
    <t xml:space="preserve">Apartamento de 39m² com 01 quarto para locação e venda   Jardim Sumaré</t>
  </si>
  <si>
    <t xml:space="preserve">R$ 455.000,00</t>
  </si>
  <si>
    <t xml:space="preserve">Apartamento de 146m² com 03 suítes para locação e venda   Jardim São Luiz</t>
  </si>
  <si>
    <t xml:space="preserve">R$ 620.000,00</t>
  </si>
  <si>
    <t xml:space="preserve">Apartamento de 156m² com 03 quartos para locação e venda   Centro</t>
  </si>
  <si>
    <t xml:space="preserve">R$ 1.038.000,00</t>
  </si>
  <si>
    <t xml:space="preserve">Apartamento de 76m² com 02 suítes para locação e venda   Jardim Botânico</t>
  </si>
  <si>
    <t xml:space="preserve">Apartamento de 92m² com 02 quartos para venda e locação   Jardim Botânico</t>
  </si>
  <si>
    <t xml:space="preserve">R$ 459.000,00</t>
  </si>
  <si>
    <t xml:space="preserve">Apartamento de 71m² com 03 quartos para venda e locação   Ribeirânia</t>
  </si>
  <si>
    <t xml:space="preserve">Apartamento de 62m² com 02 quartos sendo 01 suíte para locação e venda   Jardim Botânico</t>
  </si>
  <si>
    <t xml:space="preserve">R$ 660.000,00</t>
  </si>
  <si>
    <t xml:space="preserve">Apartamento de 57m² com 02 quartos para locação e venda   Jardim Califórnia</t>
  </si>
  <si>
    <t xml:space="preserve">R$ 689.000,00</t>
  </si>
  <si>
    <t xml:space="preserve">Apartamento de 209m² com 04 suítes à venda   Centro</t>
  </si>
  <si>
    <t xml:space="preserve">Apartamento de 367m² com 04 suítes à venda   Ilhas do Sul Localizado próximo à Av. Dep. Sérgio Cardoso de Almeida, Kauai Sports Restaurante, Colégio Pequeno Príncipe e diversos comércios.</t>
  </si>
  <si>
    <t xml:space="preserve">R$ 3.100.000,00</t>
  </si>
  <si>
    <t xml:space="preserve">Apartamento de 102m² com 03 quartos para locação   Parque Bandeirantes</t>
  </si>
  <si>
    <t xml:space="preserve">Apartamento de 348m² com 04 suítes para venda e locação   Morro do Ipê</t>
  </si>
  <si>
    <t xml:space="preserve">R$ 3.360.000,00</t>
  </si>
  <si>
    <t xml:space="preserve">Apartamento de 111m² com 03 quartos sendo 01 suíte para locação   Nova Aliança</t>
  </si>
  <si>
    <t xml:space="preserve">R$ 795.000,00</t>
  </si>
  <si>
    <t xml:space="preserve">Apartamento de 132m² com 03 quartos para venda e locação   Jardim Botânico</t>
  </si>
  <si>
    <t xml:space="preserve">R$ 680.000,00</t>
  </si>
  <si>
    <t xml:space="preserve">Apartamento de 314m² com 04 quartos para locação e venda   Centro</t>
  </si>
  <si>
    <t xml:space="preserve">Apartamento de83m² com 02 quartos  Vila Tibério</t>
  </si>
  <si>
    <t xml:space="preserve">Apartamento de 03 quartos para locação e venda   Centro</t>
  </si>
  <si>
    <t xml:space="preserve">Apartamento de 133m² com 03 quartos para locação e venda   Centro</t>
  </si>
  <si>
    <t xml:space="preserve">Apartamento de 55m² com 02 quartos para venda e locação   City Ribeirão</t>
  </si>
  <si>
    <t xml:space="preserve">Apartamento de 107m² com 03 quartos, sendo 01 suíte para venda e locação   Jardim Paulista</t>
  </si>
  <si>
    <t xml:space="preserve">Apartamento de 60m² com 02 quartos para venda e locação   Residencial Taiwan</t>
  </si>
  <si>
    <t xml:space="preserve">Apartamento de 85m² com 03 quartos sendo 01 suíte para locação   Bonfim Paulista</t>
  </si>
  <si>
    <t xml:space="preserve">Apartamento de 95m² com 03 quartos para venda e locação   Jardim Canadá</t>
  </si>
  <si>
    <t xml:space="preserve">R$ 640.000,00</t>
  </si>
  <si>
    <t xml:space="preserve">Apartamento de 90m² com 03 quartos para locação e venda   Nova Aliança</t>
  </si>
  <si>
    <t xml:space="preserve">R$ 720.000,00</t>
  </si>
  <si>
    <t xml:space="preserve">Apartamento de 51m² com 01 quarto para venda e locação   Jardim Irajá</t>
  </si>
  <si>
    <t xml:space="preserve">Apartamento de 107m² com 03 quartos para locação e venda   Jardim paulista</t>
  </si>
  <si>
    <t xml:space="preserve">Apartamento de 62m² com 02 quartos para locação e venda   Jardim Botânico</t>
  </si>
  <si>
    <t xml:space="preserve">Apartamento de 158m² com 03 quartos para locação e venda   Centro</t>
  </si>
  <si>
    <t xml:space="preserve">R$ 800.000,00</t>
  </si>
  <si>
    <t xml:space="preserve">Apartamento de 95m² com 03 quartos para locação e venda   Jardim Botânico</t>
  </si>
  <si>
    <t xml:space="preserve">Apartamento 148m² com 04 quartos para locação e venda   Santa Cruz do José Jacques</t>
  </si>
  <si>
    <t xml:space="preserve">R$ 774.000,00</t>
  </si>
  <si>
    <t xml:space="preserve">Apartamento de 196m² com 03 quartos   Santa Cruz José Jacques</t>
  </si>
  <si>
    <t xml:space="preserve">Apartamento de 376m² com 04 suítes à venda   Jardim Ilhas do Sul</t>
  </si>
  <si>
    <t xml:space="preserve">Apartamento de 45m² com 01 quarto para locação e venda   Vila do Golfe</t>
  </si>
  <si>
    <t xml:space="preserve">Apartamento de 132m² com 03 quartos para locação e venda   Jardim Botânico</t>
  </si>
  <si>
    <t xml:space="preserve">R$ 700.000,00</t>
  </si>
  <si>
    <t xml:space="preserve">Apartamento com 140m² com 03 quartos à venda   Nova Aliança</t>
  </si>
  <si>
    <t xml:space="preserve">Apartamento de 78m² 03 quartos para locação e venda   Nova Aliança</t>
  </si>
  <si>
    <t xml:space="preserve">Apartamento de 64m² com 02 quartos sendo 01 suíte para locação e venda   Quinta da Primavera</t>
  </si>
  <si>
    <t xml:space="preserve">R$ 690.000,00</t>
  </si>
  <si>
    <t xml:space="preserve">Apartamento de m² com 02 quartos sendo 01 suíte para locação e venda   Ribeirânia</t>
  </si>
  <si>
    <t xml:space="preserve">Apartamento de 82m² com 02 quartos para locação   Alamedas do Botânico</t>
  </si>
  <si>
    <t xml:space="preserve">Apartamento de 131m² com 04 quartos para locação e venda   Jardim Irajá</t>
  </si>
  <si>
    <t xml:space="preserve">Apartamento de 381m² com 05 quartos sendo 04 suítes à venda   Vila do Golf</t>
  </si>
  <si>
    <t xml:space="preserve">R$ 3.700.000,00</t>
  </si>
  <si>
    <t xml:space="preserve">Apartamento de 376m² com 04 suítes à venda   Jardim Olhos Dágua</t>
  </si>
  <si>
    <t xml:space="preserve">R$ 3.750.000,00</t>
  </si>
  <si>
    <t xml:space="preserve">Apartamento de 173m² com 03 quartos para venda   Centro</t>
  </si>
  <si>
    <t xml:space="preserve">R$ 848.000,00</t>
  </si>
  <si>
    <t xml:space="preserve">Apartamento de 114m² com 03 quartos sendo 01 suíte para locação e venda   Jardim Irajá</t>
  </si>
  <si>
    <t xml:space="preserve">Apartamento de 69m² com 01 suíte para locação e venda   Jardim Olhos D`Água</t>
  </si>
  <si>
    <t xml:space="preserve">R$ 792.000,00</t>
  </si>
  <si>
    <t xml:space="preserve">Apartamento de 63m² com 01 suíte para venda e locação   Nova Aliança</t>
  </si>
  <si>
    <t xml:space="preserve">Apartamento de 106 m² com 03 quartos   locação e venda   Santa Cruz do José Jacques</t>
  </si>
  <si>
    <t xml:space="preserve">R$ 575.000,00</t>
  </si>
  <si>
    <t xml:space="preserve">Apartamento de 42m² com 02 quartos para venda   Jardim Itaú</t>
  </si>
  <si>
    <t xml:space="preserve">APARTAMENTO NO BAIRRO JARDIM INDEPENDÊNCIA</t>
  </si>
  <si>
    <t xml:space="preserve">Apartamento de 47m² com 02 quartos para locação   City Ribeirão</t>
  </si>
  <si>
    <t xml:space="preserve">Apartamento de 44m² com 02 quartos para locação   Quintas de São José</t>
  </si>
  <si>
    <t xml:space="preserve">Apartamento de 46m² com 02 quartos para venda e locação   Condomínio Mirante Sul</t>
  </si>
  <si>
    <t xml:space="preserve">Apartamento de 60m² com 02 quartos à venda   Vila Tamandaré</t>
  </si>
  <si>
    <t xml:space="preserve">Apartamento 49m² com 02 quartos à venda   Parque Industrial Lagoinha</t>
  </si>
  <si>
    <t xml:space="preserve">Apartamento de 58m² com 03 quartos sendo 01 suíte à venda   Alto da Boa Vista</t>
  </si>
  <si>
    <t xml:space="preserve">Apartamento de 82m² com 03 quartos para e venda   Nova Ribeirânia</t>
  </si>
  <si>
    <t xml:space="preserve">Apartamento térreo de 69m² com 2 quartos à venda no Residencial Palmares</t>
  </si>
  <si>
    <t xml:space="preserve">Apartamento de 50m² com 01 suíte à venda   Jardim Nova Aliança</t>
  </si>
  <si>
    <t xml:space="preserve">Apartamento mobiliado com 51m² com 02 quartos à venda   Jardim Anhanguera</t>
  </si>
  <si>
    <t xml:space="preserve">Apartamento térreo com 72m² com 3 quartos à venda   Jardim Palmares</t>
  </si>
  <si>
    <t xml:space="preserve">Apartamento de 72m² com 02 quartos à venda   Centro</t>
  </si>
  <si>
    <t xml:space="preserve">Apartamento térreo de 63m² com 02 quartos à venda   Parque dos Bandeirantes</t>
  </si>
  <si>
    <t xml:space="preserve">Apartamento térreo de 104m² com 03 quartos à venda   Campos Elíseos</t>
  </si>
  <si>
    <t xml:space="preserve">APARTAMENTO EXCELENTE NO CENTRO, 2 DORMITÓRIOS, SENDO 1 SUÍTE, VARANDA E VAGA, EM ÓTIMO CONDOMÍNIO, COM LAZER E SEGURANÇA 24 HORAS</t>
  </si>
  <si>
    <t xml:space="preserve">Apartamento de 95m² com 03 Quartos   Centro</t>
  </si>
  <si>
    <t xml:space="preserve">Apartamento de 60m² com 02 quartos   Jardim Paulista</t>
  </si>
  <si>
    <t xml:space="preserve">Apartamento de 96m² com 3 quartos à venda   Jardim Paulistano</t>
  </si>
  <si>
    <t xml:space="preserve">Apartamento de 82m² com 03 quartos   Jardim Palma Travassos</t>
  </si>
  <si>
    <t xml:space="preserve">Apartamento de 83m² com 02 quartos à venda   Jardim Irajá</t>
  </si>
  <si>
    <t xml:space="preserve">Apartamento de 122m² com 03 quartos á venda   Campos Elíseos</t>
  </si>
  <si>
    <t xml:space="preserve">Apartamento de 60m² com 03 quartos à venda no Jardim Palma Travassos</t>
  </si>
  <si>
    <t xml:space="preserve">Apartamento de 92m² com 03 quartos à venda   Centro</t>
  </si>
  <si>
    <t xml:space="preserve">Apartamento de 47m² com 02 quartos à venda   Reserva São José</t>
  </si>
  <si>
    <t xml:space="preserve">Apartamento Térreo de 101m² com 03 quartos para venda   Jardim Irajá</t>
  </si>
  <si>
    <t xml:space="preserve">Apartamento 40m² com 02 quartos á venda   Planalto Verde</t>
  </si>
  <si>
    <t xml:space="preserve">Apartamento de 105m² com 03 quartos sendo 01 suíte à venda   Ipiranga</t>
  </si>
  <si>
    <t xml:space="preserve">Apartamento de 85m² com 02 quartos à venda   Centro</t>
  </si>
  <si>
    <t xml:space="preserve">Apartamento de 47m² com 02 quaros para locação   Reserva São José</t>
  </si>
  <si>
    <t xml:space="preserve">Apartamento de 57m² com 02 quartos á venda   Residencial e Comercial Palmares</t>
  </si>
  <si>
    <t xml:space="preserve">Apartamento de 96m², semi mobiliado, com 3 quartos sendo 01 suíte   Jardim Paulistano</t>
  </si>
  <si>
    <t xml:space="preserve">Apartamento de 62m² com 03 quartos à venda no Jardim Palma Travassos</t>
  </si>
  <si>
    <t xml:space="preserve">Apartamento térreo de 58m² com 02 quartos à venda   Parque dos Lagos</t>
  </si>
  <si>
    <t xml:space="preserve">Apartamento de 58m² com 02 quartos para locação e venda   Parque dos Lagos</t>
  </si>
  <si>
    <t xml:space="preserve">Apartamento de 51m² com 02 quartos à venda   Jardim Manoel Penna</t>
  </si>
  <si>
    <t xml:space="preserve">Apartamento de 99m² com 03 quartos à venda   Jardim Paulista</t>
  </si>
  <si>
    <t xml:space="preserve">Apartamento de 57m² com 02 quartos para locação   Ipiranga</t>
  </si>
  <si>
    <t xml:space="preserve">Apartamento de 58m² com 02 quartos à venda   Loteamento Santa Marta</t>
  </si>
  <si>
    <t xml:space="preserve">Apartamento duplex de 78m² com 01 suíte à venda   Jardim São Luiz</t>
  </si>
  <si>
    <t xml:space="preserve">Apartamento de 74m² com 03 quartos à venda   Residencial e Comercial Palmares</t>
  </si>
  <si>
    <t xml:space="preserve">Apartamento de 78m² com 03 quartos à venda   Jardim Zara</t>
  </si>
  <si>
    <t xml:space="preserve">Apartamento de 02 quartos para venda   Jardim Irajá</t>
  </si>
  <si>
    <t xml:space="preserve">APARTAMENTO PRÓXIMO A CASTELO BRANCO</t>
  </si>
  <si>
    <t xml:space="preserve">Apartamento de 36m² com 01 quarto à venda   Vila Ana Maria</t>
  </si>
  <si>
    <t xml:space="preserve">Apartamento de 92m² com 03 quartos para locação   Jardim Sumaré</t>
  </si>
  <si>
    <t xml:space="preserve">APARTAMENTO MOBILIADO NO IGUATEMI</t>
  </si>
  <si>
    <t xml:space="preserve">Apartamento para venda com 3 quartos   Pres. Medici</t>
  </si>
  <si>
    <t xml:space="preserve">Apartamento mobiliado de 02 quartos para locação   Manoel Penna</t>
  </si>
  <si>
    <t xml:space="preserve">Apartamento de 01 quarto para venda   Bosque das Juritis</t>
  </si>
  <si>
    <t xml:space="preserve">Apartamento de 62m² com 02 quartos para locação e venda   Vila Maria Luiza</t>
  </si>
  <si>
    <t xml:space="preserve">Apartamento a venda de 45m² com 02 quartos à venda   Jardim Antártica</t>
  </si>
  <si>
    <t xml:space="preserve">Apartamento de 44m² com 02 quartos à venda   Quintas de São José</t>
  </si>
  <si>
    <t xml:space="preserve">Apartamento de 50m² com 02 quartos para locação   Jardim Paulistano</t>
  </si>
  <si>
    <t xml:space="preserve">Apartamento de 84m² com 03 quartos   Ipiranga</t>
  </si>
  <si>
    <t xml:space="preserve">Apartamento de 48m² com 02 quartos à venda   Jardim Paulistano</t>
  </si>
  <si>
    <t xml:space="preserve">Apartamento de 72m² com 03 quartos para venda   Presidente Médici</t>
  </si>
  <si>
    <t xml:space="preserve">Apartamento de 70m² com 03 quartos à venda   Planalto Verde</t>
  </si>
  <si>
    <t xml:space="preserve">APARTAMENTO EDIFICIO PARAQUE DOS BANDEIRANTES</t>
  </si>
  <si>
    <t xml:space="preserve">Apartamento de 76m² com 03 quartos   Jardim Palma Travassos</t>
  </si>
  <si>
    <t xml:space="preserve">Apartamento de 92m² com 03 quartos à venda   Jardim Sumaré</t>
  </si>
  <si>
    <t xml:space="preserve">Apartamento de 02 quartos   Residencial Palmares</t>
  </si>
  <si>
    <t xml:space="preserve">Apartamento de 40m² com 01 quarto à venda   Bosque dos Juritis</t>
  </si>
  <si>
    <t xml:space="preserve">Apartamento de 55m com 01 quarto   Centro</t>
  </si>
  <si>
    <t xml:space="preserve">Aparamento de 45m² com 01 quarto à venda   Nova Aliança</t>
  </si>
  <si>
    <t xml:space="preserve">APARTAMENTO PRÓXIMO À AVENIDA DO CAFÉ</t>
  </si>
  <si>
    <t xml:space="preserve">Apartamento de 86m² com 02 quartos à venda   516,98</t>
  </si>
  <si>
    <t xml:space="preserve">EXCELENTE APARTAMENTO PARA LOCAÇÃO NO BAIRRO JARDIM ANTÁRTICA</t>
  </si>
  <si>
    <t xml:space="preserve">APARTAMENTO NA CITY</t>
  </si>
  <si>
    <t xml:space="preserve">Apartamento de 94m² com 02 quartos para venda   Centro</t>
  </si>
  <si>
    <t xml:space="preserve">Apartamento de 71m² com 03 quartos para locação e venda   Jardim Independência</t>
  </si>
  <si>
    <t xml:space="preserve">EXCELENTE APARTAMENTO PARA VENDA NO BAIRRO VILA MONTE ALEGRE</t>
  </si>
  <si>
    <t xml:space="preserve">APARTAMENTO PRÓXIMO À AVENIDA COSTÁBILE ROMANO</t>
  </si>
  <si>
    <t xml:space="preserve">Apartamento de 87m² com 02 quartos á venda   Residencial Greenville</t>
  </si>
  <si>
    <t xml:space="preserve">Apartamento de 50m² mobiliado de 50m² com 01 quarto para locação   Jardim Botânico</t>
  </si>
  <si>
    <t xml:space="preserve">Apartamento de 44m² com 01 quarto e sacada para locação e venda   Nova Aliança</t>
  </si>
  <si>
    <t xml:space="preserve">Apartamento de 60m² com 02 quartos à venda  Residencial Greenville</t>
  </si>
  <si>
    <t xml:space="preserve">Apartamento de 70m² com 03 quartos sendo 01 suíte para locação   Jardim Independência</t>
  </si>
  <si>
    <t xml:space="preserve">Apartamento de 45m² com 01 suíte   Jardim Paulista</t>
  </si>
  <si>
    <t xml:space="preserve">Apartamento de 68m² com 02 quartos sendo 01 suíte para locação e venda   Jardim Irajá</t>
  </si>
  <si>
    <t xml:space="preserve">Apartamento de 45m² com sacada à venda   Jardim Paulista</t>
  </si>
  <si>
    <t xml:space="preserve">Apartamento de 116 m² com 3 quartos   Jardim Paulista</t>
  </si>
  <si>
    <t xml:space="preserve">Apartamento de 01 quarto à venda   Jardim Paulista</t>
  </si>
  <si>
    <t xml:space="preserve">APARTAMENTO COM SACADA NO CONDOMÍNIO FIÚSA 016</t>
  </si>
  <si>
    <t xml:space="preserve">R$ 300.510,00</t>
  </si>
  <si>
    <t xml:space="preserve">R$ 301.972,99</t>
  </si>
  <si>
    <t xml:space="preserve">Apartamento de 66m² com 02 quartos à venda   Palmares</t>
  </si>
  <si>
    <t xml:space="preserve">R$ 302.000,00</t>
  </si>
  <si>
    <t xml:space="preserve">EXCELENTE APARTAMENTO PARA VENDA NO BAIRRO JARDIM PAULISTANO</t>
  </si>
  <si>
    <t xml:space="preserve">R$ 303.000,00</t>
  </si>
  <si>
    <t xml:space="preserve">Apartamento de 92m² com 03 quartos para locação   Centro</t>
  </si>
  <si>
    <t xml:space="preserve">Apartamento de 54m² com 01 quarto para locação   Centro</t>
  </si>
  <si>
    <t xml:space="preserve">Apartamento de 56m² com 02 quartos   Portal Mirante da Colina</t>
  </si>
  <si>
    <t xml:space="preserve">Apartamento de 47m² com 01 suíte à venda   Nova Aliança</t>
  </si>
  <si>
    <t xml:space="preserve">Apartamento de 57m² com 02 quartos para venda   Ipiranga</t>
  </si>
  <si>
    <t xml:space="preserve">APARTAMENTO TÉRREO PRÓXIMO À RODOVIA ANHANGUERA</t>
  </si>
  <si>
    <t xml:space="preserve">Apartamento de 45m² com 01 quarto   Jardim Irajá</t>
  </si>
  <si>
    <t xml:space="preserve">Lançamento: Vista do Parque   Apartamento de 48m² com 02 quartos à venda   Vila Virgínia</t>
  </si>
  <si>
    <t xml:space="preserve">R$ 305.139,67</t>
  </si>
  <si>
    <t xml:space="preserve">R$ 306.000,00</t>
  </si>
  <si>
    <t xml:space="preserve">Apartamento de 50m² com 2 quartos à venda   Jardim Novo Mundo</t>
  </si>
  <si>
    <t xml:space="preserve">R$ 307.020,00</t>
  </si>
  <si>
    <t xml:space="preserve">R$ 307.400,00</t>
  </si>
  <si>
    <t xml:space="preserve">Apartamento de 84m² com 02 quartos para venda   Centro</t>
  </si>
  <si>
    <t xml:space="preserve">Apartamento de 73m² com 02 quartos   Jardim Palma Travassos</t>
  </si>
  <si>
    <t xml:space="preserve">AMPLO APARTAMENTO PRÓXIMO AV. MEIRA JUNIOR</t>
  </si>
  <si>
    <t xml:space="preserve">R$ 308.000,00</t>
  </si>
  <si>
    <t xml:space="preserve">Apartamento para locação de 2 quartos  Jardim Paulistano</t>
  </si>
  <si>
    <t xml:space="preserve">APARTAMENTO PRÓXIMO À AVENIDA DOUTOR CELSO CHARURI</t>
  </si>
  <si>
    <t xml:space="preserve">Apartamento studio de 29m² com quintal à venda   Vila Amélia</t>
  </si>
  <si>
    <t xml:space="preserve">R$ 308.987,00</t>
  </si>
  <si>
    <t xml:space="preserve">Apartamento de 84m² com 02 quartos à venda   Residencial Flórida</t>
  </si>
  <si>
    <t xml:space="preserve">R$ 309.000,00</t>
  </si>
  <si>
    <t xml:space="preserve">Apartamento de 48m² com 02 quartos á venda   Quintas De São José</t>
  </si>
  <si>
    <t xml:space="preserve">Apartamento de 02 quartos com 102m² para locação   Centro</t>
  </si>
  <si>
    <t xml:space="preserve">Lançamento: Gran Primavera   Apartamento de 50m² com 02 quartos com 01 suíte à venda   Região do Jardim Olhos D`Água</t>
  </si>
  <si>
    <t xml:space="preserve">R$ 309.990,00</t>
  </si>
  <si>
    <t xml:space="preserve">Apartamento de 49m² com 02 quartos   Praças do Ipiranga</t>
  </si>
  <si>
    <t xml:space="preserve">Apartamento de 75m² com 03 quartos sendo 01 suíte à venda  Planalto Verde</t>
  </si>
  <si>
    <t xml:space="preserve">Apartamento de 73m² com 03 quartos sendo 01 suíte à venda   Jardim Antártica</t>
  </si>
  <si>
    <t xml:space="preserve">Apartamento de 97m² com 03 quartos à venda   Jardim Paulistano</t>
  </si>
  <si>
    <t xml:space="preserve">R$ 292.000,00</t>
  </si>
  <si>
    <t xml:space="preserve">Apartamento de 63m² com 02 quartos para locação   Jardim Botânico</t>
  </si>
  <si>
    <t xml:space="preserve">Apartamento reformado de 80m² com 02 quartos sendo 01 suíte à venda   Centro</t>
  </si>
  <si>
    <t xml:space="preserve">Apartamento de 47m² com 02 quartos para locação e venda   Vale das Nascentes</t>
  </si>
  <si>
    <t xml:space="preserve">Apartamento térreo de 78m² com 02 quartos à venda   Alto do Ipiranga</t>
  </si>
  <si>
    <t xml:space="preserve">Apartamento de 57m² com 02 quartos sendo 01 suíte   Ipiranga</t>
  </si>
  <si>
    <t xml:space="preserve">Apartamento de 50m² com 01 quarto   Santa Cruz do José Jacques</t>
  </si>
  <si>
    <t xml:space="preserve">Lindo Apartamento Mobiliado</t>
  </si>
  <si>
    <t xml:space="preserve">ÓTIMO APARTAMENTO NO MONTE ALEGRE</t>
  </si>
  <si>
    <t xml:space="preserve">OTIMO APARTAMENTO NO MONTE ALEGRE</t>
  </si>
  <si>
    <t xml:space="preserve">APARTAMENTO EM ÓTIMA LOCALIZAÇÃO, PRÓXIMO À AVENIDA MAURILIO BIAGI</t>
  </si>
  <si>
    <t xml:space="preserve">Apartamento de 54m² com 02 quartos   Jardim Palma Travassos</t>
  </si>
  <si>
    <t xml:space="preserve">Apartamento de 02 quartos com 44m²   Vila Guiomar</t>
  </si>
  <si>
    <t xml:space="preserve">Apartamento de 48m² à venda   Jardim Botânico</t>
  </si>
  <si>
    <t xml:space="preserve">Apartamento de 49m² com 02 quartos para locação e venda   Jardim Irajá</t>
  </si>
  <si>
    <t xml:space="preserve">Apartamento de 71m² com 02 quartos à venda   Jardim Paulistano</t>
  </si>
  <si>
    <t xml:space="preserve">Apartamento de 01 quarto à venda   Bosque das Juritis</t>
  </si>
  <si>
    <t xml:space="preserve">Apartamento de 45m² com 01 quarto para locação   Santa Cruz</t>
  </si>
  <si>
    <t xml:space="preserve">APARTAMENTO NO CENTRO!</t>
  </si>
  <si>
    <t xml:space="preserve">Apartamento de 01 quarto para venda   Santa Cruz</t>
  </si>
  <si>
    <t xml:space="preserve">Apartamento de 03 quartos para venda   Jd. Palma Travassos</t>
  </si>
  <si>
    <t xml:space="preserve">Apartamento de 49m² com 02 quartos à venda   Jardim Anhanguera</t>
  </si>
  <si>
    <t xml:space="preserve">R$ 312.000,00</t>
  </si>
  <si>
    <t xml:space="preserve">APARTAMENTO NO JARDIM BOTANICO</t>
  </si>
  <si>
    <t xml:space="preserve">Apartamento de 45m² com 01 quarto à venda   Jardim Paulista</t>
  </si>
  <si>
    <t xml:space="preserve">R$ 313.000,00</t>
  </si>
  <si>
    <t xml:space="preserve">Apartamento com Suíte de 57m² à Venda   Ipiranga</t>
  </si>
  <si>
    <t xml:space="preserve">Apartamento de 86m² com 03 quartos para locação e venda   Jardim Paulistano</t>
  </si>
  <si>
    <t xml:space="preserve">Apartamento de 62m² com 03 quartos à venda   Jardim Palma Travassos</t>
  </si>
  <si>
    <t xml:space="preserve">R$ 315.000,00</t>
  </si>
  <si>
    <t xml:space="preserve">Apartamento de 47m² com 02 quartos para venda   Jardim Paulistano</t>
  </si>
  <si>
    <t xml:space="preserve">Apartamento de 43m² com 01 quarto à venda   Nova Aliança</t>
  </si>
  <si>
    <t xml:space="preserve">Apartamento de 50m² com 01 quarto para locação   Jardim Botânico</t>
  </si>
  <si>
    <t xml:space="preserve">APARTAMENTO PRÓXIMO À AVENIDA CARLOS EDUARDO DE GASPERI CONSONI</t>
  </si>
  <si>
    <t xml:space="preserve">Apartamento térreo de 47m² com 02 quartos à venda   Jardim Paulistano</t>
  </si>
  <si>
    <t xml:space="preserve">R$ 316.000,00</t>
  </si>
  <si>
    <t xml:space="preserve">Apartamento de 70m² com 03 quartos para venda   Nova Ribeirânia</t>
  </si>
  <si>
    <t xml:space="preserve">Apartamento de 52m² com 02 quartos à venda   Loteamento Santa Marta</t>
  </si>
  <si>
    <t xml:space="preserve">Apartamento de 99m² com 02 quartos à venda   Centro</t>
  </si>
  <si>
    <t xml:space="preserve">Apartamento com Suíte e armários de 57m²   Ipiranga</t>
  </si>
  <si>
    <t xml:space="preserve">Apartamento de 49m² com 01 quarto à venda   Nova Aliança</t>
  </si>
  <si>
    <t xml:space="preserve">Apartamento de 96m² com 03 quartos   Jardim Paulista</t>
  </si>
  <si>
    <t xml:space="preserve">Apartamento de 66m² com 03 quartos   Jardim Parque Industrial Lagoinha</t>
  </si>
  <si>
    <t xml:space="preserve">APARTAMENTO PRÓXIMO A RODOVIA ANTÔNIO MACHADO SANT'ANNA</t>
  </si>
  <si>
    <t xml:space="preserve">Kit em ótima localização próximo à USP</t>
  </si>
  <si>
    <t xml:space="preserve">Apartamento de 57m² com 02 quartos para venda   Residencial Greenville</t>
  </si>
  <si>
    <t xml:space="preserve">Apartamento de 43m² com 01 suíte para locação e venda   Jardim Botânico</t>
  </si>
  <si>
    <t xml:space="preserve">Apartamento de 68m² com 02 quartos para locação e venda   Higienópolis</t>
  </si>
  <si>
    <t xml:space="preserve">Apartamento de 72m² com 02 quartos à venda   Vila Seixas</t>
  </si>
  <si>
    <t xml:space="preserve">Apartamento de 116m² com 03 quartos à venda   Jardim Macedo</t>
  </si>
  <si>
    <t xml:space="preserve">Apartamento de 55m² com 02 quartos à venda   Ipiranga</t>
  </si>
  <si>
    <t xml:space="preserve">R$ 319.900,00</t>
  </si>
  <si>
    <t xml:space="preserve">Apartamento de 507m² com 04 suítes à venda   Morro do Ypê</t>
  </si>
  <si>
    <t xml:space="preserve">R$ 6.150.000,00</t>
  </si>
  <si>
    <t xml:space="preserve">Apartamento de 89m² com 03 quartos 01 suíte à venda na Vila Seixas</t>
  </si>
  <si>
    <t xml:space="preserve">Apartamento de 66m² com 03 quartos para locação e venda   Parque Industrial Lagoinha</t>
  </si>
  <si>
    <t xml:space="preserve">Apartamento 46m² com 02 quartos para locação e venda   Jardim Paulistano</t>
  </si>
  <si>
    <t xml:space="preserve">Apartamento de 107m² com 03 quartos à venda   Vila Seixas</t>
  </si>
  <si>
    <t xml:space="preserve">Apartamento de 38m² com 01 quarto, à Venda Mobiliado   Residencial Florida</t>
  </si>
  <si>
    <t xml:space="preserve">Apartamento de 54m² com 02 quartos para venda   Jardim Anhanguera</t>
  </si>
  <si>
    <t xml:space="preserve">Apartamento/Padrão   Residencial   No bairro Centro  </t>
  </si>
  <si>
    <t xml:space="preserve">Apartamento de 03 quartos para locação e venda   Jardim Paulista</t>
  </si>
  <si>
    <t xml:space="preserve">****APARTAMENTO NO JARDIM PAULISTA****</t>
  </si>
  <si>
    <t xml:space="preserve">Apartamento de 44m² com 01 quarto venda   Nova Aliança</t>
  </si>
  <si>
    <t xml:space="preserve">Apartamento de 80m² com 03 quartos a venda   Jardim Palma Travassos</t>
  </si>
  <si>
    <t xml:space="preserve">Apartamento de 62m² com 2 quartos  Vila Tibério</t>
  </si>
  <si>
    <t xml:space="preserve">Apartamento de 63 m² a venda com 2 quartos  Presidente Médici</t>
  </si>
  <si>
    <t xml:space="preserve">Apartamento com 78m² com 03 quartos à venda   Parque dos Lagos</t>
  </si>
  <si>
    <t xml:space="preserve">Apartamento de 96m² com 03 quartos à venda   Lagoinha</t>
  </si>
  <si>
    <t xml:space="preserve">Apartamento de 88 m² com 03 quartos à venda   Jardim Paulistano</t>
  </si>
  <si>
    <t xml:space="preserve">Apartamento de 44m² com 01 quarto para locação ou venda   Nova Aliança</t>
  </si>
  <si>
    <t xml:space="preserve">Apartamento de 49m² com 02 quartos Locação ou Venda   Campos Elíseos</t>
  </si>
  <si>
    <t xml:space="preserve">Apartamento de 49m² com 02 quartos para locação e venda   Quinta da Primavera</t>
  </si>
  <si>
    <t xml:space="preserve">Apartamento de40m² com 02 quartos á venda   Ribeirânia</t>
  </si>
  <si>
    <t xml:space="preserve">Apartamento com 55m² com 01 quarto à venda   Alto da Boa Vista</t>
  </si>
  <si>
    <t xml:space="preserve">Lançamento: Alto da Mata Residencial   Apartamento de 58m² com 02 quartos com suíte à venda   Vivendas da Mata</t>
  </si>
  <si>
    <t xml:space="preserve">Apartamento de 77m² com 02 quartos à venda   Jardim Palma Travassos</t>
  </si>
  <si>
    <t xml:space="preserve">Apartamento com 45m² com 01 quarto para Locação e venda   Jardim Califórnia</t>
  </si>
  <si>
    <t xml:space="preserve">Apartamento e 49m² com 02 quartos para venda   Jardim Anhanguera</t>
  </si>
  <si>
    <t xml:space="preserve">Apartamento de 58m² com 02 quartos à venda   Vila Tibério</t>
  </si>
  <si>
    <t xml:space="preserve">Apartamento de 58m² com 02 quartos à venda   Parque dos Servidores</t>
  </si>
  <si>
    <t xml:space="preserve">Apartamento de 86m² com 03 quartos à venda   Residencial e Comercial Palmares</t>
  </si>
  <si>
    <t xml:space="preserve">Apartamento de 73m² com 02 quartos à venda   Lagoinha</t>
  </si>
  <si>
    <t xml:space="preserve">Apartamento térreo de 62m² com 02 quartos à venda   Residencial Flórida</t>
  </si>
  <si>
    <t xml:space="preserve">Excelente apartamento na Zona Sul</t>
  </si>
  <si>
    <t xml:space="preserve">***OTIMO APARTAMENTO TÉRREO****</t>
  </si>
  <si>
    <t xml:space="preserve">Apartamento de 107 m² com 3 dormitórios no Jardim Irajá</t>
  </si>
  <si>
    <t xml:space="preserve">Apartamento de 85m² com 03 quartos para locação e venda   Jardim Macedo</t>
  </si>
  <si>
    <t xml:space="preserve">EXCELENTE APARTAMENTO PRÓXIMO A USP</t>
  </si>
  <si>
    <t xml:space="preserve">Apartamento de 79m² com 02 quartos para locação e venda   Jardim Palma Travassos</t>
  </si>
  <si>
    <t xml:space="preserve">Apartamento de 87m² com 03 quartos sendo 01 suíte para à venda   Jardim Catelo Branco</t>
  </si>
  <si>
    <t xml:space="preserve">Apartamento de 61m² com 02 quartos à venda   Vila Monte Alegre</t>
  </si>
  <si>
    <t xml:space="preserve">LINDO APARTAMENTO PRÓXIMO A AV CASTELO BRANCO</t>
  </si>
  <si>
    <t xml:space="preserve">Apartamento de 66m² com 03 quartos para venda   Jardim Interlagos</t>
  </si>
  <si>
    <t xml:space="preserve">Excelente Duplex próx a Av. Castelo Branco</t>
  </si>
  <si>
    <t xml:space="preserve">APARTAMENTO TÉRREO PRÓXIMO À USP</t>
  </si>
  <si>
    <t xml:space="preserve">Apartamento de 64m² com 03 quartos sendo 01 suíte à venda   Iguatemi</t>
  </si>
  <si>
    <t xml:space="preserve">APARTAMENTO TÉRREO NO JARDIM ZARA</t>
  </si>
  <si>
    <t xml:space="preserve">LINDO APARTAMENTO NO JARDIM INTERLAGOS</t>
  </si>
  <si>
    <t xml:space="preserve">LINDO APARTAMENTO NO JARDIM BOTÂNICO</t>
  </si>
  <si>
    <t xml:space="preserve">Apartamento de 33m² com 01 quarto à venda   Centro</t>
  </si>
  <si>
    <t xml:space="preserve">Apartamento de 81m² com 03 quartos para venda   Sumarezinho</t>
  </si>
  <si>
    <t xml:space="preserve">AMPLO APARTAMENTO NO BAIRRO JARDIM BANDEIRANTES</t>
  </si>
  <si>
    <t xml:space="preserve">EXCELENTE APARTAMENTO   PARQUE DOS LAGOS</t>
  </si>
  <si>
    <t xml:space="preserve">APARTAMENTO PRÓXIMO AO SHOPPING SANTA ÚRSULA</t>
  </si>
  <si>
    <t xml:space="preserve">Apartamento de 109m² com 03 quartos à venda   Centro</t>
  </si>
  <si>
    <t xml:space="preserve">APARTAMENTO MOBILIADO NO JARDIM FLORIDA</t>
  </si>
  <si>
    <t xml:space="preserve">Apartamento de 50m² com 01 quarto para locação   Nova Aliança</t>
  </si>
  <si>
    <t xml:space="preserve">Apartamento de 78m² com 02 quartos à venda   Jardim Irajá</t>
  </si>
  <si>
    <t xml:space="preserve">Apartamento de 03 quartos para locação   Jd. Interlagos</t>
  </si>
  <si>
    <t xml:space="preserve">Apartamento de 74m² com 03 quartos   Parque Industrial Lagoinha</t>
  </si>
  <si>
    <t xml:space="preserve">Apartamento de 02 quartos á venda   Residencial Flórida</t>
  </si>
  <si>
    <t xml:space="preserve">Apartamento de 59m² com 02 quartos sendo 01 suíte à venda   Residencial Flórida</t>
  </si>
  <si>
    <t xml:space="preserve">Apartamento de 64m² com 02 quartos à venda   Residencial Flórida</t>
  </si>
  <si>
    <t xml:space="preserve">Apartamento mobiliado de 38m² com 01 quarto para locação e venda   Jardim Botânico</t>
  </si>
  <si>
    <t xml:space="preserve">Apartamento de 86m² com 03 quartos  </t>
  </si>
  <si>
    <t xml:space="preserve">Apartamento de 105m² à venda   Centro</t>
  </si>
  <si>
    <t xml:space="preserve">Apartamento de 75m² com 03 quartos para venda   Presidente Médici</t>
  </si>
  <si>
    <t xml:space="preserve">APARTAMENTO PRÓXIMO Á UNAERP</t>
  </si>
  <si>
    <t xml:space="preserve">Apartamento de 03 quartos para locação   Campos Elíseos</t>
  </si>
  <si>
    <t xml:space="preserve">Apartamento de 43m² com 01 quarto à venda   Ribeirânia</t>
  </si>
  <si>
    <t xml:space="preserve">R$ 320.178,00</t>
  </si>
  <si>
    <t xml:space="preserve">Apartamento/Padrão 42m² a venda no bairro Nova Ribeirânia</t>
  </si>
  <si>
    <t xml:space="preserve">R$ 323.819,50</t>
  </si>
  <si>
    <t xml:space="preserve">Apartamento de 103m² com 03 quartos para venda   Jardim Paulistano</t>
  </si>
  <si>
    <t xml:space="preserve">Apartamento de 62 m² com 2 quartos   Vila Ana Maria</t>
  </si>
  <si>
    <t xml:space="preserve">R$ 325.000,00</t>
  </si>
  <si>
    <t xml:space="preserve">Apartamento de 44m² com 01 suíte para locação   Nova Aliança</t>
  </si>
  <si>
    <t xml:space="preserve">Apartamento de 100,93m² com 03 quartos à venda   Jardim Paulista</t>
  </si>
  <si>
    <t xml:space="preserve">Apartamento de 51m² com 02 quartos à venda   Bonfim Paulista</t>
  </si>
  <si>
    <t xml:space="preserve">Apartamento padrão de 58m² com 02 quartos para venda Nova  Parque dos Servidores</t>
  </si>
  <si>
    <t xml:space="preserve">Apartamento de 85m² com 03 quartos sendo 01 suíte à venda   Jardim Zara</t>
  </si>
  <si>
    <t xml:space="preserve">Apartamento de 03 quartos para locação   Jardim Irajá</t>
  </si>
  <si>
    <t xml:space="preserve">Lançamento: Village Gaia   Apartamento de 52m² com 02 quartos sendo 01 súite à venda   Quinta da Primavera</t>
  </si>
  <si>
    <t xml:space="preserve">R$ 326.000,00</t>
  </si>
  <si>
    <t xml:space="preserve">Apartamento de 42m² com 01 quarto para venda   Nova Ribeirânia</t>
  </si>
  <si>
    <t xml:space="preserve">R$ 328.108,50</t>
  </si>
  <si>
    <t xml:space="preserve">Apartamento térreo de 96m² com 03 quartos à venda   Jardim Paulista</t>
  </si>
  <si>
    <t xml:space="preserve">Apartamento de 161m² com 03 quartos para venda   Centro</t>
  </si>
  <si>
    <t xml:space="preserve">R$ 329.000,00</t>
  </si>
  <si>
    <t xml:space="preserve">Apartamento de 01 quarto para locação e venda   Jd. Palma Travassos</t>
  </si>
  <si>
    <t xml:space="preserve">Apartamento de 109m² com 03 quartos à venda   Jardim Palma Travassos</t>
  </si>
  <si>
    <t xml:space="preserve">Apartamento de 91m² com 03 quartos sendo 01 suíte á venda   Jardim Irajá</t>
  </si>
  <si>
    <t xml:space="preserve">Apartamento com 146m² e 3 quartos à venda   Alto do Ipiranga</t>
  </si>
  <si>
    <t xml:space="preserve">Apartamento de 45m² com 02 quartos para locação e venda   Nova Aliança</t>
  </si>
  <si>
    <t xml:space="preserve">Apartamento de 87m² 02 quartos à venda   Jardim Zara</t>
  </si>
  <si>
    <t xml:space="preserve">Apartamento de 121m² com 03 quartos à venda   Campos Elíseos</t>
  </si>
  <si>
    <t xml:space="preserve">Apartamento de 61m² com 02 quartos à venda   Sumarezinho</t>
  </si>
  <si>
    <t xml:space="preserve">R$ 329.900,00</t>
  </si>
  <si>
    <t xml:space="preserve">Apartamento de 97m² com 03 quartos à venda   Parque dos Bandeirantes</t>
  </si>
  <si>
    <t xml:space="preserve">Apartamento de 93m² com 03 quartos à venda   Parque dos Bandeirantes</t>
  </si>
  <si>
    <t xml:space="preserve">Apartamento de 115m² com 02 quartos à venda   Centro</t>
  </si>
  <si>
    <t xml:space="preserve">Apartamento de 50m² com 02 quartos para locação e venda   Jardim Anhanguera</t>
  </si>
  <si>
    <t xml:space="preserve">Apartamento de 48m² com 01 suíte à venda   Nova Aliança</t>
  </si>
  <si>
    <t xml:space="preserve">Apartamento de 65m² com 02 quartos sendo 01 suíte à venda   Jardim Botânico</t>
  </si>
  <si>
    <t xml:space="preserve">Apartamento de 85m² com 03 quartos sendo 01 suíte à venda   Centro</t>
  </si>
  <si>
    <t xml:space="preserve">Apartamento de 74m² com 03 quartos à venda   Campos Elíseos</t>
  </si>
  <si>
    <t xml:space="preserve">Apartamento de 49m² com 02 quartos à venda   Jardim Novo Mundo</t>
  </si>
  <si>
    <t xml:space="preserve">Apartamento de 56m² com 02 quartos à venda   Sumarezinho</t>
  </si>
  <si>
    <t xml:space="preserve">Apartamento de 58m² com 02 quartos   Vila Tibério</t>
  </si>
  <si>
    <t xml:space="preserve">Apartamento de 75m² com 03 quartos à venda</t>
  </si>
  <si>
    <t xml:space="preserve">Apartamento de 72m² com 03 quartos à venda   Vila Mariana</t>
  </si>
  <si>
    <t xml:space="preserve">Apartamento de 44m² com 02 quartos para locação   Recreio Das Acácias</t>
  </si>
  <si>
    <t xml:space="preserve">Apartamento de 53m² com 02 quartos   Alto da Boa Vista</t>
  </si>
  <si>
    <t xml:space="preserve">Apartamento de 02 quartos para locação   Jardim Florida</t>
  </si>
  <si>
    <t xml:space="preserve">Apartamento de 73m² com 02 quartos e suíte para Venda   Jardim Paulista</t>
  </si>
  <si>
    <t xml:space="preserve">EXCELENTE APARTAMENTO NO SUMAREZINHO</t>
  </si>
  <si>
    <t xml:space="preserve">Apartamento de 49m² com 01 suíte à venda   Nova Aliança</t>
  </si>
  <si>
    <t xml:space="preserve">Apartamento de 103m² com 03 quartos à venda   Centro</t>
  </si>
  <si>
    <t xml:space="preserve">APARTAMENTO NO JD. INDEPENDÊNCIA</t>
  </si>
  <si>
    <t xml:space="preserve">Apartamento de 72m² com 02 quartos para locação e venda   Vila Ana Maria</t>
  </si>
  <si>
    <t xml:space="preserve">Apartamento de 48m² com 02 quartos para locação   Nova Aliança</t>
  </si>
  <si>
    <t xml:space="preserve">Apartamento de 48m² com 02 quartos para venda   Jardim Manoel Penna</t>
  </si>
  <si>
    <t xml:space="preserve">Apartamento de 64m² com 02 quartos à venda   Jardim Paulistano</t>
  </si>
  <si>
    <t xml:space="preserve">APARTAMENTO NA VILA MARIANA</t>
  </si>
  <si>
    <t xml:space="preserve">Excelente Oportunidade próximo a USP.</t>
  </si>
  <si>
    <t xml:space="preserve">Apartamento de 68m² com 02 quartos para venda   Centro</t>
  </si>
  <si>
    <t xml:space="preserve">Apartamento de 02 quartos para locação   Ana Maria</t>
  </si>
  <si>
    <t xml:space="preserve">Lançamento Portugal 2207   Apartamento de 44m² com 01 quarto à venda   Santa Cruz do José Jacques</t>
  </si>
  <si>
    <t xml:space="preserve">R$ 330.550,20</t>
  </si>
  <si>
    <t xml:space="preserve">Apartamento de 56m² com 02 quartos à venda   Campos Elíseos</t>
  </si>
  <si>
    <t xml:space="preserve">R$ 332.000,00</t>
  </si>
  <si>
    <t xml:space="preserve">LANÇAMENTO SERÁ ENTREGUE EM 2024</t>
  </si>
  <si>
    <t xml:space="preserve">Apartamento de 53m² com 02 quartos à venda   Jardim Paulista</t>
  </si>
  <si>
    <t xml:space="preserve">R$ 333.000,00</t>
  </si>
  <si>
    <t xml:space="preserve">Apartamento de 49m² com 02 quartos à venda   Residencial Monterrey</t>
  </si>
  <si>
    <t xml:space="preserve">R$ 334.000,00</t>
  </si>
  <si>
    <t xml:space="preserve">Apartamento térreo de 60m² com 02 quartos à venda   Quinta da Primavera</t>
  </si>
  <si>
    <t xml:space="preserve">Lançamento   Apartamento de 55m² com 02 quartos à venda   Campos Elíseos</t>
  </si>
  <si>
    <t xml:space="preserve">Apartamento mobiliado de 48m² com 02 quartos para locação e venda   Jardim Paulistano</t>
  </si>
  <si>
    <t xml:space="preserve">Apartamento de 107m com 3 quartos   Iguatemi</t>
  </si>
  <si>
    <t xml:space="preserve">R$ 335.000,00</t>
  </si>
  <si>
    <t xml:space="preserve">Apartamento térreo de 78m² com 03 quartos à venda   Parque dos Lagos</t>
  </si>
  <si>
    <t xml:space="preserve">Apartamento de 89m² com 03 quartos á venda   Jardim Novo Mundo</t>
  </si>
  <si>
    <t xml:space="preserve">Apartamento de 44m² com 02 quartos para locação e venda   Quintas de São José</t>
  </si>
  <si>
    <t xml:space="preserve">APARTAMENTO EM BOMFIM PAULISTA</t>
  </si>
  <si>
    <t xml:space="preserve">Apartamento de 71m² com 02 quartos à venda   Vila Ana Maria</t>
  </si>
  <si>
    <t xml:space="preserve">Apartamento/Padrão 43m² a venda no bairro Nova Ribeirânia</t>
  </si>
  <si>
    <t xml:space="preserve">R$ 335.529,00</t>
  </si>
  <si>
    <t xml:space="preserve">Apartamento com 71m² com 02 quartos e quintal à venda   Alto da Boa Vista</t>
  </si>
  <si>
    <t xml:space="preserve">R$ 337.758,00</t>
  </si>
  <si>
    <t xml:space="preserve">R$ 338.000,00</t>
  </si>
  <si>
    <t xml:space="preserve">Lindo Apartamento a 7min do Shopping Santa Úrsula</t>
  </si>
  <si>
    <t xml:space="preserve">R$ 338.473,84</t>
  </si>
  <si>
    <t xml:space="preserve">Apartamento de 45m² com 02 quartos para venda   Bonfim Paulista</t>
  </si>
  <si>
    <t xml:space="preserve">Apartamento de 43m² com 01 suíte para venda   Quinta da Primavera</t>
  </si>
  <si>
    <t xml:space="preserve">R$ 339.000,00</t>
  </si>
  <si>
    <t xml:space="preserve">Apartamento de 45m² com 01 quarto à venda   Jardim Recreio</t>
  </si>
  <si>
    <t xml:space="preserve">R$ 339.200,00</t>
  </si>
  <si>
    <t xml:space="preserve">Apartamento de 66m² com 03 quartos sendo 01 suíte à venda   Parque dos Lagos</t>
  </si>
  <si>
    <t xml:space="preserve">R$ 339.990,00</t>
  </si>
  <si>
    <t xml:space="preserve">Apartamento de 104m² com 03 quartos à venda   Jardim Paulista</t>
  </si>
  <si>
    <t xml:space="preserve">R$ 293.000,00</t>
  </si>
  <si>
    <t xml:space="preserve">Apartamento de 43m² com 01 quarto à venda   Vila Monte Alegre</t>
  </si>
  <si>
    <t xml:space="preserve">Apartamento de 54m² 02 quartos à venda   Vila Monte Alegre</t>
  </si>
  <si>
    <t xml:space="preserve">APARTAMENTO NO QUINTA SÃO JOSÉ</t>
  </si>
  <si>
    <t xml:space="preserve">R$ 337.000,00</t>
  </si>
  <si>
    <t xml:space="preserve">Apartamento de 53m² com 02 quartos á venda   Alto da Boa Vista</t>
  </si>
  <si>
    <t xml:space="preserve">Apartamento de 53m² com 02 quartos sendo 01 suíte à venda   Parque das Oliveiras II</t>
  </si>
  <si>
    <t xml:space="preserve">Apartamento de 66m² com 02 suítes à venda   Jardim Botânico</t>
  </si>
  <si>
    <t xml:space="preserve">Apartamento de 60m² com 02 quartos à venda   Sumarezinho</t>
  </si>
  <si>
    <t xml:space="preserve">Apartamento/Padrão   Residencial   No bairro Campos Elíseos   Edifício Palazzo Itália</t>
  </si>
  <si>
    <t xml:space="preserve">Apartamento loft Porteira fechada de 34m² com 01 quarto à venda   Santa Cruz do José Jacques</t>
  </si>
  <si>
    <t xml:space="preserve">Apartamento de 52m² com 02 quartos à venda   Quintas de São José</t>
  </si>
  <si>
    <t xml:space="preserve">Apartamento de 75m² com 02 quartos à venda   Centro</t>
  </si>
  <si>
    <t xml:space="preserve">Apartamento de 44m² com 02 quartos para venda   Reserva Flor de Lotus</t>
  </si>
  <si>
    <t xml:space="preserve">Apartamento de 62m² com 02 quartos para locação   Vila Maria Luiza</t>
  </si>
  <si>
    <t xml:space="preserve">Apartamento de 63m² com 02 quartos para venda   Ipiranga</t>
  </si>
  <si>
    <t xml:space="preserve">APARTAMENTO NO BAIRRO BOSQUE DAS JURITIS</t>
  </si>
  <si>
    <t xml:space="preserve">APARTAMENTO PRÓXIMO À AVENIDA MEIRA JUNIOR</t>
  </si>
  <si>
    <t xml:space="preserve">APARTAMENTO MOBILIADO NO JARDIM PALMA TRAVASSOS</t>
  </si>
  <si>
    <t xml:space="preserve">EXCELENTE APARTAMENTO PARA LOCAÇÃO NO CENTRO DE RIBEIRÃO PRETO</t>
  </si>
  <si>
    <t xml:space="preserve">Apartamento de 01 suíte para locação   Nova Aliança</t>
  </si>
  <si>
    <t xml:space="preserve">Apartamento de 38m² com 01 quarto para locação e venda   Jardim Palma Travassos</t>
  </si>
  <si>
    <t xml:space="preserve">Apartamento 93m² com 03 quartos à venda   Jardim Irajá</t>
  </si>
  <si>
    <t xml:space="preserve">Apartamento de 62m² com 02 quartos à venda   Vila Ana Maria</t>
  </si>
  <si>
    <t xml:space="preserve">Apartamento térreo de 86m² com 03 quartos à venda   Parque dos Bandeirantes</t>
  </si>
  <si>
    <t xml:space="preserve">Apartamento de 92m² com 03 quartos à venda   Parque dos Bandeirantes</t>
  </si>
  <si>
    <t xml:space="preserve">Apartamento de 38m² com 01 quarto á venda   Presidente Médici</t>
  </si>
  <si>
    <t xml:space="preserve">Apartamento de 141m² com 03 quartos à venda   Centro</t>
  </si>
  <si>
    <t xml:space="preserve">Apartamento mobiliado de 36m² com 01 quarto para locação   Residencial Flórida</t>
  </si>
  <si>
    <t xml:space="preserve">APARTAMENTO 2 DORMÍTÓRIOS EM ÓTIMA LOCALIZAÇÃO</t>
  </si>
  <si>
    <t xml:space="preserve">Apartamento de 83m² com 03 quartos   Jardim Irajá</t>
  </si>
  <si>
    <t xml:space="preserve">Apartamento de 96m² com 3 quartos, 1 suíte   Jardim Paulistano</t>
  </si>
  <si>
    <t xml:space="preserve">Apartamento de 75m² com 03 quartos a venda   Parque dos bandeirantes</t>
  </si>
  <si>
    <t xml:space="preserve">Apartamento de 69m² com 02 quartos à venda   Jardim Palma Travassos</t>
  </si>
  <si>
    <t xml:space="preserve">Apartamento de 45m² com 01 quarto   Jardim Florida</t>
  </si>
  <si>
    <t xml:space="preserve">Apartamento Novo de 43m² com 01 quarto à venda   Ribeirânia</t>
  </si>
  <si>
    <t xml:space="preserve">R$ 343.120,00</t>
  </si>
  <si>
    <t xml:space="preserve">LANÇAMENTO APARTAMENTO NO SUMAREZINHO!!!</t>
  </si>
  <si>
    <t xml:space="preserve">R$ 343.500,00</t>
  </si>
  <si>
    <t xml:space="preserve">APARTAMENTO TÉRREO NA ZONA SUL</t>
  </si>
  <si>
    <t xml:space="preserve">R$ 344.590,00</t>
  </si>
  <si>
    <t xml:space="preserve">Apartamento de 120m² com 03 quartos à venda   Campos Elíseos</t>
  </si>
  <si>
    <t xml:space="preserve">Apartamento de 102m² com 03 quartos para venda   Jardim Macedo</t>
  </si>
  <si>
    <t xml:space="preserve">Lançamento: Cerqueira 2164   Apartamento de 42m² com 01 quarto à venda   Jardim Sumaré</t>
  </si>
  <si>
    <t xml:space="preserve">R$ 345.000,00</t>
  </si>
  <si>
    <t xml:space="preserve">Apartamento de 38m² com 01 quarto à venda   Jardim Palma Travassos</t>
  </si>
  <si>
    <t xml:space="preserve">Apartamento de 78m² com 03 quartos sendo 01 suíte   Jardim Independência</t>
  </si>
  <si>
    <t xml:space="preserve">EXCELENTE IMÓVEL NO VILA ANA MARIA</t>
  </si>
  <si>
    <t xml:space="preserve">Apartamento de 92m² com 03 quartos sendo 01 suíte   Jardim Castelo Branco</t>
  </si>
  <si>
    <t xml:space="preserve">More na Nova Fiusa   TRIADE FIUSA HOME RESORT</t>
  </si>
  <si>
    <t xml:space="preserve">R$ 345.614,00</t>
  </si>
  <si>
    <t xml:space="preserve">Apartamento de 67m² com 02 quartos à venda   VIDA PLENA LAGOINHA</t>
  </si>
  <si>
    <t xml:space="preserve">R$ 349.000,00</t>
  </si>
  <si>
    <t xml:space="preserve">Apartamento 40m² com 01 quarto à venda   Vila Seixas</t>
  </si>
  <si>
    <t xml:space="preserve">Apartamento de 65m² com 02 quartos sendo 01 suíte para a locação   Jardim Botânico</t>
  </si>
  <si>
    <t xml:space="preserve">Apartamento de 60m² com 02 quartos   Jardim Greenville</t>
  </si>
  <si>
    <t xml:space="preserve">Apartamento de 38m² com 02 quartos à venda   Jardim Palma Travassos</t>
  </si>
  <si>
    <t xml:space="preserve">LINDO APARTAMENTO NO CENTRO</t>
  </si>
  <si>
    <t xml:space="preserve">Apartamento de 85m² com 02 quartos sendo 01 suíte para venda   Centro</t>
  </si>
  <si>
    <t xml:space="preserve">Apartamento de 129m² com 03 quartos à venda   Jardim Macedo</t>
  </si>
  <si>
    <t xml:space="preserve">Apartamento de 53m² com 02 quartos à venda   Condomínio Mirante Sul</t>
  </si>
  <si>
    <t xml:space="preserve">Apartamento de 97m² com 03 quartos para locação   Centro</t>
  </si>
  <si>
    <t xml:space="preserve">APARTAMENTO NO IRAJA</t>
  </si>
  <si>
    <t xml:space="preserve">Apartamento de 73m² com 02 quartos à venda   Jardim Paulista</t>
  </si>
  <si>
    <t xml:space="preserve">Apartamento de 79m² com 03 quartos   Parque Industrial Lagoinha</t>
  </si>
  <si>
    <t xml:space="preserve">Apartamento de 73m² com 02 quartos 02 banheiros para venda   Nova Ribeiraria</t>
  </si>
  <si>
    <t xml:space="preserve">R$ 339.900,00</t>
  </si>
  <si>
    <t xml:space="preserve">Apartamento de 90m² com 03 quartos à venda   Jardim Antártica</t>
  </si>
  <si>
    <t xml:space="preserve">Apartamento de 90 m² com 03 quartos   Centro</t>
  </si>
  <si>
    <t xml:space="preserve">Apartamento térreo de 71m² com 03 quartos à venda   Jardim Irajá</t>
  </si>
  <si>
    <t xml:space="preserve">R$ 349.900,00</t>
  </si>
  <si>
    <t xml:space="preserve">Apartamento de 45m² com 01 quarto à venda   Santa Cruz do José Jacques</t>
  </si>
  <si>
    <t xml:space="preserve">Apartamento mobiliado de 54m² com 01 quarto para venda   Jardim São Luiz</t>
  </si>
  <si>
    <t xml:space="preserve">Apartamento de 46m² com 02 quartos à venda   Residencial Greenville</t>
  </si>
  <si>
    <t xml:space="preserve">Apartamento de 49m² com 02 quartos para locação   Residencial Monterrey</t>
  </si>
  <si>
    <t xml:space="preserve">Apartamento de 199m² com 04 quartos à venda   Centro</t>
  </si>
  <si>
    <t xml:space="preserve">Apartamento de 95m² 03 quartos sendo 01 suíte no Jardim Irajá</t>
  </si>
  <si>
    <t xml:space="preserve">Apartamento mobiliado de 54m² para locação   Monte Alegre</t>
  </si>
  <si>
    <t xml:space="preserve">Apartamento de 65m² com 02 quartos à venda   Vila Maria Luiza</t>
  </si>
  <si>
    <t xml:space="preserve">Apartamento de 61m² com 2 quartos á venda Nova Aliança</t>
  </si>
  <si>
    <t xml:space="preserve">Apartamento de 69 m², com 02 quartos para venda   Bairro Jardim Paulista.</t>
  </si>
  <si>
    <t xml:space="preserve">Apartamento de 56m² com 02 quartos à venda   Jardim Manoel Penna</t>
  </si>
  <si>
    <t xml:space="preserve">Apartamento de 55m² com 02 quartos sendo 01 suíte à venda   Jardim Olhos D`Água</t>
  </si>
  <si>
    <t xml:space="preserve">Apartamento de 58m² com 02 quartos sendo 01 suíte à venda   Residencial Parque dos Servidores</t>
  </si>
  <si>
    <t xml:space="preserve">Apartamento de 67m² com 02 quartos sendo 01 suíte à venda   Jardim Antártica</t>
  </si>
  <si>
    <t xml:space="preserve">Apartamento de 44m² com 01 suíte para locação   Jardim Recreio</t>
  </si>
  <si>
    <t xml:space="preserve">Apartamento de 44m² com 02 quartos à venda   Quinta da Primavera</t>
  </si>
  <si>
    <t xml:space="preserve">Apartamento de 97m² com 03 quartos à venda   Bairro Vila Seixas</t>
  </si>
  <si>
    <t xml:space="preserve">Apartamento de 51m² com 02 quartos à venda   Quintas de São José</t>
  </si>
  <si>
    <t xml:space="preserve">Apartamento de 80m² com 03 quartos à venda   Residencial e Comercial Palmares</t>
  </si>
  <si>
    <t xml:space="preserve">APARTAMENTO DUPLEX NO JARDIM PAULISTANO</t>
  </si>
  <si>
    <t xml:space="preserve">Apartamento de 46m² com 01 quarto para locação e venda   Nova Aliança</t>
  </si>
  <si>
    <t xml:space="preserve">****APARTAMENTO NO GREENVILLE****</t>
  </si>
  <si>
    <t xml:space="preserve">Apartamento de 96m² com 3 quartos   Jardim Paulistano</t>
  </si>
  <si>
    <t xml:space="preserve">Apartamento de 46m² com 02 quartos para locação   Recreio das Acácias</t>
  </si>
  <si>
    <t xml:space="preserve">Apartamento de 2 quartos   Recreio das Acácias</t>
  </si>
  <si>
    <t xml:space="preserve">Apartamento de 44m² com 01 quarto à venda   Nova Aliança</t>
  </si>
  <si>
    <t xml:space="preserve">APARTAMENTO 3 DORMITÓRIOS NA LAGOINHA</t>
  </si>
  <si>
    <t xml:space="preserve">Apartamento Térreo Jardim Anhanguera</t>
  </si>
  <si>
    <t xml:space="preserve">Apartamento de 43m² à venda   Vila Ana Maria</t>
  </si>
  <si>
    <t xml:space="preserve">Apartamento de 72m² com 03 quartos para locação   Iguatemi</t>
  </si>
  <si>
    <t xml:space="preserve">Apartamento de 72m² com 3 quartos na Lagoinha.</t>
  </si>
  <si>
    <t xml:space="preserve">Apartamento no Presidente Medici</t>
  </si>
  <si>
    <t xml:space="preserve">Apartamento de 98m² com 03 quartos para venda   Jardim Irajá</t>
  </si>
  <si>
    <t xml:space="preserve">Apartamento mobiliado de 57m² com 02 quartos   Ipiranga</t>
  </si>
  <si>
    <t xml:space="preserve">Apartamento de 92m² com 03 quartos sendo 01 suíte para venda   Jardim Palma Travassos</t>
  </si>
  <si>
    <t xml:space="preserve">Apartamento térreo de 93m² com 03 quartos   Presidente Medici</t>
  </si>
  <si>
    <t xml:space="preserve">Apartamento de 89m² com 02 quartos à venda   Residencial e Comercial Palmares</t>
  </si>
  <si>
    <t xml:space="preserve">APARTAMENTO PRÓXIMO À RUA ANIVALDO PONTON</t>
  </si>
  <si>
    <t xml:space="preserve">APARTAMENTO STUDIO PRÓXIMO A AV INDEPENDÊNCIA</t>
  </si>
  <si>
    <t xml:space="preserve">APARTAMENTO PRÓXIMO À RUA ANDRÉ VELONI</t>
  </si>
  <si>
    <t xml:space="preserve">Apartamento de 32m² com 01 quarto à venda   Nova Ribeirânia</t>
  </si>
  <si>
    <t xml:space="preserve">APARTAMENTO PRÓXIMO À RUA CAMILO DE MATTOS</t>
  </si>
  <si>
    <t xml:space="preserve">APARTAMENT PRÓXIMO À AVENIDA NOVE DE JULHO</t>
  </si>
  <si>
    <t xml:space="preserve">Apartamento de 59m² com 02 quartos á venda   Jardim Zara</t>
  </si>
  <si>
    <t xml:space="preserve">Apartamento de 91m² com 02 quartos para venda   Jardim Botânico</t>
  </si>
  <si>
    <t xml:space="preserve">APARTAMENTO VILA ANA MARIA</t>
  </si>
  <si>
    <t xml:space="preserve">Apartamento de 100m² com 03 quartos sendo 01 suíte à venda   Centro</t>
  </si>
  <si>
    <t xml:space="preserve">Apartamento de 79m² com 02 suítes para venda   Centro</t>
  </si>
  <si>
    <t xml:space="preserve">Apartamento de 73m² com 02 quartos sendo 01 suíte para venda   Parque dos Lagos</t>
  </si>
  <si>
    <t xml:space="preserve">Apartamento de 111m² com 02 quartps sendo 01 suíte à venda   Centro</t>
  </si>
  <si>
    <t xml:space="preserve">Apartamento de 67m² com 02 quartos à venda   Alto da Boa Vista</t>
  </si>
  <si>
    <t xml:space="preserve">Apartamento de 66m² com 02 quartos sendo 01 suíte para locação   Vila Ana Maria</t>
  </si>
  <si>
    <t xml:space="preserve">APARTAMENTO PRÓXIMO Á AVENIDA TREZE DE MAIO</t>
  </si>
  <si>
    <t xml:space="preserve">Apartamento de 68m² com 02 quartos para locação   Centro</t>
  </si>
  <si>
    <t xml:space="preserve">Apartamento de 90m² com 02 quartos à venda   Residencial e Comercial Palmares</t>
  </si>
  <si>
    <t xml:space="preserve">Excelente apartamento reformado no Vila Seixas.</t>
  </si>
  <si>
    <t xml:space="preserve">APARTAMENTO PRÓXIMO À AVENIDA PROF. JOÃO FIÚSA</t>
  </si>
  <si>
    <t xml:space="preserve">Apartamento de 60m² com 02 para locação   Nova Aliança</t>
  </si>
  <si>
    <t xml:space="preserve">Excelente apartamento Próximo ao Ribeirão Shopping</t>
  </si>
  <si>
    <t xml:space="preserve">Apartamento de 65m² com 03 quartos sendo 01 suíte para venda   Jardim Palma Travassos</t>
  </si>
  <si>
    <t xml:space="preserve">Apartamento de 96m² com 03 quartos para venda   Jd. Paulista</t>
  </si>
  <si>
    <t xml:space="preserve">Apartamento de 161m² com 04 quartos à venda   Centro</t>
  </si>
  <si>
    <t xml:space="preserve">Apartamento de 90m² com 03 quartos para locação e venda   Jardim Irajá</t>
  </si>
  <si>
    <t xml:space="preserve">Apartamento de 49m² com 01 quarto e quintal à venda   Jardim Nova Aliança Sul</t>
  </si>
  <si>
    <t xml:space="preserve">Apartamento de 40m² de 1 quarto   Bosque das Juritis</t>
  </si>
  <si>
    <t xml:space="preserve">APARTAMENTO COM 3 DORMITÓRIOS NO JARDIM SÃO LUIZ</t>
  </si>
  <si>
    <t xml:space="preserve">Apartamento de 55m² com 02 quartos à venda   no Bairro Iguatemi</t>
  </si>
  <si>
    <t xml:space="preserve">APARTAMENTO NO JOÃO PALMA TRAVASSOS</t>
  </si>
  <si>
    <t xml:space="preserve">Apartamento de 03 quartos para locação   Vila Tibério</t>
  </si>
  <si>
    <t xml:space="preserve">Apartamento de 97m² com 03 quartos á venda   Centro</t>
  </si>
  <si>
    <t xml:space="preserve">Apartamento térreo de 42m² com 01 quarto e quintal à venda   Vila Amélia</t>
  </si>
  <si>
    <t xml:space="preserve">R$ 350.245,00</t>
  </si>
  <si>
    <t xml:space="preserve">Apartamento térreo de 74m² com 02 quartos à venda   Alto da Boa Vista</t>
  </si>
  <si>
    <t xml:space="preserve">R$ 350.806,00</t>
  </si>
  <si>
    <t xml:space="preserve">R$ 348.000,00</t>
  </si>
  <si>
    <t xml:space="preserve">Apartamento Terreo na zona sul   Santa Cruz do José Jacques</t>
  </si>
  <si>
    <t xml:space="preserve">APARTAMENTO PRÓXIMO A RECREATIVA</t>
  </si>
  <si>
    <t xml:space="preserve">Apartamento de 102m² com 03 quartos   Jardim Macedo</t>
  </si>
  <si>
    <t xml:space="preserve">Apartamento de 80m² com 03 quartos à venda   Vila Mariana</t>
  </si>
  <si>
    <t xml:space="preserve">EXCELENTE APARTAMENTO PARA LOCAÇÃO NO JARDIM INTERLAGOS</t>
  </si>
  <si>
    <t xml:space="preserve">R$ 355.000,00</t>
  </si>
  <si>
    <t xml:space="preserve">Apartamento de 68m² com 03 quartos á venda e para locação   Centro</t>
  </si>
  <si>
    <t xml:space="preserve">Apartamento de 87m² com 3 quartos e 1 suíte à venda   Vila Tibério</t>
  </si>
  <si>
    <t xml:space="preserve">Apartamento a Venda próximo a USP em Ribeirão Preto</t>
  </si>
  <si>
    <t xml:space="preserve">Apartamento de 85m² com 03 quartos à venda   Presidente Médici</t>
  </si>
  <si>
    <t xml:space="preserve">ÓTIMO APARTAMENTO NO JARDIM BOTÂNICO</t>
  </si>
  <si>
    <t xml:space="preserve">Lançamento: Square Residencial   Apartamento de 47m² com 02 quartos à venda   Vila Virgínia</t>
  </si>
  <si>
    <t xml:space="preserve">Apartamento de 62m² com 02 quartos Mobiliado e suíte para Venda   Campos Elíseos</t>
  </si>
  <si>
    <t xml:space="preserve">Apartamento de 75m² com 03 quartos á venda   Presidente Médici</t>
  </si>
  <si>
    <t xml:space="preserve">Apartamento de 78m² com 03 quartos para venda   Parque dos Lagos</t>
  </si>
  <si>
    <t xml:space="preserve">Apartamento de 94m² com 03 quartos à venda   Lagoinha</t>
  </si>
  <si>
    <t xml:space="preserve">Apartamento de 94m² com 02 quartos   Jardim Irajá</t>
  </si>
  <si>
    <t xml:space="preserve">Apartamento de 77m² com 03 quartos para locação e venda   Parque dos Bandeirantes</t>
  </si>
  <si>
    <t xml:space="preserve">APARTAMENTO NO EDIFÍCIO MONTEREY EM BONFIM PAULISTA</t>
  </si>
  <si>
    <t xml:space="preserve">APARTAMENTO NO BAIRRO NOVA ALIANÇA</t>
  </si>
  <si>
    <t xml:space="preserve">Apartamento de 53m² com 2 quartos   Nova Aliança</t>
  </si>
  <si>
    <t xml:space="preserve">APARTAMENTO DIFRENCIADO NO PRESIDENTE MÉDICI</t>
  </si>
  <si>
    <t xml:space="preserve">APARTAMENTO NO JD. SÃO LUIZ / JD. IRAJÁ</t>
  </si>
  <si>
    <t xml:space="preserve">Apartamento de 106m² com 03 quartos à venda   City Ribeirão</t>
  </si>
  <si>
    <t xml:space="preserve">Apartamento de 03 quartos para locação   Sumarezinho</t>
  </si>
  <si>
    <t xml:space="preserve">Apartamento de 54m² com 02 quartos à venda  Jardim Palma Ttravasso</t>
  </si>
  <si>
    <t xml:space="preserve">Apartamento de 67m² com 02 quartos à venda   Jardim Antártica</t>
  </si>
  <si>
    <t xml:space="preserve">Imóvel próximo ao parque Raya</t>
  </si>
  <si>
    <t xml:space="preserve">APARTAMENTO PRÓXIMO À AVENIDA PROFESSOR JOÃO FIÚSA</t>
  </si>
  <si>
    <t xml:space="preserve">Apartamento de 65m² com 02 suítes para locação   Jardim Botânico</t>
  </si>
  <si>
    <t xml:space="preserve">Apartamento de 67m² com 02 quartos á venda   Santa Cruz do José Jacques</t>
  </si>
  <si>
    <t xml:space="preserve">Ótimo apartamento próximo à UNIP</t>
  </si>
  <si>
    <t xml:space="preserve">Apartamento de 86m² com 03 quartos para locação   Jardim Botânico</t>
  </si>
  <si>
    <t xml:space="preserve">Apartamento de 80m² com 03 quartos   Jardim Independência</t>
  </si>
  <si>
    <t xml:space="preserve">Apartamento de 52m² com 02 quartos sendo 01 suíte à venda   Loteamento Santa Marta</t>
  </si>
  <si>
    <t xml:space="preserve">R$ 360.400,00</t>
  </si>
  <si>
    <t xml:space="preserve">Apartamento de 74m² com 02 quartos para locação e venda   Centro</t>
  </si>
  <si>
    <t xml:space="preserve">Apartamento de 54m² com 02 quartos à venda   Vila Amélia</t>
  </si>
  <si>
    <t xml:space="preserve">Apartamento de 136m² com 03 quartos à venda   Jardim Macedo</t>
  </si>
  <si>
    <t xml:space="preserve">R$ 362.000,00</t>
  </si>
  <si>
    <t xml:space="preserve">Apartamento térreo de 62m² com 02 quartos à venda   Jardim Botânico</t>
  </si>
  <si>
    <t xml:space="preserve">Apartamento de 75m² com 03 quartos à venda   Jardim Presidente Medici</t>
  </si>
  <si>
    <t xml:space="preserve">R$ 365.000,00</t>
  </si>
  <si>
    <t xml:space="preserve">Apartamento de 80m² com 02 quartos à venda   Independência</t>
  </si>
  <si>
    <t xml:space="preserve">Apartamento de 63m² com 02 quartos à venda   Jardim São José</t>
  </si>
  <si>
    <t xml:space="preserve">Apartamento Padrão de 90m² com 03 quartos para venda   Jardim Anhanguera</t>
  </si>
  <si>
    <t xml:space="preserve">Apartamento no Jardim Botânico</t>
  </si>
  <si>
    <t xml:space="preserve">Apartamento de 80m² com 03 quartos sendo 1 suíte à venda   Alto da Boa Vista</t>
  </si>
  <si>
    <t xml:space="preserve">Apartamento de 80m² com 02 quartos à venda   Centro</t>
  </si>
  <si>
    <t xml:space="preserve">Apartamento de 45m² com 01 quartos á venda   Nova Aliança</t>
  </si>
  <si>
    <t xml:space="preserve">Apartamento de 61m² com 02 quartos à venda   Reserva San Pedro</t>
  </si>
  <si>
    <t xml:space="preserve">R$ 365.430,26</t>
  </si>
  <si>
    <t xml:space="preserve">Excelente oportunidade na zona sul</t>
  </si>
  <si>
    <t xml:space="preserve">R$ 367.251,36</t>
  </si>
  <si>
    <t xml:space="preserve">R$ 368.706,97</t>
  </si>
  <si>
    <t xml:space="preserve">R$ 369.000,00</t>
  </si>
  <si>
    <t xml:space="preserve">Apartamento de 140m² com 03 quartos para venda   Centro</t>
  </si>
  <si>
    <t xml:space="preserve">Apartamento de 160m² com 03 quartos à venda   Centro</t>
  </si>
  <si>
    <t xml:space="preserve">Apartamento de 125m² com 03 quartos à venda   Campos Elíseos</t>
  </si>
  <si>
    <t xml:space="preserve">Apartamento de 86m² com 02 quartos para locação   Parque dos Bandeirantes</t>
  </si>
  <si>
    <t xml:space="preserve">Apartamento de 81m² com 03 quartos para locação e venda   Sumarezinho</t>
  </si>
  <si>
    <t xml:space="preserve">Apartamento Flat de 27m² à venda   Jardim Califórnia</t>
  </si>
  <si>
    <t xml:space="preserve">Apartamento de 99m² com 03 quartos à venda   Jardim Paulistano</t>
  </si>
  <si>
    <t xml:space="preserve">Apartamento de 86m² com 03 quartos sendo 01 suíte à venda   Jardim Irajá</t>
  </si>
  <si>
    <t xml:space="preserve">Apartamento de 72m² com 02 quartos à venda   Jardim Macedo</t>
  </si>
  <si>
    <t xml:space="preserve">Apartamento de 97 m² com 03 quartos à venda   Jardim Paulista</t>
  </si>
  <si>
    <t xml:space="preserve">Apartamento de 199m² com 03 quartos à venda   Centro</t>
  </si>
  <si>
    <t xml:space="preserve">Apartamento de 86m² com 03 quartos à venda   Jardim Irajá</t>
  </si>
  <si>
    <t xml:space="preserve">Apartamento de 100m² com 03 quartos para locação e venda   Centro</t>
  </si>
  <si>
    <t xml:space="preserve">Apartamento de 115m² com 03 quartos à venda   Centro</t>
  </si>
  <si>
    <t xml:space="preserve">EXCELENTE APARTAMENTO NO JARDIM BOTÂNICO</t>
  </si>
  <si>
    <t xml:space="preserve">APARTAMENTO CENRTO   PRÓXIMO A CATEDRAL ALUGADO!</t>
  </si>
  <si>
    <t xml:space="preserve">Apartamento de 68m² com 02 quartos à venda   Santa Cruz do José Jacques</t>
  </si>
  <si>
    <t xml:space="preserve">Apartamento de 95m² com 03 quartos à venda   Sumarezinho</t>
  </si>
  <si>
    <t xml:space="preserve">Apartamento de 67m² com 02 quartos à venda   Santa Cruz do José Jacques</t>
  </si>
  <si>
    <t xml:space="preserve">Apartamento de 02 quartos   Jardim Botânico</t>
  </si>
  <si>
    <t xml:space="preserve">Apartamento de 67m² com 02 quartos para venda   Santa Cruz</t>
  </si>
  <si>
    <t xml:space="preserve">Apartamento de 71m² 02 quartos para locação   Santa Cruz do José Jacques</t>
  </si>
  <si>
    <t xml:space="preserve">Apartamento de 80m² com 03 quartos para locação   Alto da Boa Vista</t>
  </si>
  <si>
    <t xml:space="preserve">APARTAMENTO TÉRREO PRÓXIMO AO PARQUE CARLOS RAYA</t>
  </si>
  <si>
    <t xml:space="preserve">Apartamento de 116m² com 03 quartos sendo 01 suíte à venda   Vila Seixas</t>
  </si>
  <si>
    <t xml:space="preserve">Apartamento de 71m² com 02 quartos á venda   Jardim Botânico</t>
  </si>
  <si>
    <t xml:space="preserve">Apartamento de 82m² com 03 quartos para venda   Jardim Palma Travassos</t>
  </si>
  <si>
    <t xml:space="preserve">Apartamento de 03 dormitórios   Campos Elíseos</t>
  </si>
  <si>
    <t xml:space="preserve">Apartamento de 107m² com 02 quartos no Centro   Ribeirão Preto</t>
  </si>
  <si>
    <t xml:space="preserve">Apartamento de 63m² com 02 qaurtos sendo 1 suíte à venda   Nova Aliança</t>
  </si>
  <si>
    <t xml:space="preserve">Apartamento de 69m² 02 quarto sendo 01 suíte para locação e venda   Nova Aliança</t>
  </si>
  <si>
    <t xml:space="preserve">Apartamento de 45 m² e 1 suíte  Santa Cruz do José Jacques</t>
  </si>
  <si>
    <t xml:space="preserve">Apartamento de 54m² com 02 quartos para venda   Vila Amélia</t>
  </si>
  <si>
    <t xml:space="preserve">Apartamento com 3 quartos para venda e locação   Centro</t>
  </si>
  <si>
    <t xml:space="preserve">APARTAMENTO PRÓXIMO À AVENIDA 9 DE JULHO</t>
  </si>
  <si>
    <t xml:space="preserve">Apartamento de 121mts ; 03 dorm sendo 01 suite   Campos Eliseos</t>
  </si>
  <si>
    <t xml:space="preserve">APARTAMENTO PRÓXIMO À AVENIDA JOÃO FIÚSA</t>
  </si>
  <si>
    <t xml:space="preserve">Duplex de 45m² com 01 suíte   Jardim Nova Aliança</t>
  </si>
  <si>
    <t xml:space="preserve">Apartamento de 105m² com 03 quartos á venda   Jardim Irajá</t>
  </si>
  <si>
    <t xml:space="preserve">Apartamento de 90m² com 03 quartos sendo 01 suíte para venda   Centro</t>
  </si>
  <si>
    <t xml:space="preserve">Apartamento de 112,40m² com 2 quartos á venda térreo   Jardim Irajá</t>
  </si>
  <si>
    <t xml:space="preserve">Apartamento de 02 quartos com 54m² para locação   Monte Alegre</t>
  </si>
  <si>
    <t xml:space="preserve">Apartamento de 32m² 01 quarto para locação   Jardim Irajá</t>
  </si>
  <si>
    <t xml:space="preserve">****APARTAMENTO ALTO PADRÃO EM AVENIDA GRANDE FLUXO****</t>
  </si>
  <si>
    <t xml:space="preserve">APARTAMENTO NA PRESIDENTE MEDICI</t>
  </si>
  <si>
    <t xml:space="preserve">Apartamento de 68m² com 02 quartos à venda   Vila Seixas</t>
  </si>
  <si>
    <t xml:space="preserve">APARTAMENTO JARDIM NOVA ALIANÇA</t>
  </si>
  <si>
    <t xml:space="preserve">Apartamento para venda com 02 quartos   Jardim Novo Mundo</t>
  </si>
  <si>
    <t xml:space="preserve">Apartamento de 100m² com 03 quartos   Centro</t>
  </si>
  <si>
    <t xml:space="preserve">Apartamento de 97m² com 03 quartos sendo 01 suíte   Jardim Irajá</t>
  </si>
  <si>
    <t xml:space="preserve">Apartamento para locação, no Jd Botânico, 3 quartos</t>
  </si>
  <si>
    <t xml:space="preserve">Apartamento 96m² 02 quartos para venda   Centro.</t>
  </si>
  <si>
    <t xml:space="preserve">Apartamento de 45m² com 01 quarto para locação   Jardim Flórida</t>
  </si>
  <si>
    <t xml:space="preserve">PRÓXIMO À AVENIDA CLÓVIS BEVILACQUA</t>
  </si>
  <si>
    <t xml:space="preserve">Apartamento de 105m² com 03 quartos à venda   Campos Elíseos</t>
  </si>
  <si>
    <t xml:space="preserve">Apartamento de 60m²   Nova Aliança</t>
  </si>
  <si>
    <t xml:space="preserve">Apartamento de 51m² com 01 quarto   Centro</t>
  </si>
  <si>
    <t xml:space="preserve">R$ 372.000,00</t>
  </si>
  <si>
    <t xml:space="preserve">Apartamento de 53m² com 02 quartos para venda   Nova Aliança</t>
  </si>
  <si>
    <t xml:space="preserve">R$ 359.000,00</t>
  </si>
  <si>
    <t xml:space="preserve">Apartamento de 64m² com 02 quartos à venda   Sumarezinho</t>
  </si>
  <si>
    <t xml:space="preserve">Apartamento de 48m² com 02 quartos à venda   Jardim Olhos D`Água</t>
  </si>
  <si>
    <t xml:space="preserve">Apartamento de 97m² com 03 quartos à venda   Vila Tibério</t>
  </si>
  <si>
    <t xml:space="preserve">Apartamento de 44m² com 01 suíte para locação</t>
  </si>
  <si>
    <t xml:space="preserve">Apartamento de 46m² com 01 quarto para venda   Nova Aliança</t>
  </si>
  <si>
    <t xml:space="preserve">Apartamento de 68m² com 02 quartos sendo 01 suíte para locação e venda   Santa Cruz do José Jacques</t>
  </si>
  <si>
    <t xml:space="preserve">Excelente Apartamento no Residencial Palmares</t>
  </si>
  <si>
    <t xml:space="preserve">Apartamento de 136m² com 03 quartos sendo 01 suíte à venda   Jardim Macedo</t>
  </si>
  <si>
    <t xml:space="preserve">Apartamento de 32m² com 01 quarto para locação   Vila Monte Alegre</t>
  </si>
  <si>
    <t xml:space="preserve">Apartamento de 70m² com 02 quartos à venda   Jardim Macedo</t>
  </si>
  <si>
    <t xml:space="preserve">Apartamento de 84m² com 03 quartos à venda   Jardim Sumaré</t>
  </si>
  <si>
    <t xml:space="preserve">Apartamento de 68m² com 02 suítes para locação   Botânico</t>
  </si>
  <si>
    <t xml:space="preserve">Apartamento de 85m² com 02 quartos para venda   Jardim Botânico</t>
  </si>
  <si>
    <t xml:space="preserve">R$ 379.000,00</t>
  </si>
  <si>
    <t xml:space="preserve">Apartamento de 77m² com 02 quartos à venda   Parque dos Lagos</t>
  </si>
  <si>
    <t xml:space="preserve">R$ 379.314,04</t>
  </si>
  <si>
    <t xml:space="preserve">Apartamento de 65 m² com 2 quartos  Centro</t>
  </si>
  <si>
    <t xml:space="preserve">Apartamento de 67m² com 02 quartos para venda e locação   Iguatemi</t>
  </si>
  <si>
    <t xml:space="preserve">Apartamento de 104m² com 03 quartos, 1 suíte à venda   Lagoinha</t>
  </si>
  <si>
    <t xml:space="preserve">Apartamento de 03 quartos à venda   Campos Eliseos</t>
  </si>
  <si>
    <t xml:space="preserve">Apartamento terréo de 85m² com 03 quartos à venda   Presidente Médici</t>
  </si>
  <si>
    <t xml:space="preserve">Apartamento de 62m² com03 quartos à venda   Loteamento Santa Marta</t>
  </si>
  <si>
    <t xml:space="preserve">Apartamento de 03 quartos para venda   Vila Ana Maria</t>
  </si>
  <si>
    <t xml:space="preserve">Apartamento de 63m² com 02 quartos à venda   Jardim Botânico</t>
  </si>
  <si>
    <t xml:space="preserve">Apartamento de 55m² com 02 quartos à venda   Jardim Olhos D`Água</t>
  </si>
  <si>
    <t xml:space="preserve">Apartamento à Venda   Jardim Botânico</t>
  </si>
  <si>
    <t xml:space="preserve">Apartamento no Monte Alegre com 64 m²</t>
  </si>
  <si>
    <t xml:space="preserve">Apartamento de 123m² com 03 quartos à venda   Centro</t>
  </si>
  <si>
    <t xml:space="preserve">Apartamento de 106,65m² Térreo, com 02 quartos à venda   Vila Seixas</t>
  </si>
  <si>
    <t xml:space="preserve">Apartamento de 55m² com 01 quarto à venda   Jardim Olhos D`Água</t>
  </si>
  <si>
    <t xml:space="preserve">Apartamento de 88m² com 03 quartos à venda   Alto da Boa Vista</t>
  </si>
  <si>
    <t xml:space="preserve">Apartamento a venda   02 quartos no bairro Jardim Palma Travassos</t>
  </si>
  <si>
    <t xml:space="preserve">Apartamento mobiliado de 47m com 02 quartos á venda   Reserva São José</t>
  </si>
  <si>
    <t xml:space="preserve">Apartamento de 88m² com 03 quartos à venda   Jardim Botânico</t>
  </si>
  <si>
    <t xml:space="preserve">Apartamento de 54m² com 02 quartos à venda   Sumarezinho</t>
  </si>
  <si>
    <t xml:space="preserve">Apartamento de 67m² com 02 quartos para locação   Jardim Botânico</t>
  </si>
  <si>
    <t xml:space="preserve">Apartamento de 57m² com 02 quartos para locação   Jardim das Oliveiras</t>
  </si>
  <si>
    <t xml:space="preserve">Apartamento de 52m² com 02 quartos para locação   Quintas de São José</t>
  </si>
  <si>
    <t xml:space="preserve">Apartamento de 80m² com 02 quartos sendo 01 suíte para locação e venda   Jardim Irajá</t>
  </si>
  <si>
    <t xml:space="preserve">Apartamento de 99m² com 03 quartos à venda   Vila Tibério</t>
  </si>
  <si>
    <t xml:space="preserve">Apartamento de 80m² com 03 quartos à venda   Independência</t>
  </si>
  <si>
    <t xml:space="preserve">Apartamento de 94m² com 03 quartos à venda   Parque Industrial Lagoinha</t>
  </si>
  <si>
    <t xml:space="preserve">Apartamento de 71m² com 02 quartos à venda   Nova Aliança</t>
  </si>
  <si>
    <t xml:space="preserve">Apartamento de 51m² com 01 quarto à venda   Ribeirânia</t>
  </si>
  <si>
    <t xml:space="preserve">Apartamento de 96m², de 02 quartos   Centro</t>
  </si>
  <si>
    <t xml:space="preserve">EXCELENTE APARTAMENTO PARA VENDA NA AVENIDA CARAMURU</t>
  </si>
  <si>
    <t xml:space="preserve">APARTAMENTO NO JARDIM SÃO LUIZ</t>
  </si>
  <si>
    <t xml:space="preserve">APARTAMENTO PRÓXIMO Á AVENIDA PORTUGAL</t>
  </si>
  <si>
    <t xml:space="preserve">Apartamento de 121m² com 03 quartos à venda   Campos Elísios</t>
  </si>
  <si>
    <t xml:space="preserve">Apartamento de 73m² com 02 quartos à venda   Parque Industrial Lagoinha</t>
  </si>
  <si>
    <t xml:space="preserve">LINDO APARTAMENTO EM BONFIM PAULISTA</t>
  </si>
  <si>
    <t xml:space="preserve">Apartamento 99,10m² com 03 Quartos a venda   Vila Tibério</t>
  </si>
  <si>
    <t xml:space="preserve">APARTAMENTO EM FRENTE À CATEDRAL</t>
  </si>
  <si>
    <t xml:space="preserve">Apartamento Mobiliado de 31m² com 01 quarto para venda e locação  Ribeirania</t>
  </si>
  <si>
    <t xml:space="preserve">EXCELENTE APARTAMENTO TÉRREO PARA LOCAÇÃO BAIRRO CITY RIBEIRÃO</t>
  </si>
  <si>
    <t xml:space="preserve">Apartamento de 60m² com 02 quartos   Jardim Botânico</t>
  </si>
  <si>
    <t xml:space="preserve">Apartamento Mobiliado de 43m² com 01 quarto à venda   Nova Aliança</t>
  </si>
  <si>
    <t xml:space="preserve">Apartamento de 93m² com 03 quartos sendo 01 suíte à venda   Iguatemi</t>
  </si>
  <si>
    <t xml:space="preserve">Apartamento de 141m² com 03 quartos para locação   Centro</t>
  </si>
  <si>
    <t xml:space="preserve">Apartamento de 63m² com 02 quartos à venda   Nova Aliança</t>
  </si>
  <si>
    <t xml:space="preserve">Apartamento de 106m² com 02 quartos para locação e venda   Centro</t>
  </si>
  <si>
    <t xml:space="preserve">EXCELENTE APARTAMENTO TÉRREO PARA LOCAÇÃO E VENDA NO JARDIM BOTÂNICO</t>
  </si>
  <si>
    <t xml:space="preserve">Apartamento de 117m² com 03 quartos à venda   Jardim Palma Travassos</t>
  </si>
  <si>
    <t xml:space="preserve">Apartamento de 107m² com 03 quartos sendo 01 suíte à venda   Centro</t>
  </si>
  <si>
    <t xml:space="preserve">R$ 381.000,00</t>
  </si>
  <si>
    <t xml:space="preserve">APARTAMENTO REFORMADO NO CENTRO</t>
  </si>
  <si>
    <t xml:space="preserve">Apartamento de 67m² com 03 quartos à venda   Jardim Olhos D`Água</t>
  </si>
  <si>
    <t xml:space="preserve">Apartamento de 56m² com 02 quartos à venda   Bosque das Juritis</t>
  </si>
  <si>
    <t xml:space="preserve">Apartamento de 49m² com 01 quarto para locação e venda   Nova Aliança</t>
  </si>
  <si>
    <t xml:space="preserve">Apartamento de 44m² com 01 suíte para locação e venda   Jardim Recreio</t>
  </si>
  <si>
    <t xml:space="preserve">Apartamento de 99 m² com 03 quartos para locação   Jardim Irajá</t>
  </si>
  <si>
    <t xml:space="preserve">Apartamento de 49m² com 1 quarto para locação   Ribeirânia</t>
  </si>
  <si>
    <t xml:space="preserve">Apartamento de 80m² com 02 suítes à venda   Jardim Sumaré</t>
  </si>
  <si>
    <t xml:space="preserve">Apartamento de 54m² com 02 quartos para locação e venda   Jardim Palma Travassos</t>
  </si>
  <si>
    <t xml:space="preserve">R$ 384.000,00</t>
  </si>
  <si>
    <t xml:space="preserve">LINDO APARTAMENTO NO CENTRO DE RIBEIRÃO PRETO.</t>
  </si>
  <si>
    <t xml:space="preserve">Apartamento de 84m² com 03 quartos sendo 01 suíte á venda   Jardim Sumaré</t>
  </si>
  <si>
    <t xml:space="preserve">Apartamento de 51m² com 01 quarto para locação e venda   Ribeirânia</t>
  </si>
  <si>
    <t xml:space="preserve">Apartamento de 3 dormitórios e 1 suíte próximo Av. João Fiusa</t>
  </si>
  <si>
    <t xml:space="preserve">Apartamento de 117m² com 03 quartos à venda   Centro</t>
  </si>
  <si>
    <t xml:space="preserve">Apartamento de 146m² com 03 quartos sendo 01 suíte à venda   Centro</t>
  </si>
  <si>
    <t xml:space="preserve">Apartamento de 58m² com 02 quartos à venda  </t>
  </si>
  <si>
    <t xml:space="preserve">Apartamento de 57m² com 02 quartos para locação e venda   Alto da Boa Vista</t>
  </si>
  <si>
    <t xml:space="preserve">R$ 388.467,00</t>
  </si>
  <si>
    <t xml:space="preserve">Apartamento de 58m² com 01 quarto á venda   Jardim Botânico</t>
  </si>
  <si>
    <t xml:space="preserve">Apartamento de 85m² com 03 quartos à venda   Parque dos Bandeirantes</t>
  </si>
  <si>
    <t xml:space="preserve">Apartamento de 49m² com 01 quarto e varanda gourmet à venda   Nova Aliança</t>
  </si>
  <si>
    <t xml:space="preserve">Apartamento de 75m² com 03 quartos à venda   Jardim Botânico</t>
  </si>
  <si>
    <t xml:space="preserve">Apartamento de 50m² com 02 quartos sendo 01 suíte à venda   Parque Bandeirantes</t>
  </si>
  <si>
    <t xml:space="preserve">Apartamento de 64m² com 02 quartos sendo 01 suíte à venda   Jardim Paulista</t>
  </si>
  <si>
    <t xml:space="preserve">Apartamento de 65m² com 03 quartos sendo 01 suíte para locação   Sumarezinho</t>
  </si>
  <si>
    <t xml:space="preserve">Apartamento de 83m² com 03 quartos à venda   Jardim Irajá</t>
  </si>
  <si>
    <t xml:space="preserve">Apartamento de 83m² com 02 suítes à venda   Residencial Greenville</t>
  </si>
  <si>
    <t xml:space="preserve">Apartamento de 80m² com 03 quartos à venda   Vila Tibério</t>
  </si>
  <si>
    <t xml:space="preserve">Apartamento de 80m² com 02 quartos para venda   Vila Tibério</t>
  </si>
  <si>
    <t xml:space="preserve">Apartamento mobilado de 45m² com 01 suíte para locação   Jardim Botânico</t>
  </si>
  <si>
    <t xml:space="preserve">APARTAMENTO NA VILA TIBERIO</t>
  </si>
  <si>
    <t xml:space="preserve">Apartamento de 80m² com 03 quartos para locação e venda   Vila Tibério</t>
  </si>
  <si>
    <t xml:space="preserve">EXCELENTE OPORTUNIDADE DE APARTAMENTO REFORMADO NO JARDIM MACEDO</t>
  </si>
  <si>
    <t xml:space="preserve">Apartamento de 106m² com 03 quartos à venda   Jardim Irajá</t>
  </si>
  <si>
    <t xml:space="preserve">Apartamento de 69m² com 02 quartos à venda   Jardim Irajá</t>
  </si>
  <si>
    <t xml:space="preserve">****APARTAMENTO NA VILA TIBERIO****</t>
  </si>
  <si>
    <t xml:space="preserve">Apartamento de 117m² com 03 quartos á venda   Jardim Irajá</t>
  </si>
  <si>
    <t xml:space="preserve">Apartamento térreo de 70m² com 02 suítes à venda   Jardim Botânico</t>
  </si>
  <si>
    <t xml:space="preserve">Apartamento de 02 quartos à venda   Santa Cruz do José Jacques</t>
  </si>
  <si>
    <t xml:space="preserve">Apartamento de 74m² com 02 quartos sendo 01 suíte à venda   Santa Cruz dos Jacques</t>
  </si>
  <si>
    <t xml:space="preserve">Apartamento de 74m² com 02 quartos para locação   Santa Cruz do José Jacques</t>
  </si>
  <si>
    <t xml:space="preserve">Apartamento de 69m² com 02 quartos para locação   Jardim Botânico</t>
  </si>
  <si>
    <t xml:space="preserve">Apartamento de 129m² com 03 quartos à venda   Centro</t>
  </si>
  <si>
    <t xml:space="preserve">**APARTAMENTO COM 2 SUÍTES**</t>
  </si>
  <si>
    <t xml:space="preserve">Apartamento de 02 quartos á venda   Jardim Botânico</t>
  </si>
  <si>
    <t xml:space="preserve">Apartamento de 98m² com 02 quartos à venda   Alto da Boa Vista</t>
  </si>
  <si>
    <t xml:space="preserve">Apartamento de 60m² com 01 quarto à venda   Santa Cruz do José Jacques</t>
  </si>
  <si>
    <t xml:space="preserve">Apartamento de 97m² com 03 quartos à venda   Centro</t>
  </si>
  <si>
    <t xml:space="preserve">Apartamento de 02 quartos para locação   Monte Alegre</t>
  </si>
  <si>
    <t xml:space="preserve">R$ 392.000,00</t>
  </si>
  <si>
    <t xml:space="preserve">R$ 392.182,96</t>
  </si>
  <si>
    <t xml:space="preserve">APARTAMENTO PADRÃO AVENIDA CARAMURU</t>
  </si>
  <si>
    <t xml:space="preserve">Apartamento de 95m² com 02 quartos para locação   Centro</t>
  </si>
  <si>
    <t xml:space="preserve">R$ 393.000,00</t>
  </si>
  <si>
    <t xml:space="preserve">Apartamento de 46m² com 01 quartos para venda e locação   Vila Monte Alegre</t>
  </si>
  <si>
    <t xml:space="preserve">Apartamento padrão de 101m² com 03 quartos para venda   Jardim Irajá</t>
  </si>
  <si>
    <t xml:space="preserve">Apartamento de 42m² com 01 quarto à venda   Jardim Sumaré</t>
  </si>
  <si>
    <t xml:space="preserve">Apartamento de 101m² com 03 quartos à venda   Jardim Irajá</t>
  </si>
  <si>
    <t xml:space="preserve">Apartamento/Padrão   Residencial   No bairro Jardim Palma Travassos   Edifício Paranoá</t>
  </si>
  <si>
    <t xml:space="preserve">Apartamento de 68m² com 02 suítes à venda   Jardim Botânico</t>
  </si>
  <si>
    <t xml:space="preserve">Apartamento de 77m² com 02 suítes   Jardim Botânico</t>
  </si>
  <si>
    <t xml:space="preserve">R$ 397.000,00</t>
  </si>
  <si>
    <t xml:space="preserve">Apartamento de 51m² com 02 quartos à venda   Vila Amélia</t>
  </si>
  <si>
    <t xml:space="preserve">R$ 398.693,00</t>
  </si>
  <si>
    <t xml:space="preserve">R$ 399.000,00</t>
  </si>
  <si>
    <t xml:space="preserve">Apartamento de 100m² com 03 quartos á venda   Santa Cruz do José Jacques</t>
  </si>
  <si>
    <t xml:space="preserve">Apartamento de 81m² com 02 quartos à venda   Jardim Paulista</t>
  </si>
  <si>
    <t xml:space="preserve">Apartamento de 124m² com 03 quartos para locação e venda   Centro</t>
  </si>
  <si>
    <t xml:space="preserve">Apartamento de 78m² com 03 quartos sendo 01 suíte para locação e venda   Quinta da Primavera</t>
  </si>
  <si>
    <t xml:space="preserve">Apartamento de 71m² com 03 quartos para locação e venda   Ribeirânia</t>
  </si>
  <si>
    <t xml:space="preserve">Apartamento de 132m² com 03 quartos para locação e venda   Centro</t>
  </si>
  <si>
    <t xml:space="preserve">Apartamento de 131m² com 03 suítes para locação   Jardim Nova Aliança</t>
  </si>
  <si>
    <t xml:space="preserve">R$ 950.000,00</t>
  </si>
  <si>
    <t xml:space="preserve">Apartamento de 86m² com 03 quartos para locação e venda   Quinta da primavera</t>
  </si>
  <si>
    <t xml:space="preserve">R$ 711.000,00</t>
  </si>
  <si>
    <t xml:space="preserve">Apartamento de 183m² com 03 quartos à venda   Jardim Botânico</t>
  </si>
  <si>
    <t xml:space="preserve">Apartamento de 69m² com 01 suíte para locação   Jardim Olhos D`Água</t>
  </si>
  <si>
    <t xml:space="preserve">Apartamento de 85m² com 02 Suítes a venda   Nova Aliança</t>
  </si>
  <si>
    <t xml:space="preserve">Apartamento de 85m² com 02 suítes para locação e venda   Nova Aliança</t>
  </si>
  <si>
    <t xml:space="preserve">R$ 710.000,00</t>
  </si>
  <si>
    <t xml:space="preserve">Apartamento de 107m² com 03 quartos para locação e venda   Jardim Paulista</t>
  </si>
  <si>
    <t xml:space="preserve">R$ 799.000,00</t>
  </si>
  <si>
    <t xml:space="preserve">Apartamento de 60m² com 02 suítes para locação e venda   Vila do Golf.</t>
  </si>
  <si>
    <t xml:space="preserve">Apartamento de 166m² com 02 suítes à venda   Jardim Irajá</t>
  </si>
  <si>
    <t xml:space="preserve">Apartamento mobiliado de 32m² com 01 quarto para locação e venda   Vila Seixas</t>
  </si>
  <si>
    <t xml:space="preserve">Apartamento de 73m² com 02 quartos para locação e venda   Bosque das Juritis</t>
  </si>
  <si>
    <t xml:space="preserve">R$ 610.000,00</t>
  </si>
  <si>
    <t xml:space="preserve">Apartamento de 85m² com 02 quartos para locação e venda   Nova Aliança</t>
  </si>
  <si>
    <t xml:space="preserve">R$ 826.248,00</t>
  </si>
  <si>
    <t xml:space="preserve">R$ 865.000,00</t>
  </si>
  <si>
    <t xml:space="preserve">Apartamento de 137m² com 04 quartos para locação e venda   Jardim Irajá</t>
  </si>
  <si>
    <t xml:space="preserve">R$ 890.000,00</t>
  </si>
  <si>
    <t xml:space="preserve">Apartamento de 200m² com 03 suítes para venda e locação   Vila Seixas</t>
  </si>
  <si>
    <t xml:space="preserve">Apartamento de 85m² com 03 quartos para venda e locação   Nova Aliança</t>
  </si>
  <si>
    <t xml:space="preserve">R$ 750.179,00</t>
  </si>
  <si>
    <t xml:space="preserve">Apartamento de 85m² com 02 suítes para venda e locação   Nova Aliança</t>
  </si>
  <si>
    <t xml:space="preserve">R$ 750.129,00</t>
  </si>
  <si>
    <t xml:space="preserve">Apartamento mobiliado de 64m² com 02 quartos para venda e locação   Jardim Botânico</t>
  </si>
  <si>
    <t xml:space="preserve">R$ 753.000,00</t>
  </si>
  <si>
    <t xml:space="preserve">Apartamento de 59m² com 02 quartos para locação e venda   Jardim Sumaré</t>
  </si>
  <si>
    <t xml:space="preserve">Apartamento com 123m² com 3 quartos para locação e venda   Santa Cruz dos Jacques</t>
  </si>
  <si>
    <t xml:space="preserve">Apartamento de 64m² com 02 quartos a venda   Jardim Paulista</t>
  </si>
  <si>
    <t xml:space="preserve">Apartamento de 99m² com 03 quatos sendo 01 suíte para venda   Vila Tibério</t>
  </si>
  <si>
    <t xml:space="preserve">Apartamento de 117m² com 03 quartos   Jardim Paulistano</t>
  </si>
  <si>
    <t xml:space="preserve">Apartamento de 69m² com 02 quartos á venda   Jardim Paulista</t>
  </si>
  <si>
    <t xml:space="preserve">R$ 361.000,00</t>
  </si>
  <si>
    <t xml:space="preserve">Apartamento para venda com 3 quartos   Jardim Irajá</t>
  </si>
  <si>
    <t xml:space="preserve">Apartamento de 75m² com 02 quartos   Jardim Botânico</t>
  </si>
  <si>
    <t xml:space="preserve">Apartamento de 146m² com 03 quartos para locação   Centro</t>
  </si>
  <si>
    <t xml:space="preserve">Apartamento de 56m² com 2 quartos à venda   Jardim Nova Aliança</t>
  </si>
  <si>
    <t xml:space="preserve">Apartamento de 63m² com 02 quartos e 01 escritório para venda   Guaporés</t>
  </si>
  <si>
    <t xml:space="preserve">Apartamento Reformado de 76m² com 02 quartos à venda   Centro</t>
  </si>
  <si>
    <t xml:space="preserve">Apartamento de 90m² com 03 quartos à venda   Centro</t>
  </si>
  <si>
    <t xml:space="preserve">Apartamento térreo de 95m² com 03 quartos para venda   Jardim Irajá</t>
  </si>
  <si>
    <t xml:space="preserve">Apartamento de 100m² com 03 quartos sendo 01 suíte à venda   Alto da Boa Vista</t>
  </si>
  <si>
    <t xml:space="preserve">Apartamento de 92m² com 03 quartos sendo 01 suíte à venda   Jardim Paulistano</t>
  </si>
  <si>
    <t xml:space="preserve">Apartamento de 199m² com 03 quartos para locação e venda   Centro</t>
  </si>
  <si>
    <t xml:space="preserve">Apartamento de 64m² com 03 quartos à venda   Vila Monte Alegre</t>
  </si>
  <si>
    <t xml:space="preserve">Apartamento   Studio com 1 Banheiro à Venda, 39.00 M² apartir de R$ 400.000,00</t>
  </si>
  <si>
    <t xml:space="preserve">Apartamento de 107m² com 03 quartos para locação e venda   Bairro Centro</t>
  </si>
  <si>
    <t xml:space="preserve">LINDO APARTAMENTO RESIDENCIAL E COMERCIAL PALMARES</t>
  </si>
  <si>
    <t xml:space="preserve">APARTAMENTO JARDIM AMERICA</t>
  </si>
  <si>
    <t xml:space="preserve">Apartamento de 62m² com 02 quartos   Ribeirânia</t>
  </si>
  <si>
    <t xml:space="preserve">EXCELENTE APARTAMENTO NOVO PARA LOCAÇÃO NO BAIRRO RESIDENCIAL MONTERREY</t>
  </si>
  <si>
    <t xml:space="preserve">LINDO APARTAMENTO NO PARQUE DOS BANDEIRANTES</t>
  </si>
  <si>
    <t xml:space="preserve">APARTAMENTO PRÓXIMO AVENIDA NOVE DE JULHO</t>
  </si>
  <si>
    <t xml:space="preserve">APARTAMENTO PQ DOS BANDEIRANTES</t>
  </si>
  <si>
    <t xml:space="preserve">Apartamento / Padrão   Higienópolis   Venda   Residencial | Costa do Sol</t>
  </si>
  <si>
    <t xml:space="preserve">LINDO APARTAMENTO NO JARDIM SÃO LUIZ</t>
  </si>
  <si>
    <t xml:space="preserve">EXCELENTE APARTAMENTO NA MELHOR LOCALIZAÇÃO DO JARDIM PALMA TRAVASSOS</t>
  </si>
  <si>
    <t xml:space="preserve">Ótimo apartamento próximo à Unaerp</t>
  </si>
  <si>
    <t xml:space="preserve">Apartamento com 03 quartos para locação e venda   Centro</t>
  </si>
  <si>
    <t xml:space="preserve">Apartamento de 172m² com 03 quartos para locação   Sumaré</t>
  </si>
  <si>
    <t xml:space="preserve">LINDO APARTAMENTO NO ALTO DA BOA VISTA</t>
  </si>
  <si>
    <t xml:space="preserve">Apartamento de 103m² com 03 quartos   Vila Monte Alegre</t>
  </si>
  <si>
    <t xml:space="preserve">Apartamento de 72m² com 02 quartos para venda   Vila Seixas</t>
  </si>
  <si>
    <t xml:space="preserve">Apartamento mobiliado para locação e venda   Centro</t>
  </si>
  <si>
    <t xml:space="preserve">APARTAMENTO COM LOCALIZAÇÃO PRIVILEGIADA NO CENTRO</t>
  </si>
  <si>
    <t xml:space="preserve">APARTAMENTO JARDIM BOTÂNICO</t>
  </si>
  <si>
    <t xml:space="preserve">Apartamento de 107m² com 03 quartos à venda   Alto da Boa Vista</t>
  </si>
  <si>
    <t xml:space="preserve">Apartamento de 59m² com 02 quartos para locação e venda   Jardim Paulista</t>
  </si>
  <si>
    <t xml:space="preserve">Apartamento de 79m² com 03 quartos à venda   Campos Elíseos</t>
  </si>
  <si>
    <t xml:space="preserve">Apartamento de 75m² com 2 quartos à venda no Parque Industrial Lagoinha.</t>
  </si>
  <si>
    <t xml:space="preserve">Apartamento de 85m² com 02 quartos sendo 01 suíte para locação   Jardim Irajá</t>
  </si>
  <si>
    <t xml:space="preserve">Apartamento de 90m² com 03 quartos à venda   No Irajá</t>
  </si>
  <si>
    <t xml:space="preserve">Apartamento de 96m² com 03 quartos   Jardim Irajá</t>
  </si>
  <si>
    <t xml:space="preserve">Apartamento de 75m² com 03 quartos à venda   Jardim Irajá</t>
  </si>
  <si>
    <t xml:space="preserve">Apartamento de 158m² com 02 quartos   Centro</t>
  </si>
  <si>
    <t xml:space="preserve">Apartamento 63m² com 02 quartos para locação   Jardim Botânico</t>
  </si>
  <si>
    <t xml:space="preserve">Lançamento: Alto da Mata Residencial   Apartamento de 68m² com 03 quartos com suíte à venda   Vivendas da Mata</t>
  </si>
  <si>
    <t xml:space="preserve">R$ 400.500,00</t>
  </si>
  <si>
    <t xml:space="preserve">Apartamento de 50m² com 02 quartos à venda   City Ribeirão</t>
  </si>
  <si>
    <t xml:space="preserve">R$ 400.732,00</t>
  </si>
  <si>
    <t xml:space="preserve">Apartamento de 49m² com 02 quartos à venda   City Ribeirão</t>
  </si>
  <si>
    <t xml:space="preserve">R$ 401.428,00</t>
  </si>
  <si>
    <t xml:space="preserve">Apartamento de 64m² com 02 quartos à venda   Jardim Paulista</t>
  </si>
  <si>
    <t xml:space="preserve">R$ 402.000,00</t>
  </si>
  <si>
    <t xml:space="preserve">Apartamento de 88m² com 03 quartos à venda   Centro</t>
  </si>
  <si>
    <t xml:space="preserve">R$ 403.000,00</t>
  </si>
  <si>
    <t xml:space="preserve">Apartamento de 101m² com 03 quartos à venda   Jardim Paulistano</t>
  </si>
  <si>
    <t xml:space="preserve">Apartamento de 62m² com 02 quartos à venda   Jardim Botânico</t>
  </si>
  <si>
    <t xml:space="preserve">APARTAMENTO DIFERENCIADO NO CENTRO</t>
  </si>
  <si>
    <t xml:space="preserve">Apartamento de 65m² com 02 quartos à venda   Centro</t>
  </si>
  <si>
    <t xml:space="preserve">Apartamento de 97m² com 3 quartos à venda   Jardim Irajá.</t>
  </si>
  <si>
    <t xml:space="preserve">R$ 404.500,00</t>
  </si>
  <si>
    <t xml:space="preserve">Apartamento de 73m² com 03 quartos à venda   Jardim Zaneti</t>
  </si>
  <si>
    <t xml:space="preserve">APARTAMENTO DIFERENCIADO NO CENTRO DE RIBEIRÃO</t>
  </si>
  <si>
    <t xml:space="preserve">Apartamento de 02 quartos para locação   Jardim Botânico</t>
  </si>
  <si>
    <t xml:space="preserve">Apartamento de 64m² com 02 quartos e 02 suítes à venda   Jardim Botanico</t>
  </si>
  <si>
    <t xml:space="preserve">Apartamento de 62m² com 02 quartos sendo 01 suíte à venda   Loteamento Santa Marta</t>
  </si>
  <si>
    <t xml:space="preserve">Apartamento de 67m² com 03 quartos à venda   Alto da Boa Vista</t>
  </si>
  <si>
    <t xml:space="preserve">Apartamento de 53m² com 02 quartos planejados à venda   Alto da Boa Vista</t>
  </si>
  <si>
    <t xml:space="preserve">Apartamento de 58m² com 02 quartos à venda   Quintas de São José</t>
  </si>
  <si>
    <t xml:space="preserve">Apartamento reformado com 03 quartos à venda   Centro</t>
  </si>
  <si>
    <t xml:space="preserve">Apartamento de 02 quartos para locação e venda   Ana Maria</t>
  </si>
  <si>
    <t xml:space="preserve">Apartamento de 45m² com 01 quarto à venda   Nova Ribeirânia</t>
  </si>
  <si>
    <t xml:space="preserve">Apartamento térreo de 93m² com 02 quartos à venda   Sumarezinho</t>
  </si>
  <si>
    <t xml:space="preserve">R$ 411.000,00</t>
  </si>
  <si>
    <t xml:space="preserve">Apartamento de 60m² com 02 quartos para locação e venda   Jardim Paulista</t>
  </si>
  <si>
    <t xml:space="preserve">R$ 394.000,00</t>
  </si>
  <si>
    <t xml:space="preserve">R$ 414.570,63</t>
  </si>
  <si>
    <t xml:space="preserve">Apartamento de 123m² com 03 quartos sendo 01 suíte   Centro</t>
  </si>
  <si>
    <t xml:space="preserve">Apartamento mobiliado de 58m² com 02 quartos à venda   Nova Aliança</t>
  </si>
  <si>
    <t xml:space="preserve">R$ 415.000,00</t>
  </si>
  <si>
    <t xml:space="preserve">Apartamento de 57m² 02 quartos à venda   no bairro Quinta da Primavera</t>
  </si>
  <si>
    <t xml:space="preserve">Apartamento de 65m² com 03 quartos à venda   Jardim Sumarezinho</t>
  </si>
  <si>
    <t xml:space="preserve">Amplo Apartamento no Iguatemi</t>
  </si>
  <si>
    <t xml:space="preserve">APARTAMENTO MOBILIADO PRÓXIMO À FACULDADE BARÃO DE MAUÁ</t>
  </si>
  <si>
    <t xml:space="preserve">Apartamento de 66m² com 02 suítes para locação e venda   Jardim Botânico</t>
  </si>
  <si>
    <t xml:space="preserve">R$ 419.000,00</t>
  </si>
  <si>
    <t xml:space="preserve">Apartamento de 67m² com 03 quartos para venda   Alto da Boa Vista</t>
  </si>
  <si>
    <t xml:space="preserve">R$ 419.999,00</t>
  </si>
  <si>
    <t xml:space="preserve">APARTAMENTO NO BAIRRO JARDIM BOTÂNICO</t>
  </si>
  <si>
    <t xml:space="preserve">Apartamento de 70m² com 02 quartos para venda   Jardim São Luiz</t>
  </si>
  <si>
    <t xml:space="preserve">Apartamento à venda de 109m²   Jardim Irajá   3 quartos sendo 1 suíte</t>
  </si>
  <si>
    <t xml:space="preserve">Apartamento de 116m² com 03 quartos à venda   Centro</t>
  </si>
  <si>
    <t xml:space="preserve">Apartamento de 142m² com 03 quartos à venda   Centro</t>
  </si>
  <si>
    <t xml:space="preserve">Apartamento e 71m² com 02 quartos à venda   Jardim Botânico</t>
  </si>
  <si>
    <t xml:space="preserve">Apartamento de 94m² com 03 quartos à venda   Parque Bandeirantes</t>
  </si>
  <si>
    <t xml:space="preserve">Apartamento de 58m² com 01 suíte à venda   Jardim Botânico</t>
  </si>
  <si>
    <t xml:space="preserve">Apartamento de 52m² com 02 quartos   Jardim Botânico</t>
  </si>
  <si>
    <t xml:space="preserve">Apartamento de 80m² com 02 quartos à venda   Sumarezinho</t>
  </si>
  <si>
    <t xml:space="preserve">Apartamento de 82m² com 02 quartos com 01 suíte   Sumarezinho</t>
  </si>
  <si>
    <t xml:space="preserve">Apartamento de 65m² com 02 quartos sendo 01 suíte para locação   Nova Aliança</t>
  </si>
  <si>
    <t xml:space="preserve">Apartamento de 103m² com 03 quartos sendo 01 suíte à venda   Centro</t>
  </si>
  <si>
    <t xml:space="preserve">Apartamento de 55m² com 02 quartos à venda   Residencial Monterrey</t>
  </si>
  <si>
    <t xml:space="preserve">Apartamento de 132m² com 03 quartos à venda   Monte Alegre</t>
  </si>
  <si>
    <t xml:space="preserve">Apartamento de 84m² com 03 quartos à venda   Alto da Boa Vista</t>
  </si>
  <si>
    <t xml:space="preserve">Apartamento de 90m² com 03 quartos à venda   Jardim Irajá</t>
  </si>
  <si>
    <t xml:space="preserve">Apartamento com 86m² com 03 quartos à venda  Parque Industrial Lagoinha</t>
  </si>
  <si>
    <t xml:space="preserve">Apartamento de 69m² com 02 quartos à venda   Nova Aliança</t>
  </si>
  <si>
    <t xml:space="preserve">APARTAMENTO NO BAIRRO VILA SEIXAS</t>
  </si>
  <si>
    <t xml:space="preserve">****APARTAMENTO NO JARDIM PALMA TRAVASSOS****</t>
  </si>
  <si>
    <t xml:space="preserve">Apartamento no Jardim Nova Aliança</t>
  </si>
  <si>
    <t xml:space="preserve">LINDO APARTAMENTO NO BAIRRO NOVA ALIANÇA!</t>
  </si>
  <si>
    <t xml:space="preserve">Apartamento de 93m² com 02 suítes para locação   Bairro Jardim Anhanguera</t>
  </si>
  <si>
    <t xml:space="preserve">Apartamento de 102m² com 03 quartos para venda   Centro</t>
  </si>
  <si>
    <t xml:space="preserve">Apartamento com 93m² com 03 quartos à venda   Parque dos Bandeirantes</t>
  </si>
  <si>
    <t xml:space="preserve">Apartamento de 103m² com 03 quartos sendo 01 suíte para locação e venda   Vila Seixas</t>
  </si>
  <si>
    <t xml:space="preserve">Apartamento de 119m² com 03 quartos à venda   Centro</t>
  </si>
  <si>
    <t xml:space="preserve">EXCELENTE APARTAMENTO NO SANTA CRUZ DO JOSÉ JACQUES</t>
  </si>
  <si>
    <t xml:space="preserve">Apartamento de 59m² com 01 quarto à venda   Centro</t>
  </si>
  <si>
    <t xml:space="preserve">Apartamento de 60m² com 01 suíte para locação   City Ribeirão</t>
  </si>
  <si>
    <t xml:space="preserve">Apartamento de 53m² com 02 quartos à venda   Alto da Boa Vista</t>
  </si>
  <si>
    <t xml:space="preserve">Apartamento de 73m² com 03 quartos para locação e venda   Bonfim Paulista</t>
  </si>
  <si>
    <t xml:space="preserve">APARTAMENTO À VENDA NO BAIRRO JARDIM NOVA ALIANÇA</t>
  </si>
  <si>
    <t xml:space="preserve">R$ 421.498,00</t>
  </si>
  <si>
    <t xml:space="preserve">R$ 422.000,00</t>
  </si>
  <si>
    <t xml:space="preserve">R$ 422.227,00</t>
  </si>
  <si>
    <t xml:space="preserve">Apartamento de 95m² com 03 quartos à venda   Jardim Paulista</t>
  </si>
  <si>
    <t xml:space="preserve">Apartamento de 139m² com 03 quartos para venda   Centro</t>
  </si>
  <si>
    <t xml:space="preserve">Apartamento de 64 m² com 02 quartos à venda   Vila Seixas</t>
  </si>
  <si>
    <t xml:space="preserve">APARTAMENTO PRÓXIMO À RODOVIA ANTÔNIO DUARTE NOGUEIRA</t>
  </si>
  <si>
    <t xml:space="preserve">Apartamento de 131m² com 03 quartos   Centro</t>
  </si>
  <si>
    <t xml:space="preserve">apartamento de 75m² com 03 quartos sendo 01 suíte para venda   Jardim São José</t>
  </si>
  <si>
    <t xml:space="preserve">Apartamento de 65m² com 02 quartos à venda   Nova Aliança</t>
  </si>
  <si>
    <t xml:space="preserve">Apartamento de 75m² com 01 suíte à venda   Vila Tibério</t>
  </si>
  <si>
    <t xml:space="preserve">Apartamento de 69m² com 02 quartos sendo 01 suíte para locação   Nova Aliança</t>
  </si>
  <si>
    <t xml:space="preserve">Apartamento de 70m² com 02 quartos para locação e venda   Vila Ana Maria</t>
  </si>
  <si>
    <t xml:space="preserve">Apartamento de 97m² com 03 quartos à venda   Jardim Palma Travassos</t>
  </si>
  <si>
    <t xml:space="preserve">Apartamento de 213m² com 03 quartos   Jardim América</t>
  </si>
  <si>
    <t xml:space="preserve">Apartamento de 43m² com 01 quarto para locação   Quinta da Primavera</t>
  </si>
  <si>
    <t xml:space="preserve">Apartamento de 107m² com 02 quartos à venda   Centro</t>
  </si>
  <si>
    <t xml:space="preserve">Apartamento de 75m² com 01 suíte para locação   Jardim Califórnia</t>
  </si>
  <si>
    <t xml:space="preserve">Apartamento de 90m² com 03 quartos para venda   Presidente Médici</t>
  </si>
  <si>
    <t xml:space="preserve">Apartamento de 49m² mobiliado com 02 quartos para venda   Sumarezinho</t>
  </si>
  <si>
    <t xml:space="preserve">LINDO APARTAMENTO NO JARDIM IRAJÁ</t>
  </si>
  <si>
    <t xml:space="preserve">Apartamento de 66m² com 03 quartos à venda   Campos Elíseos</t>
  </si>
  <si>
    <t xml:space="preserve">R$ 425.615,00</t>
  </si>
  <si>
    <t xml:space="preserve">Lançamento: Cerqueira 2164   Apartamento de 55m² com 02 quartos com suíte à venda   Jardim Sumaré</t>
  </si>
  <si>
    <t xml:space="preserve">R$ 426.000,00</t>
  </si>
  <si>
    <t xml:space="preserve">Lançamento: Alma Panamby   Apartamento de 56m² com 02 quartos com suíte à venda   Panamby II</t>
  </si>
  <si>
    <t xml:space="preserve">R$ 427.000,00</t>
  </si>
  <si>
    <t xml:space="preserve">Lançamento: Vista do Parque   Apartamento térreo de 48m² com 02 quartos e quintal à venda   Vila Virgínia</t>
  </si>
  <si>
    <t xml:space="preserve">R$ 429.193,87</t>
  </si>
  <si>
    <t xml:space="preserve">APARTAMENTO NA AV. CARAMURU</t>
  </si>
  <si>
    <t xml:space="preserve">Apartamento de 116m² com 03 quartos sendo 01 suíte reformado à venda no Jd. Macedo</t>
  </si>
  <si>
    <t xml:space="preserve">Apartamento de 84m² com 3 quartos para venda   República</t>
  </si>
  <si>
    <t xml:space="preserve">APARTAMENTO NOVO NA VILA TIBÉRIO</t>
  </si>
  <si>
    <t xml:space="preserve">Apartamento térreo de 67m² com 02 quartos para locação e venda   Jardim Botânico</t>
  </si>
  <si>
    <t xml:space="preserve">Apartamento de 109m² com 03 quartos 03 banheiros para venda   Jardim Palma Travassos</t>
  </si>
  <si>
    <t xml:space="preserve">Apartamento de 61m² com 02 quartos à venda   Bosque das Caviúnas</t>
  </si>
  <si>
    <t xml:space="preserve">Apartamento de 50m² com 02 quartos à venda   Jardim Olhos D`Agua</t>
  </si>
  <si>
    <t xml:space="preserve">Apartamento mobilado de 49m² com 01 suíte para locação e venda   Nova Aliança</t>
  </si>
  <si>
    <t xml:space="preserve">Apartamento de 92m² com 03 quartos para locação   Jardim Irajá</t>
  </si>
  <si>
    <t xml:space="preserve">Apartamento de 44m² com 01 quarto à venda   Jardim Recreio</t>
  </si>
  <si>
    <t xml:space="preserve">Apartamento de 46m² com 01 quarto para locação   Nova Aliança</t>
  </si>
  <si>
    <t xml:space="preserve">Apartamento de 37m² com 01 quarto para locação   Monte Alegre</t>
  </si>
  <si>
    <t xml:space="preserve">Apartamento de 57 m² com 02 quartos à venda   Jardim Paulista</t>
  </si>
  <si>
    <t xml:space="preserve">Apartamento de 96m² com 03 quartos para locação e venda   Centro</t>
  </si>
  <si>
    <t xml:space="preserve">Apartamento de 105m² com 03 quartos à venda   Jardim Paulistano</t>
  </si>
  <si>
    <t xml:space="preserve">Apartamento de 56² terreo, com 2 quartos á venda   Parque São Sebastião</t>
  </si>
  <si>
    <t xml:space="preserve">Apartamento de 111m² com 02 quartos para locação e venda   Centro</t>
  </si>
  <si>
    <t xml:space="preserve">Apartamento de 92m² com 03 quartos à venda   Jardim Irajá</t>
  </si>
  <si>
    <t xml:space="preserve">Apartamento de 127m² com 03 quartos à venda   Jardim Paulista</t>
  </si>
  <si>
    <t xml:space="preserve">APARTAMENTO ÓTIMA LOCALIZAÇÃO NO JARDIM CALIFÓRNIA</t>
  </si>
  <si>
    <t xml:space="preserve">Apartamento de 44m² com 01 quarto para locação   Nova Aliança</t>
  </si>
  <si>
    <t xml:space="preserve">APARTAMENTO PADRÃO ZONA SUL</t>
  </si>
  <si>
    <t xml:space="preserve">Lançamento: Sensia Fiúsa View   Apartamento de 58m² com suíte e varanda gourmet à venda   Quinta da Primavera</t>
  </si>
  <si>
    <t xml:space="preserve">R$ 434.990,00</t>
  </si>
  <si>
    <t xml:space="preserve">Apartamento de 210m² com 03 quartos à venda   Vila Seixas</t>
  </si>
  <si>
    <t xml:space="preserve">APARTAMENTO REFORMADO A VENDA NO JARDIM IRAJÁ</t>
  </si>
  <si>
    <t xml:space="preserve">Apartamento de 67m² com 02 Quartos a Venda   Ribeirania</t>
  </si>
  <si>
    <t xml:space="preserve">R$ 435.000,00</t>
  </si>
  <si>
    <t xml:space="preserve">Apartamento de 90m² com 02 quartos a venda   Centro</t>
  </si>
  <si>
    <t xml:space="preserve">Apartamento 68m² com 02 quartos à venda   Nova Aliança</t>
  </si>
  <si>
    <t xml:space="preserve">Apartamento de 100m² com 03 quartos à venda   Santa Cruz do José Jacques</t>
  </si>
  <si>
    <t xml:space="preserve">Apartamento de 81m² com 02 quartos para venda   Jardim Paulista</t>
  </si>
  <si>
    <t xml:space="preserve">Apartamento de 67m² com 01 quarto à venda   Ribeirânia</t>
  </si>
  <si>
    <t xml:space="preserve">R$ 435.053,80</t>
  </si>
  <si>
    <t xml:space="preserve">Lançamento Portugal 2207   Apartamento de 59m² com 02 quartos à venda   Santa Cruz do José Jacques</t>
  </si>
  <si>
    <t xml:space="preserve">R$ 437.197,00</t>
  </si>
  <si>
    <t xml:space="preserve">Lançamento: Cerqueira 2164   Apartamento de 58m² com 02 quartos com suíte à venda   Jardim Sumaré</t>
  </si>
  <si>
    <t xml:space="preserve">R$ 439.000,00</t>
  </si>
  <si>
    <t xml:space="preserve">Apartamento de 114m² com 03 quartos à venda   Centro</t>
  </si>
  <si>
    <t xml:space="preserve">Apartamento de 103m² com 03 quartos sendo 01 suíte à venda   Vila Seixas</t>
  </si>
  <si>
    <t xml:space="preserve">Apartamento de 87m² com 03 quartos à venda   Jardim Irajá</t>
  </si>
  <si>
    <t xml:space="preserve">R$ 440.000,00</t>
  </si>
  <si>
    <t xml:space="preserve">Apartamento de 47m² com 01 quarto e varanda gourmet à venda   Vila Monte Alegre</t>
  </si>
  <si>
    <t xml:space="preserve">Apartamento de 127m² com 03 quartos à venda   Campos Elisios</t>
  </si>
  <si>
    <t xml:space="preserve">APARTAMENTO NO TRIADE FIUSA HOME RESORT</t>
  </si>
  <si>
    <t xml:space="preserve">Apartamento de 100 m² com 03 quartos para venda   Jardim Irajá</t>
  </si>
  <si>
    <t xml:space="preserve">Apartamento de 66m² com 02 quartos sendo 01 suíte   Nova Ribeirânia</t>
  </si>
  <si>
    <t xml:space="preserve">Apartamento de 83m² com 03 quartos sendo 01 suíte à venda   Centro</t>
  </si>
  <si>
    <t xml:space="preserve">Apartamento de 122m² com 03 quartos para venda   Centro</t>
  </si>
  <si>
    <t xml:space="preserve">Apartamento semi mobiliado de 61m² com 02 quartos para locação e venda   Nova Aliança</t>
  </si>
  <si>
    <t xml:space="preserve">Apartamento de 67m² com 02 quartos à venda   Ribeirânia</t>
  </si>
  <si>
    <t xml:space="preserve">Apartamento porteira fechada de 78m² com 02 quartos sendo 01 suíte à venda   Parque dos Lagos</t>
  </si>
  <si>
    <t xml:space="preserve">R$ 445.000,00</t>
  </si>
  <si>
    <t xml:space="preserve">Apartamento de 85m² com 03 quartos para locação   Jardim Paulista</t>
  </si>
  <si>
    <t xml:space="preserve">Apartamento com 3 quartos   132,68m²</t>
  </si>
  <si>
    <t xml:space="preserve">Apartamento de 85m² com 3 quartos à venda   Jardim Macedo</t>
  </si>
  <si>
    <t xml:space="preserve">R$ 445.200,00</t>
  </si>
  <si>
    <t xml:space="preserve">Apartamento de 39m² com 01 quarto à venda   Jardim Sumaré</t>
  </si>
  <si>
    <t xml:space="preserve">R$ 446.000,00</t>
  </si>
  <si>
    <t xml:space="preserve">Apartamento de 75m² com 02 suítes à venda  Jardim Paulista</t>
  </si>
  <si>
    <t xml:space="preserve">Apartamento de 02 quartos para locação   Reserva Sul Condomínio</t>
  </si>
  <si>
    <t xml:space="preserve">R$ 447.000,00</t>
  </si>
  <si>
    <t xml:space="preserve">Apartamento de 56m² com 02 quartos à venda   Lagoinha</t>
  </si>
  <si>
    <t xml:space="preserve">R$ 449.000,00</t>
  </si>
  <si>
    <t xml:space="preserve">Apartamento de 127m² com 03 quartos à venda   Centro</t>
  </si>
  <si>
    <t xml:space="preserve">Apartamento de 68m² com 02 quartos à venda   Jardim Castelo Branco</t>
  </si>
  <si>
    <t xml:space="preserve">Apartamento de 164m² de 03 quartos sendo 01 suíte para venda   Centro</t>
  </si>
  <si>
    <t xml:space="preserve">Apartamento térreo de 64m² com 02 quartos á venda   Jardim Botânico</t>
  </si>
  <si>
    <t xml:space="preserve">LINDO APARTAMENTO PRÓXIMO AO SHOPPING SANTA ÚRSULA</t>
  </si>
  <si>
    <t xml:space="preserve">Apartamento de 120m² com 03 quartos ara locação e venda   Centro</t>
  </si>
  <si>
    <t xml:space="preserve">EXCELENTE APARTAMENTO PARA VENDA NO PARQUE BANDEIRANTES</t>
  </si>
  <si>
    <t xml:space="preserve">Apartameto de 87m² com 03 quartos   Jardim Irajá</t>
  </si>
  <si>
    <t xml:space="preserve">Apartamento de 171 m² com 03 quartos a venda   Centro</t>
  </si>
  <si>
    <t xml:space="preserve">Apartamento de 63m² com 02 quartos à venda   Centro</t>
  </si>
  <si>
    <t xml:space="preserve">R$ 429.000,00</t>
  </si>
  <si>
    <t xml:space="preserve">Apartamento de 285m² com 03 quartos sendo 01 suíte para Venda   Centro</t>
  </si>
  <si>
    <t xml:space="preserve">Apartamento de 119m² com 03 quartos à venda   Jardim Sumaré</t>
  </si>
  <si>
    <t xml:space="preserve">Apartamento de 95m² com 03 quartos à venda   Jardim Irajá</t>
  </si>
  <si>
    <t xml:space="preserve">Apartamento à venda no Jardim Sumaré   3 quartos 1 suíte   119m²</t>
  </si>
  <si>
    <t xml:space="preserve">Apartamento/Padrão   Residencial   No bairro Jardim Olhos D`Água   Tríade Fiúsa Home Resort</t>
  </si>
  <si>
    <t xml:space="preserve">Apartamento de 97m² com 03 quartos à venda   Vila Seixas</t>
  </si>
  <si>
    <t xml:space="preserve">Apartamento de 135m² com 03 quartos à venda   Jardim Sumaré</t>
  </si>
  <si>
    <t xml:space="preserve">Apartamento de 66m² com 02 quartos sendo 01 suíte para locação   Ribeirânia</t>
  </si>
  <si>
    <t xml:space="preserve">Apartamento de 72m² com 03 quartos para locação e venda   Jardim Paulistano</t>
  </si>
  <si>
    <t xml:space="preserve">Apartamento mobiliado de 64m² com 02 quartos para locação e venda   Vila Seixas</t>
  </si>
  <si>
    <t xml:space="preserve">Apartamento de 142m² com 04 quartos à venda   Centro</t>
  </si>
  <si>
    <t xml:space="preserve">Apartamento de 48m² com 02 suítes para venda   Vila Florença</t>
  </si>
  <si>
    <t xml:space="preserve">Apartamento de 92m² com 03 quartos   Jardim Paulistano</t>
  </si>
  <si>
    <t xml:space="preserve">Apartamento no centro reformado   97m².!!</t>
  </si>
  <si>
    <t xml:space="preserve">Apartamento de 90m² com 03 quartos à venda   Residencial e Comercial Palmares</t>
  </si>
  <si>
    <t xml:space="preserve">Apartamento de 104m² com 03 quartos à venda   Lagoinha</t>
  </si>
  <si>
    <t xml:space="preserve">APARTAMENTO PRÓXIMO AO SUPERMERCADO CANESIN</t>
  </si>
  <si>
    <t xml:space="preserve">Apartamento de 69m² com 02 quartos à venda   Jardim Botânico</t>
  </si>
  <si>
    <t xml:space="preserve">EXCELENTE APARTAMENTO ALBERTO COSELLI</t>
  </si>
  <si>
    <t xml:space="preserve">Apartamento de 67m² com 02 quartos   Jardim Irajá</t>
  </si>
  <si>
    <t xml:space="preserve">Apartamento de 90m² com 03 quartos para locação   Comercial Palmares</t>
  </si>
  <si>
    <t xml:space="preserve">Apartamento de 71m² com 02 quartos para locação   Nova Aliança</t>
  </si>
  <si>
    <t xml:space="preserve">Apartamento térreo de 86m² com 03 quartos para locação   Residencial e Comercial Palmares</t>
  </si>
  <si>
    <t xml:space="preserve">Apartamento a venda de 135m² com 03 quartos   Jardim Paulistano</t>
  </si>
  <si>
    <t xml:space="preserve">Apartamento de 82m² com 02 quartos à venda   Jardim Paulista</t>
  </si>
  <si>
    <t xml:space="preserve">Apartamento de 100m² com 03 quartos à venda   Jardim Irajá</t>
  </si>
  <si>
    <t xml:space="preserve">APARTAMENTO TÉRREO NO JARDIM BOTÂNICO</t>
  </si>
  <si>
    <t xml:space="preserve">Casa de condomínio fechado de 142m² com 03 quartos à venda   Jardim Itaporã</t>
  </si>
  <si>
    <t xml:space="preserve">Apartament de 120m² com 03 quartos para venda e locação   Centro</t>
  </si>
  <si>
    <t xml:space="preserve">Apartamento de 132m² com 03 quartos   Centro</t>
  </si>
  <si>
    <t xml:space="preserve">Apartamento de 70m² com 02 quartos para locação   Jardim Novo Mundo</t>
  </si>
  <si>
    <t xml:space="preserve">Apartamento de 02 quartos para venda   Bosque das Juritis</t>
  </si>
  <si>
    <t xml:space="preserve">Apartamento de 81m² com 03 quartos á venda   Sumarezinho</t>
  </si>
  <si>
    <t xml:space="preserve">Apartamento de 85m² com 03 quartos á venda   Santa Cruz do José Jacques</t>
  </si>
  <si>
    <t xml:space="preserve">Apartamento de 98m² com 03 quartos para locação e venda   Santa Cruz do José Jacques</t>
  </si>
  <si>
    <t xml:space="preserve">LINDO APARTAEMNTO NO IRAJA</t>
  </si>
  <si>
    <t xml:space="preserve">Apartamento de 122m² com 03 quartos para locação e venda   Centro</t>
  </si>
  <si>
    <t xml:space="preserve">Apartamento de 75m² com 02 quartos à venda   Jardim Botânico.</t>
  </si>
  <si>
    <t xml:space="preserve">Apartamento de 70m² com 02 quartos à venda   Jardim Novo Mundo</t>
  </si>
  <si>
    <t xml:space="preserve">R$ 452.000,00</t>
  </si>
  <si>
    <t xml:space="preserve">Apartamento de 92 m² com 02 quartos   Jardim Paulistano.</t>
  </si>
  <si>
    <t xml:space="preserve">Apartamento de 70m² com 02 quartos à venda   Vila Ana Maria</t>
  </si>
  <si>
    <t xml:space="preserve">Apartamento de 76 m² com 02 quartos sendo 01 suíte à venda   Vila Ana Maria</t>
  </si>
  <si>
    <t xml:space="preserve">Apartamento de 68m² com 03 quartos à venda   Lagoinha</t>
  </si>
  <si>
    <t xml:space="preserve">LINDO APARTAMENTO IBIZA RESIDENCE</t>
  </si>
  <si>
    <t xml:space="preserve">Apartamento de 109m² com 03 quartos à venda   Bosque das Juritis</t>
  </si>
  <si>
    <t xml:space="preserve">Apartamento de 69m² com 02 suítes à venda   Vila Monte Alegre</t>
  </si>
  <si>
    <t xml:space="preserve">APARTAMENTO 3 DORMITÓRIOS VILA SEIXAS</t>
  </si>
  <si>
    <t xml:space="preserve">OPORTUNIDADE APARTAMENTO NA LAFAEITE VILA SEIXAS</t>
  </si>
  <si>
    <t xml:space="preserve">Apartamento de 55m² com 02 quartos sendo 1 suíte, para Venda   Residencial Monterrey</t>
  </si>
  <si>
    <t xml:space="preserve">Apartamento de 75m² com 03 quartos sendo 01 suíte à venda   Jardim Botanico</t>
  </si>
  <si>
    <t xml:space="preserve">Apartamento de 87m² com 03 quartos à venda   Lagoinha</t>
  </si>
  <si>
    <t xml:space="preserve">Apartamento de 59m² com 02 quartos sendo 01 suíte para locação e venda   Quintas de São José</t>
  </si>
  <si>
    <t xml:space="preserve">Apartamento de 134m² reformado com 03 quartos à venda   Centro</t>
  </si>
  <si>
    <t xml:space="preserve">Apartamento de 88m² com 02 suítes para venda   Parque dos Bandeirantes</t>
  </si>
  <si>
    <t xml:space="preserve">Apartamento de 105m² com 03 quartos à venda   Jardim Botânico</t>
  </si>
  <si>
    <t xml:space="preserve">Apartamento térreo de 92m² com 02 Suítes a venda   Jardim botânico</t>
  </si>
  <si>
    <t xml:space="preserve">Apartamento de 76m² com 03 quartos sendo 01 suíte para a locação e venda   Jardim Botânico</t>
  </si>
  <si>
    <t xml:space="preserve">APARTAMENTO NOVO NO VILA SEIXAS</t>
  </si>
  <si>
    <t xml:space="preserve">Apartamento de 03 quartos para locação   Alto da Boa Vista</t>
  </si>
  <si>
    <t xml:space="preserve">APARTAMENTO NO SANTA CRUZ DO JOSÉ JACQUES</t>
  </si>
  <si>
    <t xml:space="preserve">Apartamento de 93m² com 03 quartos para venda   Santa Cruz do José Jacques</t>
  </si>
  <si>
    <t xml:space="preserve">Apartamento de 70m² com 02 quartos à venda   Nova Aliança</t>
  </si>
  <si>
    <t xml:space="preserve">Apartamento de 02 quartos para venda   Jardim Botânico</t>
  </si>
  <si>
    <t xml:space="preserve">R$ 461.809,73</t>
  </si>
  <si>
    <t xml:space="preserve">Apartamento de 76m² com 02 quartos para venda   Vila Ana Maria</t>
  </si>
  <si>
    <t xml:space="preserve">R$ 463.500,00</t>
  </si>
  <si>
    <t xml:space="preserve">APARTAMENTO NOVO NO BAIRRO RIBEIRÂNIA</t>
  </si>
  <si>
    <t xml:space="preserve">R$ 464.467,92</t>
  </si>
  <si>
    <t xml:space="preserve">Apartamento de 85m² com 03 quartos para locação e venda   Jardim Irajá</t>
  </si>
  <si>
    <t xml:space="preserve">R$ 465.000,00</t>
  </si>
  <si>
    <t xml:space="preserve">Apartamento de 93m² com 02 suites a venda   Jardim Anhanguera</t>
  </si>
  <si>
    <t xml:space="preserve">Apartamento de 74m² com 02 quartos à venda   Parque dos Lagos</t>
  </si>
  <si>
    <t xml:space="preserve">Apartamento de 109m² com 03 quartos para venda   Centro</t>
  </si>
  <si>
    <t xml:space="preserve">Apartamento de 58m² com 01 quarto para locação e venda   Jardim Botânico</t>
  </si>
  <si>
    <t xml:space="preserve">Apartamento de 80m² 02 quartos à venda   Campos Elíseos</t>
  </si>
  <si>
    <t xml:space="preserve">Apartamento de 180m² com 03 quartos sendo 01 suíte à venda   Centro</t>
  </si>
  <si>
    <t xml:space="preserve">Apartamento com 158m² de 03 quartos à venda   Centro</t>
  </si>
  <si>
    <t xml:space="preserve">Apartamento de 80 m² com 03 quartos à venda   Vila Mariana</t>
  </si>
  <si>
    <t xml:space="preserve">Apartamento de 80m² com 02 quartos para venda   Centro</t>
  </si>
  <si>
    <t xml:space="preserve">ÓTIMO APARTAMENTO NO BAIRRO NOVA ALIANÇA!</t>
  </si>
  <si>
    <t xml:space="preserve">Apartamento com 93m² com 3 quartos à venda   Presidente Médici</t>
  </si>
  <si>
    <t xml:space="preserve">Apartamento de 73m² com 02 quartos à venda   Ribeirânia</t>
  </si>
  <si>
    <t xml:space="preserve">Apartamento de 164m² com 03 quartos à venda   Centro</t>
  </si>
  <si>
    <t xml:space="preserve">Apartamento de 121mts; 03 dorm sendo 01 suite   CAMPOS ELÍSEOS</t>
  </si>
  <si>
    <t xml:space="preserve">LINDO APARTAMENTO NO BAIRRO VILA SEIXAS</t>
  </si>
  <si>
    <t xml:space="preserve">Apartamento de 56m² com 02 quartos para venda   Sumarezinho</t>
  </si>
  <si>
    <t xml:space="preserve">Apartamento de 57m² com 02 quartos à venda   Alto da Boa Vista</t>
  </si>
  <si>
    <t xml:space="preserve">Apartamento mobiliado de 58m² com 01 quarto para locação e venda   Bosque das Juritis</t>
  </si>
  <si>
    <t xml:space="preserve">Apartamento de 65m² com 02 quartos para venda   Nova Aliança</t>
  </si>
  <si>
    <t xml:space="preserve">Apartamento de 63m² com 02 quartos à venda   City Ribeirão</t>
  </si>
  <si>
    <t xml:space="preserve">R$ 477.792,57</t>
  </si>
  <si>
    <t xml:space="preserve">Apartamento de 54m² de 02 quartos para locação   Bairro Vila Monte Alegre</t>
  </si>
  <si>
    <t xml:space="preserve">R$ 478.000,00</t>
  </si>
  <si>
    <t xml:space="preserve">APARTAMENTO SANTA CRUZ DOS JACQUES</t>
  </si>
  <si>
    <t xml:space="preserve">apartamento de 57m² com 01 suíte à venda   Nova Aliança</t>
  </si>
  <si>
    <t xml:space="preserve">Apartamento de 57m² com 02 quartos sendo 01 suíte à venda   Nova Aliança</t>
  </si>
  <si>
    <t xml:space="preserve">Apartamento de 93m² com 03 quartos à venda   Jardim Irajá</t>
  </si>
  <si>
    <t xml:space="preserve">Apartamento de 67m² com 02 quartos sendo 01 suíte para venda e locação   Jardim Palma Travassos</t>
  </si>
  <si>
    <t xml:space="preserve">Apartamento de 54m² com 02 quartos à venda   Santa Cruz do José Jacques</t>
  </si>
  <si>
    <t xml:space="preserve">Apartamento de 100m² com 02 quartos para venda   Jardim Botânico</t>
  </si>
  <si>
    <t xml:space="preserve">Apartamento de 70m² com 02 quartos sendo 01 suíte para a locação e venda   Jardim Botânico</t>
  </si>
  <si>
    <t xml:space="preserve">Apartamento de 72m² com 02 quartos à venda   Quintas de São José</t>
  </si>
  <si>
    <t xml:space="preserve">Apartamento de 104m² com 03 quartos   Lagoinha</t>
  </si>
  <si>
    <t xml:space="preserve">Apartamento com 89m², 03 quartos, para venda   Jardim Paulista.</t>
  </si>
  <si>
    <t xml:space="preserve">Apartamento de 106m² com 03 quartos à venda   Santa Cruz do José Jacques</t>
  </si>
  <si>
    <t xml:space="preserve">Apartamento mobiliado de 49m² com 02 quartos para locação e venda   Alto da Boa Vista</t>
  </si>
  <si>
    <t xml:space="preserve">Apartamento padrão com 58 m², 02 quartos, Ribeirânia.</t>
  </si>
  <si>
    <t xml:space="preserve">Apartamento térreo de 181m² com 04 quartos sendo 02 suítes à venda   Jardim Paulista</t>
  </si>
  <si>
    <t xml:space="preserve">Apartamento de 113m² com 03 quartos à venda   Jardim Irajá</t>
  </si>
  <si>
    <t xml:space="preserve">Apartamento de 150m² com 03 quartos à venda   Centro</t>
  </si>
  <si>
    <t xml:space="preserve">EXCELENTE APARTAMENTO LOCALIZADO NO JARDIM BOTÂNICO</t>
  </si>
  <si>
    <t xml:space="preserve">APARTAMENTO MOBILIADO PRÓXIMO À USP</t>
  </si>
  <si>
    <t xml:space="preserve">APARTAMENTO AV CARAMURU COM 116M²   3 DORMITÓRIOS 1 SUÍTE</t>
  </si>
  <si>
    <t xml:space="preserve">APARTAMENTO NA ZONA SUL PRÓXIMO À AV. JOÃO FIÚSA</t>
  </si>
  <si>
    <t xml:space="preserve">Apartamento de 128m² para venda   Centro</t>
  </si>
  <si>
    <t xml:space="preserve">APARTAMENTO DIFERENCIADO NO JARDIM BOTÂNICO</t>
  </si>
  <si>
    <t xml:space="preserve">Apartamento de 62m² com 02 suítes á venda   Jardim Califórnia</t>
  </si>
  <si>
    <t xml:space="preserve">Apartamento de 74m² com 02 quartos sendo 01 supite à venda   Centro</t>
  </si>
  <si>
    <t xml:space="preserve">Apartamento de 85m² com 02 quartos sendo 01 suíte à venda   Vila Seixas</t>
  </si>
  <si>
    <t xml:space="preserve">Apartamento de 81m² com 02 quartos para venda e locação   Jardim Paulista</t>
  </si>
  <si>
    <t xml:space="preserve">Apartamento de 02 suítes para locação   Jardim Botânico</t>
  </si>
  <si>
    <t xml:space="preserve">R$ 483.802,00</t>
  </si>
  <si>
    <t xml:space="preserve">Apartamento de 48m² com 02 quartos à venda   Alto da Boa vista</t>
  </si>
  <si>
    <t xml:space="preserve">Apartamento de 54m² com 02 quartos à venda   Vila Monte Alegre</t>
  </si>
  <si>
    <t xml:space="preserve">R$ 485.000,00</t>
  </si>
  <si>
    <t xml:space="preserve">Apartamento mobiliado de 56m² com 02 quartos à venda   Sumarezinho</t>
  </si>
  <si>
    <t xml:space="preserve">R$ 489.000,00</t>
  </si>
  <si>
    <t xml:space="preserve">Apartamento de 156m² com 03 quartos á venda   Higienópolis</t>
  </si>
  <si>
    <t xml:space="preserve">Apartamento de 57m² com 02 quartos à venda   Nova Aliança</t>
  </si>
  <si>
    <t xml:space="preserve">EXCELENTE APARTAMENTO PARA VENDA NO CENTRO DE RIBEIRÃO PRETO</t>
  </si>
  <si>
    <t xml:space="preserve">Apartamento de 82m² com 02 quartos para locação e venda   Jardim Botânico</t>
  </si>
  <si>
    <t xml:space="preserve">Apartamento de 104m² com 03 quartos à venda   Vila Seixas</t>
  </si>
  <si>
    <t xml:space="preserve">R$ 490.000,00</t>
  </si>
  <si>
    <t xml:space="preserve">Apartamento de 75m² com 03 quartos sendo 01 suíte à venda   Jardim Botânico</t>
  </si>
  <si>
    <t xml:space="preserve">Apartamento de 72m² com 02 quartos à venda   Sumarezinho</t>
  </si>
  <si>
    <t xml:space="preserve">Apartamento de 111m com 03 quartos   Centro</t>
  </si>
  <si>
    <t xml:space="preserve">EXCELENTE APARTAMENTO REFORMADO PRÓXIMO AV. NOVE DE JULHO</t>
  </si>
  <si>
    <t xml:space="preserve">Apartamento de 76m² com 02 quartos sendo 01 suíte à venda   Jardim Sumaré</t>
  </si>
  <si>
    <t xml:space="preserve">Apartamento de 79m² com 02 quartos sendo 01 suíte para locação e venda   Nova Aliança</t>
  </si>
  <si>
    <t xml:space="preserve">Apartamento de 62m² com 02 suítes para locação   Jardim Califórnia</t>
  </si>
  <si>
    <t xml:space="preserve">Apartamento de 82m² com 02 Quartos a venda   Jardim Paulista</t>
  </si>
  <si>
    <t xml:space="preserve">Apartamento de 93m² com 02 quartos sendo 01 suíte para venda   Centro</t>
  </si>
  <si>
    <t xml:space="preserve">Apartamento de 69m² com 02 suítes à venda   Jardim Botânico</t>
  </si>
  <si>
    <t xml:space="preserve">R$ 493.637,24</t>
  </si>
  <si>
    <t xml:space="preserve">Apartamento de 72m² com 03 quartos sendo 01 suíte à venda   Quintas De São José</t>
  </si>
  <si>
    <t xml:space="preserve">R$ 495.000,00</t>
  </si>
  <si>
    <t xml:space="preserve">Apartamento de 62m² com 02 suítes à venda   Nova Aliança</t>
  </si>
  <si>
    <t xml:space="preserve">Lançamento: Alma Panamby   Apartamento de 65m² com 03 quartos com suíte à venda   Panamby II</t>
  </si>
  <si>
    <t xml:space="preserve">R$ 497.000,00</t>
  </si>
  <si>
    <t xml:space="preserve">Apartamento de 71m² com 02 quartos à venda   Bonfim Paulista</t>
  </si>
  <si>
    <t xml:space="preserve">R$ 498.000,00</t>
  </si>
  <si>
    <t xml:space="preserve">Apartamento de 50m² com 02 quartos à venda   Residencial Monterrey</t>
  </si>
  <si>
    <t xml:space="preserve">Apartamento de 65m² com 02 suítes à venda   Residencial Taiwan</t>
  </si>
  <si>
    <t xml:space="preserve">Apartamento de 97m² com 02 quartos sendo 01 suíte à venda   Nova Aliança</t>
  </si>
  <si>
    <t xml:space="preserve">Apartamento mobíliado de 82m² com 03 quartos à venda   Nova Aliança</t>
  </si>
  <si>
    <t xml:space="preserve">Apartamento de 61m² com 02 quartos para venda   Quinta da Primavera</t>
  </si>
  <si>
    <t xml:space="preserve">Apartamento de 55m² com 02 quartos à venda   Santa Cruz do José Jacques</t>
  </si>
  <si>
    <t xml:space="preserve">Apartamento de 61m² com 02 quartos à venda   Quinta da Primavera</t>
  </si>
  <si>
    <t xml:space="preserve">Apartamento de 75m² com 02 quartos à venda   Vila Tibério</t>
  </si>
  <si>
    <t xml:space="preserve">Apartamento de 83m² com 02 quartos sendo 01 suíte à venda   Nova Ribeirânia</t>
  </si>
  <si>
    <t xml:space="preserve">R$ 499.900,00</t>
  </si>
  <si>
    <t xml:space="preserve">Apartamento de 59m² com 01 quarto para venda e locação   Alto da Boa Vista</t>
  </si>
  <si>
    <t xml:space="preserve">R$ 742.000,00</t>
  </si>
  <si>
    <t xml:space="preserve">Apartamento Studio mobiliado com 49 m², 01 quarto, para locação   Alto da Boa Vista.</t>
  </si>
  <si>
    <t xml:space="preserve">Apartamento mobiliado de 104m² com 03 suítes para venda e locação   Vila do golf</t>
  </si>
  <si>
    <t xml:space="preserve">Apartamento de 261m² com 04 quartos à venda   Centro</t>
  </si>
  <si>
    <t xml:space="preserve">Apartamento de 180m² com 03 quartos para locação e venda   Jardim Irajá</t>
  </si>
  <si>
    <t xml:space="preserve">Apartamento de 60 m² com 01 quarto para venda   Jardim Botânico</t>
  </si>
  <si>
    <t xml:space="preserve">Apartamento de 378m² com 04 quartos para venda e locação   Centro</t>
  </si>
  <si>
    <t xml:space="preserve">Apartamento de 131m² com 04 quartos à venda   Presidente Médici</t>
  </si>
  <si>
    <t xml:space="preserve">R$ 630.000,00</t>
  </si>
  <si>
    <t xml:space="preserve">Apartamento de 90m² com 02 suítes para locação e venda   Bosque das Juritis</t>
  </si>
  <si>
    <t xml:space="preserve">Apartamento de 82m² com 02 quartos sendo 01 suíte à venda   Alamedas do Botânico</t>
  </si>
  <si>
    <t xml:space="preserve">R$ 839.000,00</t>
  </si>
  <si>
    <t xml:space="preserve">Apartamento de 432m² com 5 quartos para locação e venda   Centro</t>
  </si>
  <si>
    <t xml:space="preserve">Apartamento de 80m² com 02 suítes para a venda e a locação   Jardim Olhos D`água</t>
  </si>
  <si>
    <t xml:space="preserve">Apartamento de 133m² com 03 quartos para locação e venda   Jardim Nova Aliança Sul</t>
  </si>
  <si>
    <t xml:space="preserve">Apartamento de 100m² com 03 quartos para locação e venda   Jardim Botânico</t>
  </si>
  <si>
    <t xml:space="preserve">Apartamento de 139m² com 03 quartos para locação e venda   Jardim Canadá</t>
  </si>
  <si>
    <t xml:space="preserve">R$ 1.020.000,00</t>
  </si>
  <si>
    <t xml:space="preserve">Apartamento de 101m² com 03 suítes para venda   Nova Aliança</t>
  </si>
  <si>
    <t xml:space="preserve">Apartamento de 202m² com 03 quartos para locação e venda   Jardim Irajá</t>
  </si>
  <si>
    <t xml:space="preserve">R$ 1.199.000,00</t>
  </si>
  <si>
    <t xml:space="preserve">Apartamento mobiliado de 73m² com 02 quartos à venda   Bosque das Juritis</t>
  </si>
  <si>
    <t xml:space="preserve">R$ 770.000,00</t>
  </si>
  <si>
    <t xml:space="preserve">Apartamento 118m² com 03 suítes à venda   Jardim Olhos D`Água</t>
  </si>
  <si>
    <t xml:space="preserve">Apartamento de 46m² com 03 quartos para venda   Jardim Paulista</t>
  </si>
  <si>
    <t xml:space="preserve">Apartamento de 90m² com 01 quarto à venda   Centro</t>
  </si>
  <si>
    <t xml:space="preserve">Apartamento de 110m² com 03 quartos à venda   Jardim Paulista</t>
  </si>
  <si>
    <t xml:space="preserve">Apartamento de 87m² com 02 suítes á venda   Jardim América</t>
  </si>
  <si>
    <t xml:space="preserve">Apartamento de 68m² com 03 quartos para locação e venda   Parque Industrial Lagoinha</t>
  </si>
  <si>
    <t xml:space="preserve">Apartamento a poucos metros do Parque Raya</t>
  </si>
  <si>
    <t xml:space="preserve">Apartamento de 72m² com 02 quartos sendo 01 suíte à venda   Nova Aliança</t>
  </si>
  <si>
    <t xml:space="preserve">Apartamento de 105m² com 03 quartos sendo 01 à venda   Lagoinha</t>
  </si>
  <si>
    <t xml:space="preserve">Apartamento de 86m² com 03 quartos para venda 02 vagas   Jardim Botânico</t>
  </si>
  <si>
    <t xml:space="preserve">Apartamento de 95m² com 03 quartos sendo 01 suíte à venda   Jardim Paulista</t>
  </si>
  <si>
    <t xml:space="preserve">Apartamento de 75m² com 03 quartos para locação e venda   Jardim Botânico</t>
  </si>
  <si>
    <t xml:space="preserve">Apartamento de 52m² com 02 quartos sendo 1 suíte à venda   Quintas de São José</t>
  </si>
  <si>
    <t xml:space="preserve">Apartamento de 58m² com 02 quartos para locação e venda   Ribeirânia</t>
  </si>
  <si>
    <t xml:space="preserve">Apartamento de 71m² com 02 quartos à venda   Ribeirânia</t>
  </si>
  <si>
    <t xml:space="preserve">Apartamento de 80m² com 02 quartos para locação   Nova Aliança</t>
  </si>
  <si>
    <t xml:space="preserve">Apartamento de 61m² com 02 quartos para locação e venda   Quinta da Primavera</t>
  </si>
  <si>
    <t xml:space="preserve">FLAT NA RIBEIRÂNIA</t>
  </si>
  <si>
    <t xml:space="preserve">Apartamento mobiliado de 35m² com 01 quarto à venda   Vila Amélia</t>
  </si>
  <si>
    <t xml:space="preserve">EXCELENTE APARTAMENTO PRÓXIMO Á AVENIDA INDEPENDÊNCIA</t>
  </si>
  <si>
    <t xml:space="preserve">Apartamento de 107m² com 03 quartos sendo 01 suíte para venda   jardim Paulista</t>
  </si>
  <si>
    <t xml:space="preserve">Apartamento de 111m² com 03 quartos sendo 01 suíte à venda   Jardim Irajá</t>
  </si>
  <si>
    <t xml:space="preserve">Apartamento de 42m² com 01 quarto   Nova Aliança</t>
  </si>
  <si>
    <t xml:space="preserve">Apartamento de 165m² com 03 quartos sendo 1 suíte   Centro</t>
  </si>
  <si>
    <t xml:space="preserve">APARTAMENTO PRÓXIMO À AVENIDA MAURILIO BIAGI</t>
  </si>
  <si>
    <t xml:space="preserve">Apartamento de 83m² com 02 quartos para venda   Centro</t>
  </si>
  <si>
    <t xml:space="preserve">Apartamento de 58m² com 02 quartos sendo 01 suíte à venda   Ribeirânia</t>
  </si>
  <si>
    <t xml:space="preserve">Apartamento de 74m² com 03 quartos à venda   Centro</t>
  </si>
  <si>
    <t xml:space="preserve">Apartamento de 72m² com 02 quartos para locação   Centro</t>
  </si>
  <si>
    <t xml:space="preserve">Apartamento de 58m² com 02 quartos para locação   Ribeirânia</t>
  </si>
  <si>
    <t xml:space="preserve">APARTAMENTO NO JARDIM NOVO MUNDO</t>
  </si>
  <si>
    <t xml:space="preserve">Apartamento de 122m² com 03 quartos   Centro</t>
  </si>
  <si>
    <t xml:space="preserve">Apartamento de 103m² com 03 quartos para venda   Vila Monte Alegre</t>
  </si>
  <si>
    <t xml:space="preserve">APARTAMENTO TÉRREO NO BOSQUES DOS JURITIS</t>
  </si>
  <si>
    <t xml:space="preserve">Apartamento de 85m² com 03 quartos para locação e venda   Santa Cruz do José Jacques</t>
  </si>
  <si>
    <t xml:space="preserve">Excelente localização no Centro</t>
  </si>
  <si>
    <t xml:space="preserve">R$ 510.000,00</t>
  </si>
  <si>
    <t xml:space="preserve">Apartamento de 103m² com 03 quartos para locação   Alto da Boa Vista</t>
  </si>
  <si>
    <t xml:space="preserve">Apartamento de 86m² com 02 quartos sendo 01 suíte para locação   Jardim Botânico</t>
  </si>
  <si>
    <t xml:space="preserve">Apartamento de 58m² com 02 quartos sendo 01 suíte para venda   Ribeirânia</t>
  </si>
  <si>
    <t xml:space="preserve">Apartamento de 43m² com 01 suíte para venda e locação   Alto da Boa Vista</t>
  </si>
  <si>
    <t xml:space="preserve">Apartamento de 75m² com 02 quartos para locação e venda   Jardim Nova Aliança</t>
  </si>
  <si>
    <t xml:space="preserve">EXCELENTE APARTAMENTO NO QUINTA DA PRIMAVERA</t>
  </si>
  <si>
    <t xml:space="preserve">**** EXCELENTE OPORTUNIDADE****</t>
  </si>
  <si>
    <t xml:space="preserve">Ótimo apartamento próximo à Avenida Meira Junior</t>
  </si>
  <si>
    <t xml:space="preserve">Apartamento com 02 suítes para locação e venda   Santa Cruz</t>
  </si>
  <si>
    <t xml:space="preserve">Apartamento de 101m² com 02 suítes para locação e venda   Jardim Botânico</t>
  </si>
  <si>
    <t xml:space="preserve">R$ 513.000,00</t>
  </si>
  <si>
    <t xml:space="preserve">R$ 515.000,00</t>
  </si>
  <si>
    <t xml:space="preserve">Apartamento de 59M² com 02 quartos   Quinta da Primavera</t>
  </si>
  <si>
    <t xml:space="preserve">Apartamento de 150m² com 03 quartos para venda e locação   Centro</t>
  </si>
  <si>
    <t xml:space="preserve">Apartamento de 62m² com 02 quartos à venda   Ribeirânia</t>
  </si>
  <si>
    <t xml:space="preserve">Apartamento 3 Quartos   199m²   Higienópolis</t>
  </si>
  <si>
    <t xml:space="preserve">Apartamento de 63m² com 02 quartos para locação e venda   Jardim Irajá</t>
  </si>
  <si>
    <t xml:space="preserve">Apartamento de 82m² com 02 quartos para locação   Jardim Nova Aliança Sul</t>
  </si>
  <si>
    <t xml:space="preserve">Apartamento de 77m² com 03 quartos   Jardim Nova Aliança</t>
  </si>
  <si>
    <t xml:space="preserve">APARTAMENTO PRÓXIMO AVENIDA PORTUGAL</t>
  </si>
  <si>
    <t xml:space="preserve">Apartamento de 95m² com 03 quartos   Jardim Santa Cruz do José Jacques</t>
  </si>
  <si>
    <t xml:space="preserve">Apartamento de 61m² com 02 suítes à venda   Nova Aliança</t>
  </si>
  <si>
    <t xml:space="preserve">R$ 520.793,50</t>
  </si>
  <si>
    <t xml:space="preserve">Apartamento de 75m² com 03 quartos sendo 01 suíte à venda   Jardim Itaporã</t>
  </si>
  <si>
    <t xml:space="preserve">R$ 524.000,00</t>
  </si>
  <si>
    <t xml:space="preserve">Apartamento de 158m² com 03 quartos sendo 01 suíte para locação e venda   Centro</t>
  </si>
  <si>
    <t xml:space="preserve">Apartamento de 88m² com 02 quartos para venda e locação   Bosque das Juritis</t>
  </si>
  <si>
    <t xml:space="preserve">Apartamento de 59m² com 01 suíte à venda   Quinta da Primavera</t>
  </si>
  <si>
    <t xml:space="preserve">R$ 525.584,00</t>
  </si>
  <si>
    <t xml:space="preserve">R$ 527.736,28</t>
  </si>
  <si>
    <t xml:space="preserve">Apartamento de 142 m² 4 quartos   Centro</t>
  </si>
  <si>
    <t xml:space="preserve">ÓTIMA OPORTUNIDADE DE APARTAMENTO NO JD. BOTÂNICO</t>
  </si>
  <si>
    <t xml:space="preserve">APARTAMENTO PRÓXIMO Á AVENIDA MAURÍLIO BIAGI</t>
  </si>
  <si>
    <t xml:space="preserve">Apartamento de 159m² com 03 quartos à venda   Centro</t>
  </si>
  <si>
    <t xml:space="preserve">Apartamento de 71m² com 02 quartos sendo 01 suíte á venda   Centro</t>
  </si>
  <si>
    <t xml:space="preserve">Apartamento de 158m² com 03 dormitórios à venda   Centro</t>
  </si>
  <si>
    <t xml:space="preserve">Apartamento de 77m² com 02 suítes à venda   Nova Aliança</t>
  </si>
  <si>
    <t xml:space="preserve">Apartamento de 65m² com 02 suítes à venda  Residencial Taiwan</t>
  </si>
  <si>
    <t xml:space="preserve">Apartamento de 120m² com 02 suítes e 02 vagas de garagem à venda   Parque dos Bandeirantes</t>
  </si>
  <si>
    <t xml:space="preserve">Apartamento de 58m² com 02 quartos sendo 01 suíte para venda e locação   Ribeirânia</t>
  </si>
  <si>
    <t xml:space="preserve">Apartamento semimobiliado de 70m² com 02 quartos para locação e venda   Jardim Macedo</t>
  </si>
  <si>
    <t xml:space="preserve">Apartamento de 124m² com 04 quartos à venda   Centro</t>
  </si>
  <si>
    <t xml:space="preserve">Apartamento de 138m² com 03 quartos à venda   Centro</t>
  </si>
  <si>
    <t xml:space="preserve">AMPLO APARTAMENTO NO BAIRRO HIGIENÓPOLIS!</t>
  </si>
  <si>
    <t xml:space="preserve">Apartamento de 72m² com 02 quartos sendo 01 suíte à venda   Vila Seixas</t>
  </si>
  <si>
    <t xml:space="preserve">Apartamento de 204m² com 03 quartos à venda   Centro</t>
  </si>
  <si>
    <t xml:space="preserve">Apartamento de 115m² com 03 quartos sendo 01 suíte á venda   Jardim Irajá</t>
  </si>
  <si>
    <t xml:space="preserve">APARTAMENTO NO CENTRO 3 DORMITÓRIOS</t>
  </si>
  <si>
    <t xml:space="preserve">Apartamento de 82m² com 03 quartos sendo 01 suíte à venda   Nova Aliança</t>
  </si>
  <si>
    <t xml:space="preserve">Apartamento de 84m² com 03 quartos à venda   Nova Aliança Sul</t>
  </si>
  <si>
    <t xml:space="preserve">Apartamento de 78m² para locação e venda   Nova Aliança</t>
  </si>
  <si>
    <t xml:space="preserve">Apartamento de 79m² com 03 quartos sendo 01 suíte à venda   Jardim Botânico</t>
  </si>
  <si>
    <t xml:space="preserve">Apartamento de 82m² com 02 quartos sendo 1 suíte á venda   Jardim Paulista</t>
  </si>
  <si>
    <t xml:space="preserve">Apartamento de 64m² com 02 quartos para locação e venda   Jardim Botânico</t>
  </si>
  <si>
    <t xml:space="preserve">Apartamento de 97m² com 03 quartos para venda e locação  Campos Elíseos</t>
  </si>
  <si>
    <t xml:space="preserve">R$ 531.000,00</t>
  </si>
  <si>
    <t xml:space="preserve">R$ 535.000,00</t>
  </si>
  <si>
    <t xml:space="preserve">EXCELENTE APARTAMENTO TÉRREO NO JARDIM BOTÂNICO</t>
  </si>
  <si>
    <t xml:space="preserve">APARTAMENTO 03 DORMITÓRIOS 01 SUITE COM VARANDA GOURMET PRÓXIMO A AV. CARLOS CONSONI</t>
  </si>
  <si>
    <t xml:space="preserve">R$ 535.500,00</t>
  </si>
  <si>
    <t xml:space="preserve">R$ 538.000,00</t>
  </si>
  <si>
    <t xml:space="preserve">R$ 539.000,00</t>
  </si>
  <si>
    <t xml:space="preserve">Apartamento de 75m² com 02 quartos à venda   Bosque das Juritis</t>
  </si>
  <si>
    <t xml:space="preserve">Apartamento de 75m² com 02 quartos para locação   Bosque das Juritis</t>
  </si>
  <si>
    <t xml:space="preserve">Apartamento de 72m² com 02 quartos à venda   Nova Aliança</t>
  </si>
  <si>
    <t xml:space="preserve">Apartamento de 122m² com 03 quartos sendo 01 suíte para locação e venda   Centro</t>
  </si>
  <si>
    <t xml:space="preserve">Apartamento de 76m² com 02 suítes   Jardim Botânico</t>
  </si>
  <si>
    <t xml:space="preserve">Apartamento de 96m² com 04 quartos para locação   Centro</t>
  </si>
  <si>
    <t xml:space="preserve">EXCELENTE OPORTUNIDADE PARA INVESTIMENTO OU MORADIA NA PRESIDENTE VARGAS</t>
  </si>
  <si>
    <t xml:space="preserve">LINDO APARTAMENTO NOVISSÍMO NO JARDIM BOTÂNICO</t>
  </si>
  <si>
    <t xml:space="preserve">Apartamento de 57m² com 2 quartos   Jardim Nova Aliança.</t>
  </si>
  <si>
    <t xml:space="preserve">Apartamento de 101m² com 03 quartos à venda   Nova Aliança</t>
  </si>
  <si>
    <t xml:space="preserve">Apartamento de 142 m² com 03 quartos   Jardim Sumaré</t>
  </si>
  <si>
    <t xml:space="preserve">Apartamento de 03 quartos para locação   Nova Aliança</t>
  </si>
  <si>
    <t xml:space="preserve">Apartamento de 98m² com 03 quartos à venda   Santa Cruz do José Jacques</t>
  </si>
  <si>
    <t xml:space="preserve">R$ 541.000,00</t>
  </si>
  <si>
    <t xml:space="preserve">R$ 544.300,00</t>
  </si>
  <si>
    <t xml:space="preserve">Apartamento de 210m² com 04 quartos à venda   Centro</t>
  </si>
  <si>
    <t xml:space="preserve">R$ 547.000,00</t>
  </si>
  <si>
    <t xml:space="preserve">Apartamento de 63m² com 02 quartos para venda   Jardim Sumaré</t>
  </si>
  <si>
    <t xml:space="preserve">R$ 548.000,00</t>
  </si>
  <si>
    <t xml:space="preserve">Apartamento de 63m² com 02 quartos para locação   Jardim Sumaré</t>
  </si>
  <si>
    <t xml:space="preserve">Apartamento de 95m² com 03 quartos sendo 1 suíte para venda   Campos Eliseos</t>
  </si>
  <si>
    <t xml:space="preserve">R$ 549.000,00</t>
  </si>
  <si>
    <t xml:space="preserve">Apartamento de 95m² com 03 quartos para locação e venda   Jardim Paulista</t>
  </si>
  <si>
    <t xml:space="preserve">Apartamento de 124m² com 03 quatos   Centro</t>
  </si>
  <si>
    <t xml:space="preserve">Apartamento de 01 quarto à venda   Jardim Irajá</t>
  </si>
  <si>
    <t xml:space="preserve">Apartamento de 64m² com 02 quartos  Bosque das Juritis</t>
  </si>
  <si>
    <t xml:space="preserve">R$ 529.000,00</t>
  </si>
  <si>
    <t xml:space="preserve">Apartamento de 97m² com 03 quarto com suíte à venda  Campos Elíseos</t>
  </si>
  <si>
    <t xml:space="preserve">Apartamento de 149m² com 03 quartos sendo 01 suíte para locação e venda   Santa Cruz do José Jacques</t>
  </si>
  <si>
    <t xml:space="preserve">Apartaemento de 03 quartos com 156m²   Centro Ribeirão Preto</t>
  </si>
  <si>
    <t xml:space="preserve">R$ 545.000,00</t>
  </si>
  <si>
    <t xml:space="preserve">Apartamento de 70m² com 02 quartos, sendo 01 suíte à venda   Jardim Palma Travassos</t>
  </si>
  <si>
    <t xml:space="preserve">Apartamento de 77m² com 03 quartos à venda   Nova Aliança</t>
  </si>
  <si>
    <t xml:space="preserve">Apartamento de 80m² com 02 quartos à venda   Jardim Paulista</t>
  </si>
  <si>
    <t xml:space="preserve">Apartamento de 122m² com 03 quartos à venda   Centro</t>
  </si>
  <si>
    <t xml:space="preserve">Apartamento de 61m² com 02 quartos à venda   Jardim Olhos D`Água</t>
  </si>
  <si>
    <t xml:space="preserve">Apartamento térreo reformado à venda   Santa Cruz do José Jacques</t>
  </si>
  <si>
    <t xml:space="preserve">Apartamento de 75m² com 02 quartos à venda   Bairro Vila Amélia</t>
  </si>
  <si>
    <t xml:space="preserve">LINDO APARTAMENTO PRONTO PARA MORAR, ULTIMAS UNIDADES!</t>
  </si>
  <si>
    <t xml:space="preserve">APARTAMENTO MOBILIADO NA AVENIDA MAURILIO BIAGI</t>
  </si>
  <si>
    <t xml:space="preserve">Apartamento de 123m² com 3 quartos à venda   Santa Cruz</t>
  </si>
  <si>
    <t xml:space="preserve">Apartamento de 129m² com 02 suítes à venda   Nova Aliança</t>
  </si>
  <si>
    <t xml:space="preserve">Apartamento de 81m² com 02 quartos à venda   Vila do Golf</t>
  </si>
  <si>
    <t xml:space="preserve">Apartamento de 86m² com 02 quartos para locação e venda   Vila Seixas</t>
  </si>
  <si>
    <t xml:space="preserve">APARTAMENTO NO JARDIM BOTÂNICO COM VARANDA GOURMET</t>
  </si>
  <si>
    <t xml:space="preserve">Apartamento para locação no Jd Botânico, Zonal Sul</t>
  </si>
  <si>
    <t xml:space="preserve">Apartamento de 66m² com 02 quartos à venda   Jardim Paulista</t>
  </si>
  <si>
    <t xml:space="preserve">LINDO APARTAEMNTO PROXÍMO A FIUSA</t>
  </si>
  <si>
    <t xml:space="preserve">APARTAMENTO PADRÃO NO JARDIM PAULISTA</t>
  </si>
  <si>
    <t xml:space="preserve">Apartamento de 172m² com 03 quartos para venda   Higienópolis</t>
  </si>
  <si>
    <t xml:space="preserve">APARTAMENTO PRÓXIMO À RODOVIA JOSÉ FREGONEZZI</t>
  </si>
  <si>
    <t xml:space="preserve">R$ 551.323,00</t>
  </si>
  <si>
    <t xml:space="preserve">Apartamento de 83m² com 03 quarto sendo 01 suíte à venda   Centro</t>
  </si>
  <si>
    <t xml:space="preserve">R$ 552.000,00</t>
  </si>
  <si>
    <t xml:space="preserve">R$ 553.200,00</t>
  </si>
  <si>
    <t xml:space="preserve">R$ 555.000,00</t>
  </si>
  <si>
    <t xml:space="preserve">Apartamento de 69m² com 02 suítes à venda   Nova Aliança</t>
  </si>
  <si>
    <t xml:space="preserve">R$ 557.973,70</t>
  </si>
  <si>
    <t xml:space="preserve">Apartamento de 61m² com 01 suíte à venda   Quinta da Primavera</t>
  </si>
  <si>
    <t xml:space="preserve">R$ 559.000,00</t>
  </si>
  <si>
    <t xml:space="preserve">Apartamento de 69m² com 02 quartos para venda   Jardim Sumaré</t>
  </si>
  <si>
    <t xml:space="preserve">Apartamento de 95m² com 03 quartos à venda   Campos Elíseos</t>
  </si>
  <si>
    <t xml:space="preserve">Apartamento de 62m² com 02 quartos   Jardim Botânico</t>
  </si>
  <si>
    <t xml:space="preserve">Apartamento de 82m² com 03 quartos para locação e venda   Nova Aliança</t>
  </si>
  <si>
    <t xml:space="preserve">Apartamento de 142m² com 03 quartos à venda   Jardim Sumaré</t>
  </si>
  <si>
    <t xml:space="preserve">Apartamento de 88m² com 02 quartos à venda   Santa Cruz do Jose Jacques</t>
  </si>
  <si>
    <t xml:space="preserve">Apartamento mobiliado de 39m² com 01 suíte para locação   Jardim Sumaré</t>
  </si>
  <si>
    <t xml:space="preserve">R$ 561.800,00</t>
  </si>
  <si>
    <t xml:space="preserve">Apartamento de 142m² com 03 quartos para venda e locação   Jardim Sumaré</t>
  </si>
  <si>
    <t xml:space="preserve">R$ 562.000,00</t>
  </si>
  <si>
    <t xml:space="preserve">Apartamento de 69m² com 02 quartos à venda   Jardim Olhos D´Água</t>
  </si>
  <si>
    <t xml:space="preserve">R$ 565.000,00</t>
  </si>
  <si>
    <t xml:space="preserve">Apartamento de 81m² com 03 quartos sendo 01 suíte para Venda   Jardim Nova Aliança Sul</t>
  </si>
  <si>
    <t xml:space="preserve">Apartamento de 65m² com 02 quartos   Jardim Botânico</t>
  </si>
  <si>
    <t xml:space="preserve">R$ 565.990,00</t>
  </si>
  <si>
    <t xml:space="preserve">Apartamento de 70m² com 02 suítes à venda   Nova Aliança</t>
  </si>
  <si>
    <t xml:space="preserve">R$ 567.168,24</t>
  </si>
  <si>
    <t xml:space="preserve">R$ 567.479,00</t>
  </si>
  <si>
    <t xml:space="preserve">APATAMENTO PRÓXIMO AO CENTRO</t>
  </si>
  <si>
    <t xml:space="preserve">R$ 569.990,00</t>
  </si>
  <si>
    <t xml:space="preserve">Apartamento Padrão de 84,76m² com 03 Quartos sendo 01 suíte para Venda   Bonfim Paulista</t>
  </si>
  <si>
    <t xml:space="preserve">R$ 570.000,00</t>
  </si>
  <si>
    <t xml:space="preserve">Apartamento de 88m² com 02 quartos para locação   Jardim Botânico</t>
  </si>
  <si>
    <t xml:space="preserve">Apartamento de 104m² com 03 quartos para locação   Centro</t>
  </si>
  <si>
    <t xml:space="preserve">Apartamento de 95m² com 03 quartos para locação e venda   Jardim Canadá</t>
  </si>
  <si>
    <t xml:space="preserve">Apartamento de 135m² com quartos para venda   Jardim Sumaré</t>
  </si>
  <si>
    <t xml:space="preserve">Localizado próximo ao Paulistão atacadista, Lagoa Burger, Posto Ipiranga</t>
  </si>
  <si>
    <t xml:space="preserve">R$ 571.000,00</t>
  </si>
  <si>
    <t xml:space="preserve">Apartamento de 91m² com 03 quartos à venda   Ribeirânia</t>
  </si>
  <si>
    <t xml:space="preserve">R$ 575.500,00</t>
  </si>
  <si>
    <t xml:space="preserve">R$ 575.557,00</t>
  </si>
  <si>
    <t xml:space="preserve">Apartamento de 63m² com 02 quartos para venda   Quinta da Primavera</t>
  </si>
  <si>
    <t xml:space="preserve">R$ 579.000,00</t>
  </si>
  <si>
    <t xml:space="preserve">R$ 439.990,00</t>
  </si>
  <si>
    <t xml:space="preserve">Apartamento de 107m² com 03 quartos sendo 1 suíte à venda   Vila Ana Maria</t>
  </si>
  <si>
    <t xml:space="preserve">Apartamento de 87m² com 02 quartos à venda   Bosque das Juritis</t>
  </si>
  <si>
    <t xml:space="preserve">Apartamento mobiliado de 59m² com 02 quartos para venda e locação   Vila do Golf</t>
  </si>
  <si>
    <t xml:space="preserve">Apartamento de 76m² com 02 suítes para venda   Jardim Botânico</t>
  </si>
  <si>
    <t xml:space="preserve">Apartamento de 93m² com 03 quartos para locação   Santa Cruz do José Jacques</t>
  </si>
  <si>
    <t xml:space="preserve">Apartamento de 67m² com 02 quartos para venda   Jardim Irajá</t>
  </si>
  <si>
    <t xml:space="preserve">Apartamento de 03 quartos para venda   Republica</t>
  </si>
  <si>
    <t xml:space="preserve">Apartamento de 65m² com 02 suítes e 02 vagas de garagem à venda   Nova Aliança</t>
  </si>
  <si>
    <t xml:space="preserve">R$ 582.283,35</t>
  </si>
  <si>
    <t xml:space="preserve">Apartamento de 104m² com 03 quartos sendo 01 suíte à venda   Centro</t>
  </si>
  <si>
    <t xml:space="preserve">Apartamento de 109 m² com 03 quartos   Jardim Paulistano</t>
  </si>
  <si>
    <t xml:space="preserve">R$ 583.000,00</t>
  </si>
  <si>
    <t xml:space="preserve">Apartamento de 118m² com 03 quartos   Jardim São Luiz</t>
  </si>
  <si>
    <t xml:space="preserve">R$ 584.400,00</t>
  </si>
  <si>
    <t xml:space="preserve">Apartamento reformado de 159m² com 04 quartos sendo 01 suíte à venda   Centro</t>
  </si>
  <si>
    <t xml:space="preserve">ÓTIMO APARTAMENTO NO JD. SUMARÉ</t>
  </si>
  <si>
    <t xml:space="preserve">Apartamento de 76m² com 02 suítes, para venda   Jardim Botânico</t>
  </si>
  <si>
    <t xml:space="preserve">R$ 585.000,00</t>
  </si>
  <si>
    <t xml:space="preserve">Apartamento de 76m² com 02 suítes para locação   Jardim Botânico</t>
  </si>
  <si>
    <t xml:space="preserve">Apartamento de 66m² com 02 quartos à venda   Quinta da Primavera</t>
  </si>
  <si>
    <t xml:space="preserve">R$ 585.346,00</t>
  </si>
  <si>
    <t xml:space="preserve">Apartamento de 216m² com 03 quartos com 01 suíte à venda   Centro</t>
  </si>
  <si>
    <t xml:space="preserve">R$ 475.000,00</t>
  </si>
  <si>
    <t xml:space="preserve">R$ 589.792,15</t>
  </si>
  <si>
    <t xml:space="preserve">Apartamento de 204m² com 04 quartos para venda e locação   Centro</t>
  </si>
  <si>
    <t xml:space="preserve">Apartamento de 84m² com 03 quartos à venda   Bonfim Paulista</t>
  </si>
  <si>
    <t xml:space="preserve">Apartamento de 75m² com 02 quartos à venda   Jardim Nova Aliança Sul</t>
  </si>
  <si>
    <t xml:space="preserve">R$ 590.000,00</t>
  </si>
  <si>
    <t xml:space="preserve">Apartamento de 95m² com 03 quartos com 01 suíte à venda   Campos Elíseos</t>
  </si>
  <si>
    <t xml:space="preserve">Apartamento de 165m² com 03 quartos à venda   Centro</t>
  </si>
  <si>
    <t xml:space="preserve">EXCELENTE APARTAMENTO NA AV ANTÔNIO DIEDERICHSEN</t>
  </si>
  <si>
    <t xml:space="preserve">Apartamento de 94 m² com 03 quartos para locação   Jardim Canada.</t>
  </si>
  <si>
    <t xml:space="preserve">Apartamento de 97m² com 03 quartos sendo 01 suíte à venda   Campos Elíseos</t>
  </si>
  <si>
    <t xml:space="preserve">Apartamento de 138m² 03 quartos sendo 01 suíte para locação   Jardim Sumaré</t>
  </si>
  <si>
    <t xml:space="preserve">Apartamento de 69m² com 02 quartos à venda   Jardim Olhos D`Água II</t>
  </si>
  <si>
    <t xml:space="preserve">R$ 591.713,00</t>
  </si>
  <si>
    <t xml:space="preserve">R$ 594.000,00</t>
  </si>
  <si>
    <t xml:space="preserve">Apartamento de 138 m² com 03 quartos à venda  Jardim Sumaré.</t>
  </si>
  <si>
    <t xml:space="preserve">R$ 595.000,00</t>
  </si>
  <si>
    <t xml:space="preserve">Apartamento de 107m² com 03 suítes à venda   Jardim Paulista</t>
  </si>
  <si>
    <t xml:space="preserve">R$ 525.000,00</t>
  </si>
  <si>
    <t xml:space="preserve">Lançamento: Ritz Golf   Apartamento de 52m² com 01 quarto à venda   Vila do Golf</t>
  </si>
  <si>
    <t xml:space="preserve">R$ 599.000,00</t>
  </si>
  <si>
    <t xml:space="preserve">Apartamento de 87m² com 02 quartos sendo 01 suíte à venda   Nova Aliança</t>
  </si>
  <si>
    <t xml:space="preserve">Apartamento de 85m² com 02 suítes para locação   Nova Aliança</t>
  </si>
  <si>
    <t xml:space="preserve">R$ 724.680,00</t>
  </si>
  <si>
    <t xml:space="preserve">R$ 725.000,00</t>
  </si>
  <si>
    <t xml:space="preserve">R$ 681.656,00</t>
  </si>
  <si>
    <t xml:space="preserve">R$ 840.124,00</t>
  </si>
  <si>
    <t xml:space="preserve">Apartamento de 137m² com 03 suítes para locação   Jardim São Luiz</t>
  </si>
  <si>
    <t xml:space="preserve">Apartamento de 82m² com 02 suítes para locação e venda   Jardim Olhos D`Água</t>
  </si>
  <si>
    <t xml:space="preserve">R$ 1.277.000,00</t>
  </si>
  <si>
    <t xml:space="preserve">Apartamento de 113 m² com 03 suítes à venda   Jardim Olhos d´Água.</t>
  </si>
  <si>
    <t xml:space="preserve">Apartamento de 03 quartos sendo 01 suíte de 144m² para locação e venda   Jardim Botânico</t>
  </si>
  <si>
    <t xml:space="preserve">Apartamento mobiliado de 126m² com 03 suítes para locação e venda   Jardim Olhos D`Água</t>
  </si>
  <si>
    <t xml:space="preserve">Apartamento de 109m² com 03 suítes para venda e locação   Jardim Olhos D´Água.</t>
  </si>
  <si>
    <t xml:space="preserve">Apartamento de 97m² com 3 quartos à venda   Jardim Anhanguera</t>
  </si>
  <si>
    <t xml:space="preserve">Apartamento de 124m² com 03 quartos à venda  Jardim Botânico</t>
  </si>
  <si>
    <t xml:space="preserve">R$ 5.900.000,00</t>
  </si>
  <si>
    <t xml:space="preserve">Apartamento de 111m² com 03 quartos à venda   Nova Aliança</t>
  </si>
  <si>
    <t xml:space="preserve">Apartamento de 82m² com 03 quartos para venda e locação   Jardim Botânico</t>
  </si>
  <si>
    <t xml:space="preserve">R$ 820.000,00</t>
  </si>
  <si>
    <t xml:space="preserve">Apartamento de 131m² com 03 suítes para locação e venda   Jardim Olhos D`Água</t>
  </si>
  <si>
    <t xml:space="preserve">Apartamento de 148m² com 03 suítes para locação e venda   Jardim Botânico</t>
  </si>
  <si>
    <t xml:space="preserve">R$ 1.130.000,00</t>
  </si>
  <si>
    <t xml:space="preserve">R$ 860.000,00</t>
  </si>
  <si>
    <t xml:space="preserve">Apartamento mobiliado de 196m² com 03 quartos para locação e venda   Santa Cruz José Jacques</t>
  </si>
  <si>
    <t xml:space="preserve">Apartamento de 109m² com 02 suítes para locação e venda   Plazas de España</t>
  </si>
  <si>
    <t xml:space="preserve">Apartamento de 132m² com 02 suítes para venda e locação   Jardim Botânico</t>
  </si>
  <si>
    <t xml:space="preserve">Apartamento de 133m² com 03 suítes para locação e venda   Nova Aliança</t>
  </si>
  <si>
    <t xml:space="preserve">R$ 1.158.584,00</t>
  </si>
  <si>
    <t xml:space="preserve">Apartamento de 126m² com 03 suítes para locação e venda   Jardim Olhos d`Água</t>
  </si>
  <si>
    <t xml:space="preserve">Apartamento de 87m² com 02 suítes para locação   Jardim Botânico</t>
  </si>
  <si>
    <t xml:space="preserve">Apartamento de 135m² com 03 suítes para locação e venda   Jardim Botânico</t>
  </si>
  <si>
    <t xml:space="preserve">Apartamento mobiliado de 127m² com 03 suítes para locação e venda   Nova Aliança</t>
  </si>
  <si>
    <t xml:space="preserve">Apartamento de 124m² com 03 suítes para venda e locação  Jardim Olhos D`água</t>
  </si>
  <si>
    <t xml:space="preserve">Apartamento de 239m² com 04 quartos para venda e locação   Jardim Irajá</t>
  </si>
  <si>
    <t xml:space="preserve">Apartamento de 133m² com 03 suítes para venda e locação  Nova Aliança</t>
  </si>
  <si>
    <t xml:space="preserve">Apartamento de 133m² com 03 suítes para locação  Nova Aliança</t>
  </si>
  <si>
    <t xml:space="preserve">R$ 1.324.907,00</t>
  </si>
  <si>
    <t xml:space="preserve">Apartamento mobiliado para locação   Jd. Presidente Médici</t>
  </si>
  <si>
    <t xml:space="preserve">Apartamento de 216m² com 03 quartos à venda   Jardim Sumaré</t>
  </si>
  <si>
    <t xml:space="preserve">Apartamento de 202m² com 03 quartos planejados à venda   Centro</t>
  </si>
  <si>
    <t xml:space="preserve">Apartamento de 144m² com 04 quartos para locação e venda   Jardim Macedo</t>
  </si>
  <si>
    <t xml:space="preserve">R$ 532.000,00</t>
  </si>
  <si>
    <t xml:space="preserve">Apartamento de 61m² com 02 quartos À venda   Quinta da Primavera</t>
  </si>
  <si>
    <t xml:space="preserve">Apartamento de 60m² com 02 quartos para locação e venda   Jardim Nova Aliança Sul</t>
  </si>
  <si>
    <t xml:space="preserve">Apartamento de 03 quartos para locação   Santa Cruz</t>
  </si>
  <si>
    <t xml:space="preserve">Apartamento de 88m² com 02 suítes à venda   Nova Aliança</t>
  </si>
  <si>
    <t xml:space="preserve">Apartamento de 138m² com 03 quartos à venda   Vila Seixas</t>
  </si>
  <si>
    <t xml:space="preserve">Apartamento de 70m² com 02 quartos à venda   Jardim Palma Travassos</t>
  </si>
  <si>
    <t xml:space="preserve">Apartamento de 107m² com 03 quartos sendo 02 suítes para locação e venda   Centro</t>
  </si>
  <si>
    <t xml:space="preserve">APARTAMENTO NO NOVA ALIANÇA SUL</t>
  </si>
  <si>
    <t xml:space="preserve">APARTAMENTO NO JARDIM AMÉRICA</t>
  </si>
  <si>
    <t xml:space="preserve">Apartamento de 95m² com 03 quarto com suíte à venda  Campos Elíseos</t>
  </si>
  <si>
    <t xml:space="preserve">Apartamento de 76m² com 02 suítes para locação   Nova Ribeirânia</t>
  </si>
  <si>
    <t xml:space="preserve">Apartamento de 131m² com 03 quartos sendo 01 suíte à venda   Centro</t>
  </si>
  <si>
    <t xml:space="preserve">Apartamento de 107m² com 03 quartos sendo 01 suíte á venda   Centro</t>
  </si>
  <si>
    <t xml:space="preserve">Apartamento de 104m² com 03 suítes á venda   Jardim Botânico</t>
  </si>
  <si>
    <t xml:space="preserve">Apartamento de 80m² com 3 quartos, 1 suíte   Jardim Botânico</t>
  </si>
  <si>
    <t xml:space="preserve">Apartamento de 88m² com 03 quartos para locação   Vila Ana Maria</t>
  </si>
  <si>
    <t xml:space="preserve">Apartamento de 03 dormitórios para locação   Jardim Botânico</t>
  </si>
  <si>
    <t xml:space="preserve">R$ 605.000,00</t>
  </si>
  <si>
    <t xml:space="preserve">Apartamento de 107m² com 03quartos à venda   Alto da Boa Vista</t>
  </si>
  <si>
    <t xml:space="preserve">R$ 606.000,00</t>
  </si>
  <si>
    <t xml:space="preserve">Apartamento de 77m² com 02 quartos à venda   Nova Aliança</t>
  </si>
  <si>
    <t xml:space="preserve">R$ 607.000,00</t>
  </si>
  <si>
    <t xml:space="preserve">Apartamento de 129 m² com 03 quartos para venda   Centro</t>
  </si>
  <si>
    <t xml:space="preserve">Apartamento de 93m² com 03 quartos à venda   Santa Cruz do José Jacques</t>
  </si>
  <si>
    <t xml:space="preserve">APARTAMENTO EM LOCALIZAÇÃO PRIVILEGIADA</t>
  </si>
  <si>
    <t xml:space="preserve">R$ 612.500,00</t>
  </si>
  <si>
    <t xml:space="preserve">Apartamento de 71m² com 02 quartos sendo 01 suíte para locação e venda   Quintas de São José</t>
  </si>
  <si>
    <t xml:space="preserve">APARTAMENTO NA VILA DO GOLF</t>
  </si>
  <si>
    <t xml:space="preserve">Apartamento de 104m² com 03 quartos à venda   Bosque das Juritis</t>
  </si>
  <si>
    <t xml:space="preserve">Apartamento de 51m² com 01 quarto para locação   Alto da Boa Vista</t>
  </si>
  <si>
    <t xml:space="preserve">Apartamento de 193m² com 4 quartos   Centro</t>
  </si>
  <si>
    <t xml:space="preserve">APARTAMENTO PRÓXIMO AO SHOPPPING IGUATEMI</t>
  </si>
  <si>
    <t xml:space="preserve">Apartamento de 04 quartos para locação  Higienópolis</t>
  </si>
  <si>
    <t xml:space="preserve">R$ 621.000,00</t>
  </si>
  <si>
    <t xml:space="preserve">Apartamento de 68m² com 02 quartos à venda   Nova Aliança</t>
  </si>
  <si>
    <t xml:space="preserve">R$ 621.280,69</t>
  </si>
  <si>
    <t xml:space="preserve">Apartamento de 80m² com 03 quartos à venda   City Ribeirão</t>
  </si>
  <si>
    <t xml:space="preserve">R$ 622.667,57</t>
  </si>
  <si>
    <t xml:space="preserve">APARTAMENTO MOBILIADO NO JARDIM BOTÂNICO</t>
  </si>
  <si>
    <t xml:space="preserve">R$ 626.000,00</t>
  </si>
  <si>
    <t xml:space="preserve">Apartamento de 82m² com 02 dormitórios sendo 01 suítes, rico em armários e totalmente climatizado, 02 vagas de garagens, para venda   Vila Florença, Bonfim Paulista.</t>
  </si>
  <si>
    <t xml:space="preserve">R$ 629.000,00</t>
  </si>
  <si>
    <t xml:space="preserve">LANÇAMENTO APARTAMENTO NO JARDIM BOTÂNICO</t>
  </si>
  <si>
    <t xml:space="preserve">R$ 629.990,00</t>
  </si>
  <si>
    <t xml:space="preserve">Apartamento de 101m² com 04 quartos à venda   Nova Aliança</t>
  </si>
  <si>
    <t xml:space="preserve">Apartamento de 107m² com 04 quartos para venda   Santa Cruz do José Jacques</t>
  </si>
  <si>
    <t xml:space="preserve">Apartamento de 79m² com 02 quartos à venda   Jardim Olhos D`Água II</t>
  </si>
  <si>
    <t xml:space="preserve">Apartamento de 81m² com 02 suítes para locação e venda   Nova Aliança</t>
  </si>
  <si>
    <t xml:space="preserve">Apartamento de 69m² com 02 quartos para locação   Jardim Olhos D´Água</t>
  </si>
  <si>
    <t xml:space="preserve">Apartamento mobiliado de 51m² com 01 quarto para locação e venda   Alto da Boa Vista</t>
  </si>
  <si>
    <t xml:space="preserve">R$ 636.000,00</t>
  </si>
  <si>
    <t xml:space="preserve">APARTAMENTO PRÓXIMO À AVENIDA JERÔNIMO GONÇALVES</t>
  </si>
  <si>
    <t xml:space="preserve">Apartamento de 125m² com 03 quartos</t>
  </si>
  <si>
    <t xml:space="preserve">Apartamento de 77m² com 03 quartos à venda   Jardim Botânico</t>
  </si>
  <si>
    <t xml:space="preserve">R$ 639.990,00</t>
  </si>
  <si>
    <t xml:space="preserve">Apartamento de 216m² com 03 quartos à venda   Centro</t>
  </si>
  <si>
    <t xml:space="preserve">Apartamento de 95m² com 03 quartos á venda   Bosque das Juritis</t>
  </si>
  <si>
    <t xml:space="preserve">Apartamento de 88m² com 02 quartos à venda   Bosque das Juritis</t>
  </si>
  <si>
    <t xml:space="preserve">Apartamento de 70m² com 02 quartos à venda   Ribeirânia</t>
  </si>
  <si>
    <t xml:space="preserve">APARTAMENTO NO CENTRO REFORMADO</t>
  </si>
  <si>
    <t xml:space="preserve">Apartamento de 116m² com 03 quartos para locação e venda   Jardim Nova Aliança</t>
  </si>
  <si>
    <t xml:space="preserve">Apartamento de 122m² com 3 quartos, sendo 1 suíte   Centro</t>
  </si>
  <si>
    <t xml:space="preserve">Apartamento de 76m² com 02 suítes à venda   Nova Ribeirânia</t>
  </si>
  <si>
    <t xml:space="preserve">R$ 645.000,00</t>
  </si>
  <si>
    <t xml:space="preserve">Apartamento de 84m² à venda   Bonfim Paulista</t>
  </si>
  <si>
    <t xml:space="preserve">R$ 598.000,00</t>
  </si>
  <si>
    <t xml:space="preserve">Apartamento de 63m² com 02 quartos sendo 01 suíte à venda   Jardim Sumaré</t>
  </si>
  <si>
    <t xml:space="preserve">Apartamento de 64m² com 02 quartos sendo 01 suíte à venda   Quinta da Primavera</t>
  </si>
  <si>
    <t xml:space="preserve">Apartamento de 81m² com com 02 suítes à venda   Nova Aliança</t>
  </si>
  <si>
    <t xml:space="preserve">Apartamento 173m² com 03 quartos à venda   Centro</t>
  </si>
  <si>
    <t xml:space="preserve">Apartamento de 95 m² com 3 quartos sendo 01 suíte 2 vagas à venda no Santa Cruz</t>
  </si>
  <si>
    <t xml:space="preserve">Apartamento de 124m com 03 quartos   Centro</t>
  </si>
  <si>
    <t xml:space="preserve">Apartamento de 77m² com 02 suítes   Nova Aliança</t>
  </si>
  <si>
    <t xml:space="preserve">Apartamento de 88m² com 02 quartos para locação   Bosque das Juritis</t>
  </si>
  <si>
    <t xml:space="preserve">BELÍSSIMO APTO NO NOVA ALIANÇA SUL</t>
  </si>
  <si>
    <t xml:space="preserve">Apartamento de 140 m²   03 quartos à venda   Nova Aliança</t>
  </si>
  <si>
    <t xml:space="preserve">Apartamento decorado no Nova Aliança, opção com toda mobília</t>
  </si>
  <si>
    <t xml:space="preserve">Excelente apartamento próximo a avenida Maurilio Biagi.</t>
  </si>
  <si>
    <t xml:space="preserve">Apartamento de 216m² com 03 quartos   Centro</t>
  </si>
  <si>
    <t xml:space="preserve">Apartamento reformado de 144m² com 03 suítes à venda ? Jardim Botânico Edifício Victoria</t>
  </si>
  <si>
    <t xml:space="preserve">Apartamento de 167m² com 04 quartos   Higienópolis</t>
  </si>
  <si>
    <t xml:space="preserve">Apartamento de 76m² com 02 suítes para venda   Nova Ribeirânia</t>
  </si>
  <si>
    <t xml:space="preserve">Apartamento de 118m² com 03 suítes para locação e venda   Jardim Botânico</t>
  </si>
  <si>
    <t xml:space="preserve">Apartamento de 132m² com 02 suítes para locação e venda   Jardim Botânico</t>
  </si>
  <si>
    <t xml:space="preserve">Apartamento de 142m² com 03 quartos sendo 01 suíte à venda   Centro</t>
  </si>
  <si>
    <t xml:space="preserve">Apartamento de 103m² com 03 quartos para locação   Vila Seixas</t>
  </si>
  <si>
    <t xml:space="preserve">Apartamento de 114m² com 03 quartos à venda   Jardim Paulista</t>
  </si>
  <si>
    <t xml:space="preserve">APARTAMENTO COM 2 SUÍTES NO NOVA ALIANÇA</t>
  </si>
  <si>
    <t xml:space="preserve">APARTAMENTO DIFERENCIADO NO BOTÂNICO</t>
  </si>
  <si>
    <t xml:space="preserve">Apartamento de 216m² com 03 quartos sendo 01 suíte à venda   Centro</t>
  </si>
  <si>
    <t xml:space="preserve">Apartamento de 111m² com 03 quartos para locação   Jardim Botânico</t>
  </si>
  <si>
    <t xml:space="preserve">Apartamento de 106m² com 03 suítes à venda   Jardim Botânico</t>
  </si>
  <si>
    <t xml:space="preserve">Apartamento de 146m² de 04 quartos à venda   Jardim São Luiz</t>
  </si>
  <si>
    <t xml:space="preserve">Apartamento de 151m² com 3 quartos   Santa Cruz do José Jacques</t>
  </si>
  <si>
    <t xml:space="preserve">Apartamento de 101m² com 03 quartos e sacada gourmet à venda   Nova Aliança</t>
  </si>
  <si>
    <t xml:space="preserve">R$ 659.900,00</t>
  </si>
  <si>
    <t xml:space="preserve">Apartamento de 73m² com 02 quartos à venda   Bosque das Juritis</t>
  </si>
  <si>
    <t xml:space="preserve">Apartamento de 90m² com 02 quartos para locação e venda   Bosque das Juritis</t>
  </si>
  <si>
    <t xml:space="preserve">APARTAMENTO NOVISSÍMO JARDIM BOTÂNICO ANDAR ALTO</t>
  </si>
  <si>
    <t xml:space="preserve">R$ 663.000,00</t>
  </si>
  <si>
    <t xml:space="preserve">Apartamento de 81m² com 02 suítes à venda   Nova Aliança</t>
  </si>
  <si>
    <t xml:space="preserve">Apartamento de 90m² com 02 quartos sendo 01 suíte à venda   Jardim Sumaré</t>
  </si>
  <si>
    <t xml:space="preserve">R$ 670.000,00</t>
  </si>
  <si>
    <t xml:space="preserve">Apartamento de 86m² com 03 quartos, sendo 01 suíte à venda   Quinta da Primavera</t>
  </si>
  <si>
    <t xml:space="preserve">Apartamento de 110m² com 03 quartos para venda   Jardim Paulista</t>
  </si>
  <si>
    <t xml:space="preserve">Apartamento de 120m² com 02 quartos sendo 01 suíte para venda e locação   Bosque das Juritis</t>
  </si>
  <si>
    <t xml:space="preserve">Apartamento de 61m² com 02 suítes e 02 vagas de garagem à venda   Nova Aliança</t>
  </si>
  <si>
    <t xml:space="preserve">R$ 670.038,58</t>
  </si>
  <si>
    <t xml:space="preserve">R$ 671.000,00</t>
  </si>
  <si>
    <t xml:space="preserve">R$ 673.006,00</t>
  </si>
  <si>
    <t xml:space="preserve">Apartamento de 73m² com 03 quartos à venda   Nova Aliança</t>
  </si>
  <si>
    <t xml:space="preserve">R$ 673.012,15</t>
  </si>
  <si>
    <t xml:space="preserve">Apartamento de 59m² com 01 quarto à venda   Jardim Irajá</t>
  </si>
  <si>
    <t xml:space="preserve">R$ 679.000,00</t>
  </si>
  <si>
    <t xml:space="preserve">Apartamento para locação de 104m² com 03 suítes   Jardim Botânico</t>
  </si>
  <si>
    <t xml:space="preserve">Apartamento de 144m² com 03 suítes à venda   Condomínio Itamaraty</t>
  </si>
  <si>
    <t xml:space="preserve">Apartamento de 78m² com 02 dormitórios para venda e locação   Jardim São Luiz</t>
  </si>
  <si>
    <t xml:space="preserve">Apartamento mobiliado de 90m² com 02 suítes para venda   Nova Aliança</t>
  </si>
  <si>
    <t xml:space="preserve">Apartamento de 150m² com 03 suítes para locação e venda   Centro</t>
  </si>
  <si>
    <t xml:space="preserve">Apartamento de 138m² com 03 quartos   Vila Seixas</t>
  </si>
  <si>
    <t xml:space="preserve">Apartamento 03 Dormitórios a venda   Nova Aliança</t>
  </si>
  <si>
    <t xml:space="preserve">Apartamento de 150m² com 03 suítes para locação   Centro</t>
  </si>
  <si>
    <t xml:space="preserve">Apartamento de 109m² com 03 suítes à venda   Jardim Botânico</t>
  </si>
  <si>
    <t xml:space="preserve">R$ 681.000,00</t>
  </si>
  <si>
    <t xml:space="preserve">Apartamento de 161m² com 03 quartos à venda   Ribeirânia</t>
  </si>
  <si>
    <t xml:space="preserve">R$ 683.000,00</t>
  </si>
  <si>
    <t xml:space="preserve">Apartamento com 85m² com 2 suítes à venda   Vila do Golfe</t>
  </si>
  <si>
    <t xml:space="preserve">R$ 685.000,00</t>
  </si>
  <si>
    <t xml:space="preserve">Apartamento de 66m² com 02 quartos à venda   Condomínio Itamaraty</t>
  </si>
  <si>
    <t xml:space="preserve">R$ 687.000,00</t>
  </si>
  <si>
    <t xml:space="preserve">Apartamento de 112m² com 03 quartos à venda   Santa Cruz do José Jacques</t>
  </si>
  <si>
    <t xml:space="preserve">Apartamento com 142 m² e 3 quartos   Jardim Sumaré</t>
  </si>
  <si>
    <t xml:space="preserve">Apartamento de 171m² com 04 quartos para venda e locação   Centro</t>
  </si>
  <si>
    <t xml:space="preserve">R$ 69.000,00</t>
  </si>
  <si>
    <t xml:space="preserve">Apartamento de 140m² com 03 quartos para venda e locação   Nova Aliança</t>
  </si>
  <si>
    <t xml:space="preserve">Apartamento de 95m² com 03 quartos para venda   Campos Elíseos</t>
  </si>
  <si>
    <t xml:space="preserve">Apartamento de 89m² com 02 quartos à venda   Bosque das Juritis</t>
  </si>
  <si>
    <t xml:space="preserve">Apartamento próximo ao Shopping Santa Úrsula</t>
  </si>
  <si>
    <t xml:space="preserve">Apartamento de 101m² com 04 quartos à venda   Jd. Nova Aliança</t>
  </si>
  <si>
    <t xml:space="preserve">Apartamento de 112m² com 03 quartos à venda   Nova Aliança</t>
  </si>
  <si>
    <t xml:space="preserve">Apartamento de 69m² com 02 quartos à venda   Vila Tibério</t>
  </si>
  <si>
    <t xml:space="preserve">Apartamento de 221m² com 03 quartos à venda   Centro</t>
  </si>
  <si>
    <t xml:space="preserve">R$ 692.000,00</t>
  </si>
  <si>
    <t xml:space="preserve">Apartamento de 83m² com 03 quartos à venda   Jardim Botânico</t>
  </si>
  <si>
    <t xml:space="preserve">R$ 692.131,58</t>
  </si>
  <si>
    <t xml:space="preserve">Apartamento de 93m² com 03 quartos à venda   Ribeirânia</t>
  </si>
  <si>
    <t xml:space="preserve">R$ 695.000,00</t>
  </si>
  <si>
    <t xml:space="preserve">R$ 697.000,00</t>
  </si>
  <si>
    <t xml:space="preserve">Apartamento de 134m² com 03 suítes para locação e venda   Jardim Olhos D`Água</t>
  </si>
  <si>
    <t xml:space="preserve">R$ 1.325.000,00</t>
  </si>
  <si>
    <t xml:space="preserve">Apartamento de 160m² com 03 suítes para locação e venda   Bosque das Juritis</t>
  </si>
  <si>
    <t xml:space="preserve">Apartamento de 153m² com 03 suítes para locação e venda   Jardim Olhos D`Água</t>
  </si>
  <si>
    <t xml:space="preserve">Apartamento de 124m² com 03 suítes para locação e venda   Jardim Canadá</t>
  </si>
  <si>
    <t xml:space="preserve">Apartamento de 186m² com 03 suítes para venda e locação   Jardim Nova Aliança</t>
  </si>
  <si>
    <t xml:space="preserve">Apartamento de 132m² com 02 suítes à venda   Bosque das Juritis</t>
  </si>
  <si>
    <t xml:space="preserve">Apartamento de 153m² com 03 suítes para locação e venda  Jardim Olhos D`Água</t>
  </si>
  <si>
    <t xml:space="preserve">Apartamento de 156m² com 03 suítes para locação e venda   Jardim Botânico</t>
  </si>
  <si>
    <t xml:space="preserve">Apartamento de 150m² com 03 suítes à venda   Jardim Olhos D`água</t>
  </si>
  <si>
    <t xml:space="preserve">Apartamento com 153 m², 03 quartos, para venda e locação   Jardim Olhos D´Água.</t>
  </si>
  <si>
    <t xml:space="preserve">Apartamento de 168 m² com 03 quartos para locação   Alto do Ipê</t>
  </si>
  <si>
    <t xml:space="preserve">Apartamento de 529m² com 04 suítes à venda   Jardim Botânico</t>
  </si>
  <si>
    <t xml:space="preserve">R$ 7.500.000,00</t>
  </si>
  <si>
    <t xml:space="preserve">Apartamento mobiliado de 83m² com 02 quartos sendo 01 suíte para locação e venda   Alamedas do Botânico</t>
  </si>
  <si>
    <t xml:space="preserve">Apartamento de 42m² com 02 quartos à venda   Jardim José Wilson Tony</t>
  </si>
  <si>
    <t xml:space="preserve">R$ 70.000,00</t>
  </si>
  <si>
    <t xml:space="preserve">Apartamento de 42m² com 02 quartos para locação e venda   Vila Abranches</t>
  </si>
  <si>
    <t xml:space="preserve">Apartamento de 48m² com 02 quartos   Jardim Wilson Toni</t>
  </si>
  <si>
    <t xml:space="preserve">Apartamento de 75,32m² com 02 Suítes para venda ? Nova Aliança</t>
  </si>
  <si>
    <t xml:space="preserve">AMPLO APARTAMENTO NO CENTRO</t>
  </si>
  <si>
    <t xml:space="preserve">EXCELENTE OPORTUNIDADE DE APARTAMENTO REFORMADO NO CENTRO</t>
  </si>
  <si>
    <t xml:space="preserve">Apartamento de 128m² com 03 quartos para venda e locação   Vila Seixas</t>
  </si>
  <si>
    <t xml:space="preserve">AMPLO AP MOBILIADO NO JARDIM IRAJÁ</t>
  </si>
  <si>
    <t xml:space="preserve">R$ 699.000,00</t>
  </si>
  <si>
    <t xml:space="preserve">Apartamento de 171m² com 04 quartos para locação e venda   Centro</t>
  </si>
  <si>
    <t xml:space="preserve">Apartamento de 196m² com 03 suítes à venda   City Ribeirão</t>
  </si>
  <si>
    <t xml:space="preserve">Apartamento de 156m² com 03 suítes à venda   Centro</t>
  </si>
  <si>
    <t xml:space="preserve">Apartamento de 125m² com 03 quartos sendo 01 suíte à venda   Jardim São Luiz</t>
  </si>
  <si>
    <t xml:space="preserve">Apartamento de 144m² com 03 suítes sendo 01 suíte à venda   Condomínio Itamaraty</t>
  </si>
  <si>
    <t xml:space="preserve">Apartamento de 64m² com 02 quartos para locação e venda   Quinta da Primavera</t>
  </si>
  <si>
    <t xml:space="preserve">Apartamento de 45m² com 01 quarto à venda   Vila do Golfe</t>
  </si>
  <si>
    <t xml:space="preserve">Apartamento de 90m² com 03 quartos para locação e venda   Jardim Sumaré</t>
  </si>
  <si>
    <t xml:space="preserve">Apartamento de 110m² com 03 quartos para venda e locação   Bonfim Paulista</t>
  </si>
  <si>
    <t xml:space="preserve">Apartamento de 83m² com 03 quartos   Jardim Botânico</t>
  </si>
  <si>
    <t xml:space="preserve">Apartamento de 110m² com 3 quartos à venda   Bonfim Paulista</t>
  </si>
  <si>
    <t xml:space="preserve">Apartamento de 131m² com 03 suítes à venda   Jardim Botânico</t>
  </si>
  <si>
    <t xml:space="preserve">Apartamento de 118m² com 03 suítes para venda   Jardim Botânico</t>
  </si>
  <si>
    <t xml:space="preserve">Apartamento de 156m² com 05 quartos sendo 02 suítes para locação e venda   Centro</t>
  </si>
  <si>
    <t xml:space="preserve">Apartamento de 107m² com 03 suítes suíte para locação   Jardim Paulista</t>
  </si>
  <si>
    <t xml:space="preserve">Apartamento de 84m² com 03 quartos à venda   Nova Aliança</t>
  </si>
  <si>
    <t xml:space="preserve">R$ 701.062,29</t>
  </si>
  <si>
    <t xml:space="preserve">Apartamento de 71m² com 03 quartos para venda   Ribeirânia</t>
  </si>
  <si>
    <t xml:space="preserve">R$ 711.691,01</t>
  </si>
  <si>
    <t xml:space="preserve">Apartamento de 81m² com 02 suítes   Vila Ana Maria</t>
  </si>
  <si>
    <t xml:space="preserve">R$ 712.000,00</t>
  </si>
  <si>
    <t xml:space="preserve">Apartamento mobiliado de 90m² com 03 quartos à venda e locação  Nova Aliança</t>
  </si>
  <si>
    <t xml:space="preserve">R$ 715.000,00</t>
  </si>
  <si>
    <t xml:space="preserve">Apartamento de 88m² com 02 suítes à venda   Quinta da Primavera</t>
  </si>
  <si>
    <t xml:space="preserve">Apartamento de 81m² com 2 suítes   Vila Ana Maria</t>
  </si>
  <si>
    <t xml:space="preserve">R$ 715.500,00</t>
  </si>
  <si>
    <t xml:space="preserve">R$ 716.600,00</t>
  </si>
  <si>
    <t xml:space="preserve">Apartamento de 71m² com 02 quartos sendo 01 suíte à venda   Jardim Irajá</t>
  </si>
  <si>
    <t xml:space="preserve">Apartamento de 118 m² com 03 suítes para locação e venda   Jardim Botânico.</t>
  </si>
  <si>
    <t xml:space="preserve">Apartamento de 150m² com 03 suítes   Centro</t>
  </si>
  <si>
    <t xml:space="preserve">Apartamento de 101m² com 03 quartos para locação   Jardim Nova Aliança</t>
  </si>
  <si>
    <t xml:space="preserve">Apartamento de 87m² com 02 suítes à venda   Jardim Olhos D`Água</t>
  </si>
  <si>
    <t xml:space="preserve">R$ 720.145,00</t>
  </si>
  <si>
    <t xml:space="preserve">Apartamento de 85m² com 02 quartos à venda   Nova Aliança</t>
  </si>
  <si>
    <t xml:space="preserve">R$ 720.604,00</t>
  </si>
  <si>
    <t xml:space="preserve">Apartamento de 74m² com 02 quartos à venda   Ribeirânia</t>
  </si>
  <si>
    <t xml:space="preserve">R$ 721.000,00</t>
  </si>
  <si>
    <t xml:space="preserve">Apartamento de 79m² com 03 quartos à venda   Nova Aliança</t>
  </si>
  <si>
    <t xml:space="preserve">R$ 722.363,68</t>
  </si>
  <si>
    <t xml:space="preserve">Apartamento de 81m² com 02 suítes à venda   Vila Ana Maria</t>
  </si>
  <si>
    <t xml:space="preserve">R$ 722.925,00</t>
  </si>
  <si>
    <t xml:space="preserve">R$ 723.500,00</t>
  </si>
  <si>
    <t xml:space="preserve">R$ 684.000,00</t>
  </si>
  <si>
    <t xml:space="preserve">Apartamento de 148m² com 04 quartos para locação   Santa Cruz do José Jacques</t>
  </si>
  <si>
    <t xml:space="preserve">R$ 727.125,00</t>
  </si>
  <si>
    <t xml:space="preserve">Apartamento de 85m² com 02 suítes para venda   Nova Aliança</t>
  </si>
  <si>
    <t xml:space="preserve">R$ 728.000,00</t>
  </si>
  <si>
    <t xml:space="preserve">Lançamento: Novèl   Apartamento de 92m² com 03 quartos sendo 01 suíte à venda   Nova Aliança</t>
  </si>
  <si>
    <t xml:space="preserve">R$ 729.000,00</t>
  </si>
  <si>
    <t xml:space="preserve">Apartamento de 106m² com 03 quartos à venda   Nova Aliança</t>
  </si>
  <si>
    <t xml:space="preserve">R$ 730.000,00</t>
  </si>
  <si>
    <t xml:space="preserve">R$ 731.850,00</t>
  </si>
  <si>
    <t xml:space="preserve">R$ 732.900,00</t>
  </si>
  <si>
    <t xml:space="preserve">Apartamento de 106m² com 03 quartos   Bosque da Juritis</t>
  </si>
  <si>
    <t xml:space="preserve">R$ 735.000,00</t>
  </si>
  <si>
    <t xml:space="preserve">Apartamento de 90m² com 03 quartos à venda   Jardim Olhos D`Água II</t>
  </si>
  <si>
    <t xml:space="preserve">R$ 737.760,00</t>
  </si>
  <si>
    <t xml:space="preserve">Apartamento de 214m² com 03 quartos à venda   Centro</t>
  </si>
  <si>
    <t xml:space="preserve">R$ 740.000,00</t>
  </si>
  <si>
    <t xml:space="preserve">Apartamento de 106m² com 03 quartos para locação e venda   Jardim Nova Aliança</t>
  </si>
  <si>
    <t xml:space="preserve">Apartamento de 127m² com 04 quartos para locação   Bairro Jardim Irajá</t>
  </si>
  <si>
    <t xml:space="preserve">Apartamento de 86m² com 03 quartos à venda   Quinta da Primavera</t>
  </si>
  <si>
    <t xml:space="preserve">Apartamento com 404m² com 06 quartos sendo 03 suítes à venda   Centro</t>
  </si>
  <si>
    <t xml:space="preserve">Apartamento de 155m² com 03 quartos   Centro</t>
  </si>
  <si>
    <t xml:space="preserve">Apartamento de 146m² com 04 quartos para locação e venda   Jardim São Luiz</t>
  </si>
  <si>
    <t xml:space="preserve">EXCELENTE APARTAMENTO À VENDA EM BONFIM PAULISTA</t>
  </si>
  <si>
    <t xml:space="preserve">Apartamento de 110m² com 02 suítes   Bonfim Paulista</t>
  </si>
  <si>
    <t xml:space="preserve">Pronto para Morar: Magnólia   Apartamento de 82m² com 03 quartos com suíte à venda   Jardim Botânico</t>
  </si>
  <si>
    <t xml:space="preserve">R$ 743.191,27</t>
  </si>
  <si>
    <t xml:space="preserve">APARTAMENTO 3 DORMITÓRIOS PR[OXIMO SHOPPING IGUATEMI</t>
  </si>
  <si>
    <t xml:space="preserve">R$ 744.000,00</t>
  </si>
  <si>
    <t xml:space="preserve">Apartamento de 88m² com 03 quartos à venda   Jardim Olhos D`Água II</t>
  </si>
  <si>
    <t xml:space="preserve">R$ 745.864,00</t>
  </si>
  <si>
    <t xml:space="preserve">Apartamento de 68m² com 02 suítes e 02 vagas de garagem à venda   Nova Aliança</t>
  </si>
  <si>
    <t xml:space="preserve">R$ 746.644,59</t>
  </si>
  <si>
    <t xml:space="preserve">Apartamento de 76m² com 02 quartos para venda   Jardim Botânico</t>
  </si>
  <si>
    <t xml:space="preserve">R$ 747.000,00</t>
  </si>
  <si>
    <t xml:space="preserve">Lançamento: Novèl   Apartamento de 94m² com 03 quartos sendo 01 suíte à venda   Nova Aliança</t>
  </si>
  <si>
    <t xml:space="preserve">R$ 749.000,00</t>
  </si>
  <si>
    <t xml:space="preserve">Apartamento mobiliado de 81m² com 02 suítes para locação e venda   Nova Aliança</t>
  </si>
  <si>
    <t xml:space="preserve">Apartamento de 43m² com 02 quartos para locação e venda   Jardim Diva Tarla de Carvalho</t>
  </si>
  <si>
    <t xml:space="preserve">Apartamento de 47m² com 2 quartos   Parque dos Lagos</t>
  </si>
  <si>
    <t xml:space="preserve">Apartamento 97m² à venda   Jardim Palma Travassos</t>
  </si>
  <si>
    <t xml:space="preserve">Apartamento de 125m² com 03 quartos à venda   Centro</t>
  </si>
  <si>
    <t xml:space="preserve">Apartamento de 86m² com 3 quartos à venda   Quinta da Primavera</t>
  </si>
  <si>
    <t xml:space="preserve">Apartamento de 196m² com 04 quartos à venda   City Ribeirão</t>
  </si>
  <si>
    <t xml:space="preserve">Apartamento de 106m² com 03 quartos   Nova Aliança</t>
  </si>
  <si>
    <t xml:space="preserve">Apartamento duplex de 184m² com 03 quartos   Centro</t>
  </si>
  <si>
    <t xml:space="preserve">R$ 720.800,00</t>
  </si>
  <si>
    <t xml:space="preserve">Apartamento de 98m² com 03 quartos para locação   Quinta da Primavera</t>
  </si>
  <si>
    <t xml:space="preserve">Apartamento de 90m² com 02 suítes para venda e locação   Bosque das Juritis</t>
  </si>
  <si>
    <t xml:space="preserve">Apartamento de 88m² com 02 suítes para locação e venda   Quinta da Primavera</t>
  </si>
  <si>
    <t xml:space="preserve">Apartamento de 173m² com 03 quartos para venda   Santa Cruz dos Jacques</t>
  </si>
  <si>
    <t xml:space="preserve">Apartamento de 72,5m² com 02 quartos à venda   Jardim Olhos D`Água II</t>
  </si>
  <si>
    <t xml:space="preserve">Apartamento de 90m² com 03 quartos à venda   Quinta da Primavera</t>
  </si>
  <si>
    <t xml:space="preserve">Apartamento de 88m² com 03 quartos sendo 01 suíte à venda   Vila Ana Maria</t>
  </si>
  <si>
    <t xml:space="preserve">Apartamento de 110m² com 02 suítes e varanda gourmet à venda   Bonfim Paulista</t>
  </si>
  <si>
    <t xml:space="preserve">Apartamento de 144m² com 03 suíte à venda   Jardim Irajá</t>
  </si>
  <si>
    <t xml:space="preserve">Apartamento de 105m² com 02 suítes para venda   Nova Aliança</t>
  </si>
  <si>
    <t xml:space="preserve">Apartamento de 124m² com 03 quartos à venda   Centro</t>
  </si>
  <si>
    <t xml:space="preserve">Apartamento de 101m² de 03 quartos para locação e venda   Bairro Nova Aliança</t>
  </si>
  <si>
    <t xml:space="preserve">Apartamento de 212m² com 03 quartos à venda   Centro</t>
  </si>
  <si>
    <t xml:space="preserve">Apartamento de 173m² com 04 quartos à venda em condomínio   Jardim São Luiz</t>
  </si>
  <si>
    <t xml:space="preserve">Apartamento de 170m² com 03 quartos à venda   Santa Cruz do José Jacques</t>
  </si>
  <si>
    <t xml:space="preserve">Apartamento de 125m² com 03 quartos á venda   Jardim Irajá</t>
  </si>
  <si>
    <t xml:space="preserve">LINDO APARTAMENTO NO BOTÂNICO</t>
  </si>
  <si>
    <t xml:space="preserve">Apartamento de 86m² com 02 suítes para locação e venda   Quinta da primavera</t>
  </si>
  <si>
    <t xml:space="preserve">R$ 751.000,00</t>
  </si>
  <si>
    <t xml:space="preserve">Apartamento de 127m² com 03 quartos à venda   Jardim Irajá</t>
  </si>
  <si>
    <t xml:space="preserve">Apartamento à venda com 2 quartos   Jardim Olhos D`Água</t>
  </si>
  <si>
    <t xml:space="preserve">R$ 751.248,00</t>
  </si>
  <si>
    <t xml:space="preserve">Apartamento de 90m² com 02 suítes para locação   Bosque das Juritis</t>
  </si>
  <si>
    <t xml:space="preserve">R$ 755.000,00</t>
  </si>
  <si>
    <t xml:space="preserve">Apartamento de 75m² com 03 quartos à venda   Nova Aliança</t>
  </si>
  <si>
    <t xml:space="preserve">R$ 756.840,15</t>
  </si>
  <si>
    <t xml:space="preserve">Apartamento de 69m² com 02 quartos à venda   Jardim Sumaré</t>
  </si>
  <si>
    <t xml:space="preserve">R$ 759.000,00</t>
  </si>
  <si>
    <t xml:space="preserve">R$ 759.675,00</t>
  </si>
  <si>
    <t xml:space="preserve">Apartamento mobiliado de 58m² com 02 quartos à venda   Jardim Sumaré</t>
  </si>
  <si>
    <t xml:space="preserve">R$ 760.000,00</t>
  </si>
  <si>
    <t xml:space="preserve">R$ 760.725,00</t>
  </si>
  <si>
    <t xml:space="preserve">R$ 763.000,00</t>
  </si>
  <si>
    <t xml:space="preserve">Apartamento de 114m² com 03 quartos  Jardim Irajá</t>
  </si>
  <si>
    <t xml:space="preserve">R$ 765.000,00</t>
  </si>
  <si>
    <t xml:space="preserve">Apartamento de 90m² com 03 quartos à venda   Jardim Olhos d´agua</t>
  </si>
  <si>
    <t xml:space="preserve">R$ 765.651,19</t>
  </si>
  <si>
    <t xml:space="preserve">Apartamento de 204m² com 03 quartos para venda   Centro</t>
  </si>
  <si>
    <t xml:space="preserve">Apartamento de 151m² com 03 quartos à venda   Santa Cruz do José Jacques</t>
  </si>
  <si>
    <t xml:space="preserve">Apartamento de 51m² com 01 quartos para a locação e venda   Alto da Boa Vista</t>
  </si>
  <si>
    <t xml:space="preserve">Apartamento de 124m² com 03 quartos sendo 02 suítes à venda   Centro</t>
  </si>
  <si>
    <t xml:space="preserve">Apartamento de 123m² com 03 quartos à venda   Jardim Paulista</t>
  </si>
  <si>
    <t xml:space="preserve">R$ 775.000,00</t>
  </si>
  <si>
    <t xml:space="preserve">Apartamento de 146m² com 03 suítes à venda   Santa Cruz do José Jacques</t>
  </si>
  <si>
    <t xml:space="preserve">R$ 776.382,00</t>
  </si>
  <si>
    <t xml:space="preserve">Apartamento de 317m² com 04 suítes à venda   Centro</t>
  </si>
  <si>
    <t xml:space="preserve">Apartamento de 86m² com 02 suítes à venda   Bosque das Juritis</t>
  </si>
  <si>
    <t xml:space="preserve">R$ 713.000,00</t>
  </si>
  <si>
    <t xml:space="preserve">Apartamento de 111m² com 03 quartos à venda   Jardim Nova Aliança Sul</t>
  </si>
  <si>
    <t xml:space="preserve">Apartamento à venda de 111m² com 04 quartos   Jardim Nova Aliança Sul</t>
  </si>
  <si>
    <t xml:space="preserve">Apartamento de 90m² com 02 suítes para venda e locação   Quinta da Primavera</t>
  </si>
  <si>
    <t xml:space="preserve">Apartamento de 60m² com 02 quartos sendo 01 suíte para locação e venda   Jardim Sumaré</t>
  </si>
  <si>
    <t xml:space="preserve">Apartamento de 111m² com 02 suítes à venda   Nova Aliança</t>
  </si>
  <si>
    <t xml:space="preserve">Apartamento de 73m² com 02 suítes à venda   Bosque das Juritis</t>
  </si>
  <si>
    <t xml:space="preserve">R$ 788.222,67</t>
  </si>
  <si>
    <t xml:space="preserve">R$ 788.375,15</t>
  </si>
  <si>
    <t xml:space="preserve">Apartamento de 107m² com 03 quartos à venda   Jardim Paulista</t>
  </si>
  <si>
    <t xml:space="preserve">R$ 790.000,00</t>
  </si>
  <si>
    <t xml:space="preserve">Apartamento de 68m² com 02 quartos à venda   Vila do Golfe</t>
  </si>
  <si>
    <t xml:space="preserve">Apartamento de 98m² com 03 quartos sendo 01 suíte à venda   Quinta da Primavera</t>
  </si>
  <si>
    <t xml:space="preserve">R$ 791.955,00</t>
  </si>
  <si>
    <t xml:space="preserve">Apartamento de 85m² com 02 suítes à venda   Nova Aliança</t>
  </si>
  <si>
    <t xml:space="preserve">Apartamento de 161m² com 04 quartos à venda   Ribeirânia</t>
  </si>
  <si>
    <t xml:space="preserve">R$ 764.000,00</t>
  </si>
  <si>
    <t xml:space="preserve">Apartamento mobiliado de 56m² com 01 suíte para locação e venda   Jardim Botânico</t>
  </si>
  <si>
    <t xml:space="preserve">Apartamento de 151m² com 03 quartos   Santa Cruz do José Jacques</t>
  </si>
  <si>
    <t xml:space="preserve">Apartamento de 122m² com 03 suítes à venda   Jardim Botânico</t>
  </si>
  <si>
    <t xml:space="preserve">R$ 797.300,56</t>
  </si>
  <si>
    <t xml:space="preserve">Apartamento de 114m² com 03 quartos à venda   Jardim Botânico</t>
  </si>
  <si>
    <t xml:space="preserve">R$ 798.000,00</t>
  </si>
  <si>
    <t xml:space="preserve">Apartamento de 160m² com 03 quartos para venda e locação   Jardim Botânico</t>
  </si>
  <si>
    <t xml:space="preserve">Apartamento de 170m² com 03 suítes para locação e venda   Vila do Golf</t>
  </si>
  <si>
    <t xml:space="preserve">Apartamento de 170 m² com 03 suítes para locação e venda   Vila do Golfe.</t>
  </si>
  <si>
    <t xml:space="preserve">R$ 1.299.000,00</t>
  </si>
  <si>
    <t xml:space="preserve">Apartamento de 227m² com 04 suítes para locação e venda   Jardim Botânico</t>
  </si>
  <si>
    <t xml:space="preserve">Apartamento de 227m² com 03 suítes para venda e locação   Jardim Botânico</t>
  </si>
  <si>
    <t xml:space="preserve">R$ 1.683.000,00</t>
  </si>
  <si>
    <t xml:space="preserve">Apartamento de 124m² com 03 suítes para a venda e locação   Jardim Olhos D`Água</t>
  </si>
  <si>
    <t xml:space="preserve">Apartamento de 42m² com 02 quartos á venda   Jardim José Wilson Toni</t>
  </si>
  <si>
    <t xml:space="preserve">R$ 80.000,00</t>
  </si>
  <si>
    <t xml:space="preserve">APARTAMENTO NO WILSON TONI</t>
  </si>
  <si>
    <t xml:space="preserve">APARTAMENTO NO RESIDENCIAL WILSON TONI</t>
  </si>
  <si>
    <t xml:space="preserve">Apartamento de 43m² com 02 quartos à venda   Jardim Florestan Fernandes</t>
  </si>
  <si>
    <t xml:space="preserve">Apartamento de 48m² com 02 quartos para locação e venda   Quintino Facci II</t>
  </si>
  <si>
    <t xml:space="preserve">Apartamento de 47m² com 02 quartos   Ipiranga</t>
  </si>
  <si>
    <t xml:space="preserve">Apartamento de 58m² com 02 quartos à venda   Ribeirânia</t>
  </si>
  <si>
    <t xml:space="preserve">Apartamento de 172m² com 03 suítes à venda   Centro</t>
  </si>
  <si>
    <t xml:space="preserve">Apartamento de 101m² com 03 quartos à venda   Bairro Jardim Nova Aliança Sul</t>
  </si>
  <si>
    <t xml:space="preserve">Apartamento de 173m² com 04 quartos à venda   Centro</t>
  </si>
  <si>
    <t xml:space="preserve">Apartamento de 84m² com 02 suítes à venda   Quinta da Primavera</t>
  </si>
  <si>
    <t xml:space="preserve">Apartamento de 63m² com 02 quartos para locação   Alamedas do Botânico</t>
  </si>
  <si>
    <t xml:space="preserve">Apartamento de 147 m² com 04 quartos para locação   Santa Cruz do José Jacques.</t>
  </si>
  <si>
    <t xml:space="preserve">Apartamento de 111m² com 03 quartos para locação e venda   Nova Aliança</t>
  </si>
  <si>
    <t xml:space="preserve">Apartamento de 90m² com 02 suítes à venda   Quinta da Primavera</t>
  </si>
  <si>
    <t xml:space="preserve">Apartamento de 71m² com 03 quartos à venda   Ribeirânia</t>
  </si>
  <si>
    <t xml:space="preserve">Apartamento de 04 quartos para locação e venda   Centro</t>
  </si>
  <si>
    <t xml:space="preserve">Apartamento de 368m² com 04 quartos à venda   Centro</t>
  </si>
  <si>
    <t xml:space="preserve">Apartamento de 87m² com 03 quartos à venda   Jardim América</t>
  </si>
  <si>
    <t xml:space="preserve">Apartamento de 105m² com 03 suítes à venda   Quinta da Primavera</t>
  </si>
  <si>
    <t xml:space="preserve">R$ 812.000,00</t>
  </si>
  <si>
    <t xml:space="preserve">Apartamento de 86m² com 03 quartos sendo 01 suíte à venda   Quinta da Primavera</t>
  </si>
  <si>
    <t xml:space="preserve">Apartamento de 131m² com 03 quartos à venda   Jardim Irajá</t>
  </si>
  <si>
    <t xml:space="preserve">Apartamento de 118m² com 03 suítes à venda   Jardim Olhos D`Água II</t>
  </si>
  <si>
    <t xml:space="preserve">Apartamento de 111m² com 02 suítes   Jardim Nova Aliança</t>
  </si>
  <si>
    <t xml:space="preserve">Apartamento de 128m² com 03 suítes para locação e venda   Jardim Canadá</t>
  </si>
  <si>
    <t xml:space="preserve">Apartamento de 127M² com 03 Quartos a venda   Jardim Iraja</t>
  </si>
  <si>
    <t xml:space="preserve">Apartamento de 93m² com 03 quartos sendo 01 suíte à venda   Jardim Botânico</t>
  </si>
  <si>
    <t xml:space="preserve">Apartamento de 137m² com 03 quartos à venda   Jardim Botânico</t>
  </si>
  <si>
    <t xml:space="preserve">R$ 830.000,00</t>
  </si>
  <si>
    <t xml:space="preserve">R$ 832.522,56</t>
  </si>
  <si>
    <t xml:space="preserve">R$ 835.442,19</t>
  </si>
  <si>
    <t xml:space="preserve">Apartamento de 42m² com 02 quartos para locação   Jardim Itaú</t>
  </si>
  <si>
    <t xml:space="preserve">Apartamento mobiliado de 119m² com 02 suítes para venda   Jardim Paulista</t>
  </si>
  <si>
    <t xml:space="preserve">R$ 840.000,00</t>
  </si>
  <si>
    <t xml:space="preserve">R$ 845.250,00</t>
  </si>
  <si>
    <t xml:space="preserve">Apartamento de 173m² com 03 quartos para a locação   Centro</t>
  </si>
  <si>
    <t xml:space="preserve">Apartamento de 96m² com 03 quartos para locação   Jardim Irajá</t>
  </si>
  <si>
    <t xml:space="preserve">R$ 85.000,00</t>
  </si>
  <si>
    <t xml:space="preserve">Apartamento de 117m² à venda   Jardim Botânico</t>
  </si>
  <si>
    <t xml:space="preserve">Apartamento com 110m² com 02 suítes para locação e venda   Bonfim Paulista</t>
  </si>
  <si>
    <t xml:space="preserve">Apartamento de 153m² com 03 suítes à venda   Centro</t>
  </si>
  <si>
    <t xml:space="preserve">Apartamento de 128m² com 03 suítes à venda   Jardim Canadá</t>
  </si>
  <si>
    <t xml:space="preserve">Apartamento de 79m² com 02 quartos à venda   Jardim Sumaré</t>
  </si>
  <si>
    <t xml:space="preserve">Apartamento de 109m² com 03 suítes á venda   Jardim Olhos D´Água</t>
  </si>
  <si>
    <t xml:space="preserve">Apartamento de 86m² com 02 suítes para venda e locação   Bosque das Juritis</t>
  </si>
  <si>
    <t xml:space="preserve">Apartamento de 114m² com 04 quartos à venda   Jardim Irajá</t>
  </si>
  <si>
    <t xml:space="preserve">Apartamento mobiliado de 63m² com 01 suíte   Nova aliança</t>
  </si>
  <si>
    <t xml:space="preserve">Apartamento de 110m² com 02 suítes à venda   Bonfim Paulista</t>
  </si>
  <si>
    <t xml:space="preserve">Apartamento de 87m² com 03 quartos para locação   Jardim Olhos D`Água</t>
  </si>
  <si>
    <t xml:space="preserve">Apartamento de 118m² com 03 quartos à venda   Jardim Botânico</t>
  </si>
  <si>
    <t xml:space="preserve">Apartamento duplex de 118m² com 03 suítes à venda   Jardim Olhos D`Água II</t>
  </si>
  <si>
    <t xml:space="preserve">Apartamento de 118m² com 02 quartos à venda   Jardim Botânico</t>
  </si>
  <si>
    <t xml:space="preserve">APARTAMENTO COM VISTA LIVRE NO JARDIM BOTÂNICO</t>
  </si>
  <si>
    <t xml:space="preserve">Apartamento de 90m² semi mobiliado com 02 suítes para locação   Bosque das Juritis</t>
  </si>
  <si>
    <t xml:space="preserve">Apartamento de 146m² com 04 quartos à venda   Jardim São Luiz</t>
  </si>
  <si>
    <t xml:space="preserve">Apartamento de 232m² com 04 quartos à venda   Centro</t>
  </si>
  <si>
    <t xml:space="preserve">Apartamento de 03 quartos para locação   Bosque das Juritis</t>
  </si>
  <si>
    <t xml:space="preserve">Apartamento de 90m² com 02 suítes à venda   Bosque das Juritis</t>
  </si>
  <si>
    <t xml:space="preserve">Apartamento de 147m² com 03 quartos á venda   Jardim São Luiz</t>
  </si>
  <si>
    <t xml:space="preserve">Apartamento de 97m² com 02 suítes à venda   Jardim Irajá</t>
  </si>
  <si>
    <t xml:space="preserve">R$ 816.510,82</t>
  </si>
  <si>
    <t xml:space="preserve">Apartamento de 432m² com 06 quartos para locação e venda  Centro</t>
  </si>
  <si>
    <t xml:space="preserve">Apartamento de 131m² com 03 quartos para locação e venda   Jardim Irajá</t>
  </si>
  <si>
    <t xml:space="preserve">Apartamento de 108m² com 03 suítes à venda   Vila do Golfe</t>
  </si>
  <si>
    <t xml:space="preserve">R$ 862.405,00</t>
  </si>
  <si>
    <t xml:space="preserve">Apartamento de 87m² com 02 suítes à venda   Jardim Olhos D`Água II</t>
  </si>
  <si>
    <t xml:space="preserve">R$ 864.974,00</t>
  </si>
  <si>
    <t xml:space="preserve">R$ 868.350,00</t>
  </si>
  <si>
    <t xml:space="preserve">R$ 87.000,00</t>
  </si>
  <si>
    <t xml:space="preserve">Apartamento de 133m² com 03 quartos sendo 01 suíte à venda   Jardim Nova Aliança Sul</t>
  </si>
  <si>
    <t xml:space="preserve">R$ 870.000,00</t>
  </si>
  <si>
    <t xml:space="preserve">Apartamento de 80m² com 02 suítes à venda   Jardim Olhos D`água</t>
  </si>
  <si>
    <t xml:space="preserve">APARTAMENTO NO JARDIM OLHOS D´ÁGUA II</t>
  </si>
  <si>
    <t xml:space="preserve">Apartamento de 133m² com 03 quartos à venda   Jardim Nova Aliança Sul</t>
  </si>
  <si>
    <t xml:space="preserve">Apartamento de 95m² com 03 quartos para venda   Bosque das Juritis</t>
  </si>
  <si>
    <t xml:space="preserve">R$ 874.500,00</t>
  </si>
  <si>
    <t xml:space="preserve">Apartamento de 86m² com 02 suítes para venda   Bosque das Juritis</t>
  </si>
  <si>
    <t xml:space="preserve">R$ 875.000,00</t>
  </si>
  <si>
    <t xml:space="preserve">Apartamento de 133m² com 03 quartos para venda   Jardim Nova Aliança Sul</t>
  </si>
  <si>
    <t xml:space="preserve">R$ 879.000,00</t>
  </si>
  <si>
    <t xml:space="preserve">Apartamento de 97m² com 03 dormitórios   Jardim Irajá</t>
  </si>
  <si>
    <t xml:space="preserve">R$ 879.802,29</t>
  </si>
  <si>
    <t xml:space="preserve">Apartamento de 108m² com 03 quartos para venda e locação   Jardim Botânico</t>
  </si>
  <si>
    <t xml:space="preserve">Apartamento de 75m² com 02 suítes à venda   Nova Aliança</t>
  </si>
  <si>
    <t xml:space="preserve">Apartamento de 140² com 03 suítes a venda   Nova Aliança</t>
  </si>
  <si>
    <t xml:space="preserve">R$ 881.961,63</t>
  </si>
  <si>
    <t xml:space="preserve">Apartamento de 114m² com 03 suítes à venda   Vila Ana Maria</t>
  </si>
  <si>
    <t xml:space="preserve">R$ 889.667,43</t>
  </si>
  <si>
    <t xml:space="preserve">Apartamento de 93m² com 02 suítes à venda   Jardim Botânico</t>
  </si>
  <si>
    <t xml:space="preserve">Apartamento de 432m² com 03 suítes à venda   Centro</t>
  </si>
  <si>
    <t xml:space="preserve">Apartamento de 442m² com 04 quartos à venda   Centro</t>
  </si>
  <si>
    <t xml:space="preserve">Apartamento de 183m² com 03 quartos à venda   Santa Cruz do José Jacques</t>
  </si>
  <si>
    <t xml:space="preserve">Apartamento de 218m² com 03 suítes e varanda gourmet para locação e venda   Bosque das Juritis</t>
  </si>
  <si>
    <t xml:space="preserve">R$ 90.000,00</t>
  </si>
  <si>
    <t xml:space="preserve">Apartamento de 41m² com 02 quartos para venda e locação   Sílvio Passalacqua</t>
  </si>
  <si>
    <t xml:space="preserve">R$ 133.000,00</t>
  </si>
  <si>
    <t xml:space="preserve">Apartamento de 45m² com 02 quartos à venda   Vila Abranches</t>
  </si>
  <si>
    <t xml:space="preserve">Apartamento de 42m² com 02 quartos para locação e venda   Valentina Figueiredo</t>
  </si>
  <si>
    <t xml:space="preserve">Apartamento de 55m² 2 quartos para locação   Vila Virginia</t>
  </si>
  <si>
    <t xml:space="preserve">Apartamento de 34m² com 01 suíte para locação   Jardim Palma Travassos</t>
  </si>
  <si>
    <t xml:space="preserve">Apartamento de 80m² com 03 quartos à venda   Bosque das Juritis</t>
  </si>
  <si>
    <t xml:space="preserve">R$ 649.000,00</t>
  </si>
  <si>
    <t xml:space="preserve">Apartamento de 144m² com 03 suítes à venda   Jardim Irajá</t>
  </si>
  <si>
    <t xml:space="preserve">Apartamento de 180m² com 04 quartos à venda   Jardim São Luiz</t>
  </si>
  <si>
    <t xml:space="preserve">APARTAMENTO NO HIGIENÓPOLIS</t>
  </si>
  <si>
    <t xml:space="preserve">Apartamento de 108m² com 3 quartos sendo 1 suíte à venda   Bosque das Juritis</t>
  </si>
  <si>
    <t xml:space="preserve">Apartamento de 108m² com 03 suítes à venda   Bosque das Juritis</t>
  </si>
  <si>
    <t xml:space="preserve">Apartamento 99m² com 03 suítes para locação   Jardim Botânico</t>
  </si>
  <si>
    <t xml:space="preserve">EXCELENTE APARTAMENTO NO BAIRRO JARDIM IRAJÁ</t>
  </si>
  <si>
    <t xml:space="preserve">Apartamento de 90 m² com 02 quartos para locação   Quinta da Primavera</t>
  </si>
  <si>
    <t xml:space="preserve">Apartamento de 156m² com 04 quartos para locação e venda   Centro</t>
  </si>
  <si>
    <t xml:space="preserve">Apartamento com 128m² com 03 quartos   Vila do Golf.</t>
  </si>
  <si>
    <t xml:space="preserve">Apartamento com 135m² de 03 suítes à venda   Jardim Botânico</t>
  </si>
  <si>
    <t xml:space="preserve">Apartamento de 131m² com 04 quartos para locação   Jardim Irajá</t>
  </si>
  <si>
    <t xml:space="preserve">Apartamento de 79m² com 03 quartos para venda   Jardim Nova Aliança Sul</t>
  </si>
  <si>
    <t xml:space="preserve">Apartamento de 56m² mobiliado com 01 suíte para locação e venda   Jardim Botânico</t>
  </si>
  <si>
    <t xml:space="preserve">R$ 901.000,00</t>
  </si>
  <si>
    <t xml:space="preserve">Apartamento de 56m² mobiliado com 01 suíte para locação   Jardim Botânico</t>
  </si>
  <si>
    <t xml:space="preserve">Apartamento de 92m² com 02 quartos à venda   Jardim Ilhas do Sul</t>
  </si>
  <si>
    <t xml:space="preserve">R$ 898.799,28</t>
  </si>
  <si>
    <t xml:space="preserve">Apartamento de 212m² com 3 quartos à venda   Centro</t>
  </si>
  <si>
    <t xml:space="preserve">R$ 910.000,00</t>
  </si>
  <si>
    <t xml:space="preserve">Apartamento de 87m² com 02 suítes à venda   Jardim Olhos D`água</t>
  </si>
  <si>
    <t xml:space="preserve">R$ 866.600,00</t>
  </si>
  <si>
    <t xml:space="preserve">Apartamento de 88m² com 02 suítes à venda   Jardim Olhos D`Água II</t>
  </si>
  <si>
    <t xml:space="preserve">R$ 912.189,00</t>
  </si>
  <si>
    <t xml:space="preserve">Apartamento de 133m² com 04 quartos à venda   Jardim Nova Aliança Sul</t>
  </si>
  <si>
    <t xml:space="preserve">R$ 899.000,00</t>
  </si>
  <si>
    <t xml:space="preserve">Apartamento de 121m² com 03 suítes para locação e venda   Nova Aliança</t>
  </si>
  <si>
    <t xml:space="preserve">R$ 915.000,00</t>
  </si>
  <si>
    <t xml:space="preserve">Apartamento mobiliado de 93m² com 02 suítes para venda   Jardim Botânico</t>
  </si>
  <si>
    <t xml:space="preserve">Apartamento de 113m² com 03 suítes à venda   Jardim Olhos d´agua</t>
  </si>
  <si>
    <t xml:space="preserve">R$ 918.799,00</t>
  </si>
  <si>
    <t xml:space="preserve">Apartamento de 221m² com 03 quartos para locação e venda   Centro</t>
  </si>
  <si>
    <t xml:space="preserve">Apartamento 130m² com 02 quartos para locação   Campos Elíseos</t>
  </si>
  <si>
    <t xml:space="preserve">R$ 923.000,00</t>
  </si>
  <si>
    <t xml:space="preserve">Apartamento de 111m² com 03 suítes à venda   Jardim Olhos D`Água</t>
  </si>
  <si>
    <t xml:space="preserve">R$ 924.620,00</t>
  </si>
  <si>
    <t xml:space="preserve">R$ 938.629,00</t>
  </si>
  <si>
    <t xml:space="preserve">R$ 949.000,00</t>
  </si>
  <si>
    <t xml:space="preserve">R$ 95.500,00</t>
  </si>
  <si>
    <t xml:space="preserve">R$ 143.000,00</t>
  </si>
  <si>
    <t xml:space="preserve">Apartamento de 42m² com 02 quartos para venda e locação   Quintino Facci II</t>
  </si>
  <si>
    <t xml:space="preserve">Apartamento de 173m² mobiliado com 04 quartos à venda   Jardim São Luiz</t>
  </si>
  <si>
    <t xml:space="preserve">Apartamento de 124m² com 03 suítes para venda   Jardim Olhos D`água</t>
  </si>
  <si>
    <t xml:space="preserve">Apartamento de 137m² com 03 suítes à venda   Jardim São Luiz</t>
  </si>
  <si>
    <t xml:space="preserve">Apartamento com 109m² com 03 suítes para locação e venda   Plazas de España</t>
  </si>
  <si>
    <t xml:space="preserve">Apartamento de 100m² com 02 suítes à venda   Jardim Botânico</t>
  </si>
  <si>
    <t xml:space="preserve">Apartamento de 107m² com 03 quartos para locação e venda   Santa Cruz do José Jacques</t>
  </si>
  <si>
    <t xml:space="preserve">Apartamento de 264m² com 03 suítes para locação   Centro</t>
  </si>
  <si>
    <t xml:space="preserve">Apartamento de 137m² com 03 suítes para locação   Jardim Botânico</t>
  </si>
  <si>
    <t xml:space="preserve">Apartamento de 187m² com 05 quartos à venda   Vila Seixas</t>
  </si>
  <si>
    <t xml:space="preserve">Apartamento de 114m² com 03 quartos para venda   Jardim Irajá</t>
  </si>
  <si>
    <t xml:space="preserve">R$ 954.000,00</t>
  </si>
  <si>
    <t xml:space="preserve">Ótimo apartamento próximo à Avenida João Fiúsa</t>
  </si>
  <si>
    <t xml:space="preserve">Apartamento de 127m² com 03 suítes à venda   Nova Aliança</t>
  </si>
  <si>
    <t xml:space="preserve">R$ 955.000,00</t>
  </si>
  <si>
    <t xml:space="preserve">Apartamento de 59m² com 02 quartos á venda   Ribeirânia</t>
  </si>
  <si>
    <t xml:space="preserve">R$ 956.437,00</t>
  </si>
  <si>
    <t xml:space="preserve">R$ 958.460,00</t>
  </si>
  <si>
    <t xml:space="preserve">R$ 96.000,00</t>
  </si>
  <si>
    <t xml:space="preserve">APARTAMENTONO RESIDENCIAL DAS AMÉRICAS</t>
  </si>
  <si>
    <t xml:space="preserve">Apartamento de 314m² com 04 quartos   Centro</t>
  </si>
  <si>
    <t xml:space="preserve">Apartamento mobiliado de 143m² com 03 quartos para venda e locação   Jardim Irajá</t>
  </si>
  <si>
    <t xml:space="preserve">Apartamento de 109m² com 03 quartos à venda   Jardim Olhos D`Água</t>
  </si>
  <si>
    <t xml:space="preserve">Apartamento mobiliado de 90m² com 03 quartos à venda   Nova Aliança</t>
  </si>
  <si>
    <t xml:space="preserve">Apartamento de 106m² com 03 quartos para venda e locação   Jardim Botânico</t>
  </si>
  <si>
    <t xml:space="preserve">Apartamento de 126m² com 03 suítes à venda   Vila Ana Maria</t>
  </si>
  <si>
    <t xml:space="preserve">R$ 962.242,62</t>
  </si>
  <si>
    <t xml:space="preserve">R$ 968.542,00</t>
  </si>
  <si>
    <t xml:space="preserve">Apartamento de 45m² com 02 quartos para venda   João Rossi</t>
  </si>
  <si>
    <t xml:space="preserve">R$ 97.000,00</t>
  </si>
  <si>
    <t xml:space="preserve">Apartamento de 131m² com 03 suítes para locação e venda   Nova Aliança</t>
  </si>
  <si>
    <t xml:space="preserve">R$ 926.000,00</t>
  </si>
  <si>
    <t xml:space="preserve">R$ 974.700,00</t>
  </si>
  <si>
    <t xml:space="preserve">R$ 975.106,24</t>
  </si>
  <si>
    <t xml:space="preserve">R$ 978.000,00</t>
  </si>
  <si>
    <t xml:space="preserve">Apartamento de 132m² com 03 suítes à venda   Residencial Alto do Ipê</t>
  </si>
  <si>
    <t xml:space="preserve">R$ 98.000,00</t>
  </si>
  <si>
    <t xml:space="preserve">Apartamento de 34m² com 01 quarto para locação   Vila Monte Alegre</t>
  </si>
  <si>
    <t xml:space="preserve">Apartamento de 86m² com 02 suítes para locação e venda   Jardim Botânico</t>
  </si>
  <si>
    <t xml:space="preserve">Apartamento de 97m² com 02 suítes à venda   Jardim Olhos D`Água</t>
  </si>
  <si>
    <t xml:space="preserve">Apartamento de 100m² com 02 quartos sendo 01 suíte à venda   Jardim Irajá</t>
  </si>
  <si>
    <t xml:space="preserve">Apartamento de 100m² com 02 suítes para locação e venda  Jardim Botânico</t>
  </si>
  <si>
    <t xml:space="preserve">Apartamento com 54m² com 2 quartos à venda   Jardim Anhanguera</t>
  </si>
  <si>
    <t xml:space="preserve">R$ 183.000,00</t>
  </si>
  <si>
    <t xml:space="preserve">Apartamento de 100m² com 03 quartos à venda   Condomínio Domaine Botanique</t>
  </si>
  <si>
    <t xml:space="preserve">Apartamento de 144 m² com 03 suítes à venda   Jardim Botânico.</t>
  </si>
  <si>
    <t xml:space="preserve">Apartamento de 84m² com 02 suítes para venda e locação   Jardim Irajá</t>
  </si>
  <si>
    <t xml:space="preserve">Apartamento de 100m² com 03 quartos à venda   Jardim Botânico</t>
  </si>
  <si>
    <t xml:space="preserve">Apartamento de 95m² com 03 quartos à venda   Bosque das Juritis</t>
  </si>
  <si>
    <t xml:space="preserve">Apartamento de 107m² com 03 quartos à venda   Jardim Botânico</t>
  </si>
  <si>
    <t xml:space="preserve">R$ 995.000,00</t>
  </si>
  <si>
    <t xml:space="preserve">R$ 996.475,00</t>
  </si>
  <si>
    <t xml:space="preserve">Apartamento de 132m² com 02 suítes á venda   Jardim Botânico</t>
  </si>
  <si>
    <t xml:space="preserve">R$ 998.000,00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</si>
</sst>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45" activeCellId="0" sqref="E54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82"/>
    <col collapsed="false" customWidth="true" hidden="false" outlineLevel="0" max="7" min="7" style="1" width="16.46"/>
    <col collapsed="false" customWidth="true" hidden="false" outlineLevel="0" max="8" min="8" style="1" width="42.05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.75" hidden="true" customHeight="false" outlineLevel="0" collapsed="false">
      <c r="A2" s="2" t="n">
        <v>236759</v>
      </c>
      <c r="B2" s="2" t="s">
        <v>8</v>
      </c>
      <c r="C2" s="2" t="n">
        <v>3</v>
      </c>
      <c r="D2" s="2" t="n">
        <v>4</v>
      </c>
      <c r="E2" s="2" t="n">
        <v>2</v>
      </c>
      <c r="F2" s="2" t="n">
        <v>108</v>
      </c>
      <c r="G2" s="2" t="s">
        <v>9</v>
      </c>
      <c r="H2" s="2" t="str">
        <f aca="false">IFERROR(__xludf.dummyfunction("IF(I39="""", """", REGEXEXTRACT(I39, ""Padrao/([^/]+)""))"),"Jardim Olhos DAgua")</f>
        <v>Jardim Olhos DAgua</v>
      </c>
    </row>
    <row r="3" customFormat="false" ht="15.75" hidden="true" customHeight="false" outlineLevel="0" collapsed="false">
      <c r="A3" s="2" t="n">
        <v>222119</v>
      </c>
      <c r="B3" s="2" t="s">
        <v>10</v>
      </c>
      <c r="C3" s="2" t="n">
        <v>3</v>
      </c>
      <c r="D3" s="2" t="n">
        <v>5</v>
      </c>
      <c r="E3" s="2" t="n">
        <v>2</v>
      </c>
      <c r="F3" s="2" t="n">
        <v>152</v>
      </c>
      <c r="G3" s="2" t="s">
        <v>9</v>
      </c>
      <c r="H3" s="2" t="str">
        <f aca="false">IFERROR(__xludf.dummyfunction("IF(I40="""", """", REGEXEXTRACT(I40, ""Padrao/([^/]+)""))"),"Nova Alianca")</f>
        <v>Nova Alianca</v>
      </c>
    </row>
    <row r="4" customFormat="false" ht="15.75" hidden="true" customHeight="false" outlineLevel="0" collapsed="false">
      <c r="A4" s="2" t="n">
        <v>217214</v>
      </c>
      <c r="B4" s="2" t="s">
        <v>11</v>
      </c>
      <c r="C4" s="2" t="n">
        <v>3</v>
      </c>
      <c r="D4" s="2" t="n">
        <v>4</v>
      </c>
      <c r="E4" s="2" t="n">
        <v>2</v>
      </c>
      <c r="F4" s="2" t="n">
        <v>109</v>
      </c>
      <c r="G4" s="2" t="s">
        <v>9</v>
      </c>
      <c r="H4" s="2" t="str">
        <f aca="false">IFERROR(__xludf.dummyfunction("IF(I41="""", """", REGEXEXTRACT(I41, ""Padrao/([^/]+)""))"),"Plazas de Espana")</f>
        <v>Plazas de Espana</v>
      </c>
    </row>
    <row r="5" customFormat="false" ht="15.75" hidden="true" customHeight="false" outlineLevel="0" collapsed="false">
      <c r="A5" s="2" t="n">
        <v>188555</v>
      </c>
      <c r="B5" s="2" t="s">
        <v>12</v>
      </c>
      <c r="C5" s="2" t="n">
        <v>3</v>
      </c>
      <c r="D5" s="2" t="n">
        <v>5</v>
      </c>
      <c r="E5" s="2" t="n">
        <v>2</v>
      </c>
      <c r="F5" s="2" t="n">
        <v>144</v>
      </c>
      <c r="G5" s="2" t="s">
        <v>9</v>
      </c>
      <c r="H5" s="2" t="str">
        <f aca="false">IFERROR(__xludf.dummyfunction("IF(I42="""", """", REGEXEXTRACT(I42, ""Padrao/([^/]+)""))"),"Jardim Botanico")</f>
        <v>Jardim Botanico</v>
      </c>
    </row>
    <row r="6" customFormat="false" ht="15.75" hidden="true" customHeight="false" outlineLevel="0" collapsed="false">
      <c r="A6" s="2" t="n">
        <v>152996</v>
      </c>
      <c r="B6" s="2" t="s">
        <v>13</v>
      </c>
      <c r="C6" s="2" t="n">
        <v>2</v>
      </c>
      <c r="D6" s="2" t="n">
        <v>3</v>
      </c>
      <c r="E6" s="2" t="n">
        <v>2</v>
      </c>
      <c r="F6" s="2" t="n">
        <v>117</v>
      </c>
      <c r="G6" s="2" t="s">
        <v>9</v>
      </c>
      <c r="H6" s="2" t="str">
        <f aca="false">IFERROR(__xludf.dummyfunction("IF(I43="""", """", REGEXEXTRACT(I43, ""Padrao/([^/]+)""))"),"Jardim Botanico")</f>
        <v>Jardim Botanico</v>
      </c>
    </row>
    <row r="7" customFormat="false" ht="15.75" hidden="true" customHeight="false" outlineLevel="0" collapsed="false">
      <c r="A7" s="2" t="n">
        <v>126275</v>
      </c>
      <c r="B7" s="2" t="s">
        <v>14</v>
      </c>
      <c r="C7" s="2" t="n">
        <v>4</v>
      </c>
      <c r="D7" s="2" t="n">
        <v>5</v>
      </c>
      <c r="E7" s="2" t="n">
        <v>2</v>
      </c>
      <c r="F7" s="2" t="n">
        <v>173</v>
      </c>
      <c r="G7" s="2" t="s">
        <v>9</v>
      </c>
      <c r="H7" s="2" t="str">
        <f aca="false">IFERROR(__xludf.dummyfunction("IF(I44="""", """", REGEXEXTRACT(I44, ""Padrao/([^/]+)""))"),"Centro")</f>
        <v>Centro</v>
      </c>
    </row>
    <row r="8" customFormat="false" ht="15.75" hidden="true" customHeight="false" outlineLevel="0" collapsed="false">
      <c r="A8" s="2" t="n">
        <v>116618</v>
      </c>
      <c r="B8" s="2" t="s">
        <v>15</v>
      </c>
      <c r="C8" s="2" t="n">
        <v>3</v>
      </c>
      <c r="D8" s="2" t="n">
        <v>4</v>
      </c>
      <c r="E8" s="2" t="n">
        <v>2</v>
      </c>
      <c r="F8" s="2" t="n">
        <v>108</v>
      </c>
      <c r="G8" s="2" t="s">
        <v>9</v>
      </c>
      <c r="H8" s="2" t="str">
        <f aca="false">IFERROR(__xludf.dummyfunction("IF(I45="""", """", REGEXEXTRACT(I45, ""Padrao/([^/]+)""))"),"Bosque das Juritis")</f>
        <v>Bosque das Juritis</v>
      </c>
    </row>
    <row r="9" customFormat="false" ht="15.75" hidden="true" customHeight="false" outlineLevel="0" collapsed="false">
      <c r="A9" s="2" t="n">
        <v>1475748</v>
      </c>
      <c r="B9" s="2" t="s">
        <v>16</v>
      </c>
      <c r="C9" s="2" t="n">
        <v>3</v>
      </c>
      <c r="D9" s="2" t="n">
        <v>4</v>
      </c>
      <c r="E9" s="2" t="n">
        <v>2</v>
      </c>
      <c r="F9" s="2" t="n">
        <v>135</v>
      </c>
      <c r="G9" s="2" t="s">
        <v>9</v>
      </c>
      <c r="H9" s="2" t="str">
        <f aca="false">IFERROR(__xludf.dummyfunction("IF(I47="""", """", REGEXEXTRACT(I47, ""Padrao/([^/]+)""))"),"Jardim Botanico")</f>
        <v>Jardim Botanico</v>
      </c>
    </row>
    <row r="10" customFormat="false" ht="15.75" hidden="true" customHeight="false" outlineLevel="0" collapsed="false">
      <c r="A10" s="2" t="n">
        <v>92237</v>
      </c>
      <c r="B10" s="2" t="s">
        <v>17</v>
      </c>
      <c r="C10" s="2" t="n">
        <v>5</v>
      </c>
      <c r="D10" s="2" t="n">
        <v>5</v>
      </c>
      <c r="E10" s="2" t="n">
        <v>3</v>
      </c>
      <c r="F10" s="2" t="n">
        <v>187</v>
      </c>
      <c r="G10" s="2" t="s">
        <v>9</v>
      </c>
      <c r="H10" s="2" t="str">
        <f aca="false">IFERROR(__xludf.dummyfunction("IF(I48="""", """", REGEXEXTRACT(I48, ""Padrao/([^/]+)""))"),"Vila Seixas")</f>
        <v>Vila Seixas</v>
      </c>
    </row>
    <row r="11" customFormat="false" ht="15.75" hidden="true" customHeight="false" outlineLevel="0" collapsed="false">
      <c r="A11" s="2" t="n">
        <v>69101</v>
      </c>
      <c r="B11" s="2" t="s">
        <v>18</v>
      </c>
      <c r="C11" s="2" t="n">
        <v>3</v>
      </c>
      <c r="D11" s="2" t="n">
        <v>3</v>
      </c>
      <c r="E11" s="2" t="n">
        <v>2</v>
      </c>
      <c r="F11" s="2" t="n">
        <v>143</v>
      </c>
      <c r="G11" s="2" t="s">
        <v>9</v>
      </c>
      <c r="H11" s="2" t="str">
        <f aca="false">IFERROR(__xludf.dummyfunction("IF(I49="""", """", REGEXEXTRACT(I49, ""Padrao/([^/]+)""))"),"Jardim Iraja")</f>
        <v>Jardim Iraja</v>
      </c>
    </row>
    <row r="12" customFormat="false" ht="15.75" hidden="true" customHeight="false" outlineLevel="0" collapsed="false">
      <c r="A12" s="2" t="n">
        <v>62645</v>
      </c>
      <c r="B12" s="2" t="s">
        <v>19</v>
      </c>
      <c r="C12" s="2" t="n">
        <v>3</v>
      </c>
      <c r="D12" s="2" t="n">
        <v>3</v>
      </c>
      <c r="E12" s="2" t="n">
        <v>2</v>
      </c>
      <c r="F12" s="2" t="n">
        <v>112</v>
      </c>
      <c r="G12" s="2" t="s">
        <v>9</v>
      </c>
      <c r="H12" s="2" t="str">
        <f aca="false">IFERROR(__xludf.dummyfunction("IF(I50="""", """", REGEXEXTRACT(I50, ""Padrao/([^/]+)""))"),"Bosque das Juritis")</f>
        <v>Bosque das Juritis</v>
      </c>
    </row>
    <row r="13" customFormat="false" ht="15.75" hidden="true" customHeight="false" outlineLevel="0" collapsed="false">
      <c r="A13" s="2" t="n">
        <v>210455</v>
      </c>
      <c r="B13" s="2" t="s">
        <v>20</v>
      </c>
      <c r="C13" s="2" t="n">
        <v>4</v>
      </c>
      <c r="D13" s="2" t="n">
        <v>6</v>
      </c>
      <c r="E13" s="2" t="n">
        <v>3</v>
      </c>
      <c r="F13" s="2" t="n">
        <v>369</v>
      </c>
      <c r="G13" s="2" t="s">
        <v>9</v>
      </c>
      <c r="H13" s="2" t="str">
        <f aca="false">IFERROR(__xludf.dummyfunction("IF(I96="""", """", REGEXEXTRACT(I96, ""Padrao/([^/]+)""))"),"Centro")</f>
        <v>Centro</v>
      </c>
    </row>
    <row r="14" customFormat="false" ht="15.75" hidden="true" customHeight="false" outlineLevel="0" collapsed="false">
      <c r="A14" s="2" t="n">
        <v>218282</v>
      </c>
      <c r="B14" s="2" t="s">
        <v>21</v>
      </c>
      <c r="C14" s="2" t="n">
        <v>3</v>
      </c>
      <c r="D14" s="2" t="n">
        <v>4</v>
      </c>
      <c r="E14" s="2" t="n">
        <v>3</v>
      </c>
      <c r="F14" s="2" t="n">
        <v>126</v>
      </c>
      <c r="G14" s="2" t="s">
        <v>22</v>
      </c>
      <c r="H14" s="2" t="str">
        <f aca="false">IFERROR(__xludf.dummyfunction("IF(I55="""", """", REGEXEXTRACT(I55, ""Padrao/([^/]+)""))"),"Residencial Alto do Ipe")</f>
        <v>Residencial Alto do Ipe</v>
      </c>
    </row>
    <row r="15" customFormat="false" ht="15.75" hidden="true" customHeight="false" outlineLevel="0" collapsed="false">
      <c r="A15" s="2" t="n">
        <v>224480</v>
      </c>
      <c r="B15" s="2" t="s">
        <v>23</v>
      </c>
      <c r="C15" s="2" t="n">
        <v>3</v>
      </c>
      <c r="D15" s="2" t="n">
        <v>4</v>
      </c>
      <c r="E15" s="2" t="n">
        <v>2</v>
      </c>
      <c r="F15" s="2" t="n">
        <v>126</v>
      </c>
      <c r="G15" s="2" t="s">
        <v>24</v>
      </c>
      <c r="H15" s="2" t="str">
        <f aca="false">IFERROR(__xludf.dummyfunction("IF(I52="""", """", REGEXEXTRACT(I52, ""Padrao/([^/]+)""))"),"Jardim Olhos DAgua")</f>
        <v>Jardim Olhos DAgua</v>
      </c>
    </row>
    <row r="16" customFormat="false" ht="15.75" hidden="true" customHeight="false" outlineLevel="0" collapsed="false">
      <c r="A16" s="2" t="n">
        <v>139007</v>
      </c>
      <c r="B16" s="2" t="s">
        <v>25</v>
      </c>
      <c r="C16" s="2" t="n">
        <v>4</v>
      </c>
      <c r="D16" s="2" t="n">
        <v>3</v>
      </c>
      <c r="E16" s="2" t="n">
        <v>2</v>
      </c>
      <c r="F16" s="2" t="n">
        <v>134</v>
      </c>
      <c r="G16" s="2" t="s">
        <v>26</v>
      </c>
      <c r="H16" s="2" t="str">
        <f aca="false">IFERROR(__xludf.dummyfunction("IF(I124="""", """", REGEXEXTRACT(I124, ""Padrao/([^/]+)""))"),"Jardim Olhos DAgua")</f>
        <v>Jardim Olhos DAgua</v>
      </c>
    </row>
    <row r="17" customFormat="false" ht="15.75" hidden="true" customHeight="false" outlineLevel="0" collapsed="false">
      <c r="A17" s="2" t="n">
        <v>175982</v>
      </c>
      <c r="B17" s="2" t="s">
        <v>27</v>
      </c>
      <c r="C17" s="2" t="n">
        <v>4</v>
      </c>
      <c r="D17" s="2" t="n">
        <v>5</v>
      </c>
      <c r="E17" s="2" t="n">
        <v>2</v>
      </c>
      <c r="F17" s="2" t="n">
        <v>367</v>
      </c>
      <c r="G17" s="2" t="s">
        <v>28</v>
      </c>
      <c r="H17" s="2" t="str">
        <f aca="false">IFERROR(__xludf.dummyfunction("IF(I54="""", """", REGEXEXTRACT(I54, ""Padrao/([^/]+)""))"),"Centro")</f>
        <v>Centro</v>
      </c>
    </row>
    <row r="18" customFormat="false" ht="15.75" hidden="true" customHeight="false" outlineLevel="0" collapsed="false">
      <c r="A18" s="2" t="n">
        <v>200219</v>
      </c>
      <c r="B18" s="2" t="s">
        <v>29</v>
      </c>
      <c r="C18" s="2" t="n">
        <v>3</v>
      </c>
      <c r="D18" s="2" t="n">
        <v>4</v>
      </c>
      <c r="E18" s="2" t="n">
        <v>2</v>
      </c>
      <c r="F18" s="2" t="n">
        <v>134</v>
      </c>
      <c r="G18" s="2" t="s">
        <v>30</v>
      </c>
      <c r="H18" s="2" t="str">
        <f aca="false">IFERROR(__xludf.dummyfunction("IF(I56="""", """", REGEXEXTRACT(I56, ""Padrao/([^/]+)""))"),"Jardim Olhos DAgua")</f>
        <v>Jardim Olhos DAgua</v>
      </c>
    </row>
    <row r="19" customFormat="false" ht="15.75" hidden="true" customHeight="false" outlineLevel="0" collapsed="false">
      <c r="A19" s="2" t="n">
        <v>243743</v>
      </c>
      <c r="B19" s="2" t="s">
        <v>31</v>
      </c>
      <c r="C19" s="2" t="n">
        <v>3</v>
      </c>
      <c r="D19" s="2" t="n">
        <v>4</v>
      </c>
      <c r="E19" s="2" t="n">
        <v>2</v>
      </c>
      <c r="F19" s="2" t="n">
        <v>121</v>
      </c>
      <c r="G19" s="2" t="s">
        <v>32</v>
      </c>
      <c r="H19" s="2" t="str">
        <f aca="false">IFERROR(__xludf.dummyfunction("IF(I57="""", """", REGEXEXTRACT(I57, ""Padrao/([^/]+)""))"),"Nova Alianca")</f>
        <v>Nova Alianca</v>
      </c>
    </row>
    <row r="20" customFormat="false" ht="15.75" hidden="true" customHeight="false" outlineLevel="0" collapsed="false">
      <c r="A20" s="2" t="n">
        <v>224483</v>
      </c>
      <c r="B20" s="2" t="s">
        <v>23</v>
      </c>
      <c r="C20" s="2" t="n">
        <v>3</v>
      </c>
      <c r="D20" s="2" t="n">
        <v>4</v>
      </c>
      <c r="E20" s="2" t="n">
        <v>4</v>
      </c>
      <c r="F20" s="2" t="n">
        <v>126</v>
      </c>
      <c r="G20" s="2" t="s">
        <v>33</v>
      </c>
      <c r="H20" s="2" t="str">
        <f aca="false">IFERROR(__xludf.dummyfunction("IF(I58="""", """", REGEXEXTRACT(I58, ""Padrao/([^/]+)""))"),"Jardim Olhos DAgua")</f>
        <v>Jardim Olhos DAgua</v>
      </c>
    </row>
    <row r="21" customFormat="false" ht="15.75" hidden="true" customHeight="false" outlineLevel="0" collapsed="false">
      <c r="A21" s="2" t="n">
        <v>133931</v>
      </c>
      <c r="B21" s="2" t="s">
        <v>34</v>
      </c>
      <c r="C21" s="2" t="n">
        <v>3</v>
      </c>
      <c r="D21" s="2" t="n">
        <v>4</v>
      </c>
      <c r="E21" s="2" t="n">
        <v>2</v>
      </c>
      <c r="F21" s="2" t="n">
        <v>126</v>
      </c>
      <c r="G21" s="2" t="s">
        <v>35</v>
      </c>
      <c r="H21" s="2" t="str">
        <f aca="false">IFERROR(__xludf.dummyfunction("IF(I97="""", """", REGEXEXTRACT(I97, ""Padrao/([^/]+)""))"),"Jardim Botanico")</f>
        <v>Jardim Botanico</v>
      </c>
    </row>
    <row r="22" customFormat="false" ht="15.75" hidden="true" customHeight="false" outlineLevel="0" collapsed="false">
      <c r="A22" s="2" t="n">
        <v>238496</v>
      </c>
      <c r="B22" s="2" t="s">
        <v>36</v>
      </c>
      <c r="C22" s="2" t="n">
        <v>3</v>
      </c>
      <c r="D22" s="2" t="n">
        <v>5</v>
      </c>
      <c r="E22" s="2" t="n">
        <v>2</v>
      </c>
      <c r="F22" s="2" t="n">
        <v>132</v>
      </c>
      <c r="G22" s="2" t="s">
        <v>37</v>
      </c>
      <c r="H22" s="2" t="str">
        <f aca="false">IFERROR(__xludf.dummyfunction("IF(I60="""", """", REGEXEXTRACT(I60, ""Padrao/([^/]+)""))"),"Jardim Botanico")</f>
        <v>Jardim Botanico</v>
      </c>
    </row>
    <row r="23" customFormat="false" ht="15.75" hidden="true" customHeight="false" outlineLevel="0" collapsed="false">
      <c r="A23" s="2" t="n">
        <v>235040</v>
      </c>
      <c r="B23" s="2" t="s">
        <v>38</v>
      </c>
      <c r="C23" s="2" t="n">
        <v>3</v>
      </c>
      <c r="D23" s="2" t="n">
        <v>5</v>
      </c>
      <c r="E23" s="2" t="n">
        <v>1</v>
      </c>
      <c r="F23" s="2" t="n">
        <v>151</v>
      </c>
      <c r="G23" s="2" t="s">
        <v>37</v>
      </c>
      <c r="H23" s="2" t="str">
        <f aca="false">IFERROR(__xludf.dummyfunction("IF(I61="""", """", REGEXEXTRACT(I61, ""Padrao/([^/]+)""))"),"Jardim Iraja")</f>
        <v>Jardim Iraja</v>
      </c>
    </row>
    <row r="24" customFormat="false" ht="15.75" hidden="true" customHeight="false" outlineLevel="0" collapsed="false">
      <c r="A24" s="2" t="n">
        <v>217499</v>
      </c>
      <c r="B24" s="2" t="s">
        <v>39</v>
      </c>
      <c r="C24" s="2" t="n">
        <v>3</v>
      </c>
      <c r="D24" s="2" t="n">
        <v>4</v>
      </c>
      <c r="E24" s="2" t="n">
        <v>3</v>
      </c>
      <c r="F24" s="2" t="n">
        <v>131</v>
      </c>
      <c r="G24" s="2" t="s">
        <v>37</v>
      </c>
      <c r="H24" s="2" t="str">
        <f aca="false">IFERROR(__xludf.dummyfunction("IF(I62="""", """", REGEXEXTRACT(I62, ""Padrao/([^/]+)""))"),"Jardim Olhos DAgua")</f>
        <v>Jardim Olhos DAgua</v>
      </c>
    </row>
    <row r="25" customFormat="false" ht="15.75" hidden="true" customHeight="false" outlineLevel="0" collapsed="false">
      <c r="A25" s="2" t="n">
        <v>169745</v>
      </c>
      <c r="B25" s="2" t="s">
        <v>40</v>
      </c>
      <c r="C25" s="2" t="n">
        <v>1</v>
      </c>
      <c r="D25" s="2" t="n">
        <v>2</v>
      </c>
      <c r="E25" s="2" t="n">
        <v>2</v>
      </c>
      <c r="F25" s="2" t="n">
        <v>72</v>
      </c>
      <c r="G25" s="2" t="s">
        <v>37</v>
      </c>
      <c r="H25" s="2" t="str">
        <f aca="false">IFERROR(__xludf.dummyfunction("IF(I63="""", """", REGEXEXTRACT(I63, ""Padrao/([^/]+)""))"),"Jardim Botanico")</f>
        <v>Jardim Botanico</v>
      </c>
    </row>
    <row r="26" customFormat="false" ht="15.75" hidden="true" customHeight="false" outlineLevel="0" collapsed="false">
      <c r="A26" s="2" t="n">
        <v>92537</v>
      </c>
      <c r="B26" s="2" t="s">
        <v>41</v>
      </c>
      <c r="C26" s="2" t="n">
        <v>3</v>
      </c>
      <c r="D26" s="2" t="n">
        <v>4</v>
      </c>
      <c r="E26" s="2" t="n">
        <v>2</v>
      </c>
      <c r="F26" s="2" t="n">
        <v>131</v>
      </c>
      <c r="G26" s="2" t="s">
        <v>37</v>
      </c>
      <c r="H26" s="2" t="str">
        <f aca="false">IFERROR(__xludf.dummyfunction("IF(I64="""", """", REGEXEXTRACT(I64, ""Padrao/([^/]+)""))"),"Nova Alianca")</f>
        <v>Nova Alianca</v>
      </c>
    </row>
    <row r="27" customFormat="false" ht="15.75" hidden="true" customHeight="false" outlineLevel="0" collapsed="false">
      <c r="A27" s="2" t="n">
        <v>187214</v>
      </c>
      <c r="B27" s="2" t="s">
        <v>42</v>
      </c>
      <c r="C27" s="2" t="n">
        <v>3</v>
      </c>
      <c r="D27" s="2" t="n">
        <v>4</v>
      </c>
      <c r="E27" s="2" t="n">
        <v>2</v>
      </c>
      <c r="F27" s="2" t="n">
        <v>118</v>
      </c>
      <c r="G27" s="2" t="s">
        <v>43</v>
      </c>
      <c r="H27" s="2" t="str">
        <f aca="false">IFERROR(__xludf.dummyfunction("IF(I66="""", """", REGEXEXTRACT(I66, ""Padrao/([^/]+)""))"),"Jardim Saint Gerard")</f>
        <v>Jardim Saint Gerard</v>
      </c>
    </row>
    <row r="28" customFormat="false" ht="15.75" hidden="true" customHeight="false" outlineLevel="0" collapsed="false">
      <c r="A28" s="2" t="n">
        <v>203357</v>
      </c>
      <c r="B28" s="2" t="s">
        <v>44</v>
      </c>
      <c r="C28" s="2" t="n">
        <v>3</v>
      </c>
      <c r="D28" s="2" t="n">
        <v>3</v>
      </c>
      <c r="E28" s="2" t="n">
        <v>2</v>
      </c>
      <c r="F28" s="2" t="n">
        <v>123</v>
      </c>
      <c r="G28" s="2" t="s">
        <v>45</v>
      </c>
      <c r="H28" s="2" t="str">
        <f aca="false">IFERROR(__xludf.dummyfunction("IF(I68="""", """", REGEXEXTRACT(I68, ""Padrao/([^/]+)""))"),"Jardim Botanico")</f>
        <v>Jardim Botanico</v>
      </c>
    </row>
    <row r="29" customFormat="false" ht="15.75" hidden="true" customHeight="false" outlineLevel="0" collapsed="false">
      <c r="A29" s="2" t="n">
        <v>144548</v>
      </c>
      <c r="B29" s="2" t="s">
        <v>46</v>
      </c>
      <c r="C29" s="2" t="n">
        <v>3</v>
      </c>
      <c r="D29" s="2" t="n">
        <v>5</v>
      </c>
      <c r="E29" s="2" t="n">
        <v>2</v>
      </c>
      <c r="F29" s="2" t="n">
        <v>131</v>
      </c>
      <c r="G29" s="2" t="s">
        <v>45</v>
      </c>
      <c r="H29" s="2" t="str">
        <f aca="false">IFERROR(__xludf.dummyfunction("IF(I69="""", """", REGEXEXTRACT(I69, ""Padrao/([^/]+)""))"),"Nova Alianca")</f>
        <v>Nova Alianca</v>
      </c>
    </row>
    <row r="30" customFormat="false" ht="15.75" hidden="true" customHeight="false" outlineLevel="0" collapsed="false">
      <c r="A30" s="2" t="n">
        <v>196637</v>
      </c>
      <c r="B30" s="2" t="s">
        <v>47</v>
      </c>
      <c r="C30" s="2" t="n">
        <v>4</v>
      </c>
      <c r="D30" s="2" t="n">
        <v>4</v>
      </c>
      <c r="E30" s="2" t="n">
        <v>3</v>
      </c>
      <c r="F30" s="2" t="n">
        <v>252</v>
      </c>
      <c r="G30" s="2" t="s">
        <v>45</v>
      </c>
      <c r="H30" s="2" t="str">
        <f aca="false">IFERROR(__xludf.dummyfunction("IF(I194="""", """", REGEXEXTRACT(I194, ""Padrao/([^/]+)""))"),"Centro")</f>
        <v>Centro</v>
      </c>
    </row>
    <row r="31" customFormat="false" ht="15.75" hidden="true" customHeight="false" outlineLevel="0" collapsed="false">
      <c r="A31" s="2" t="n">
        <v>221762</v>
      </c>
      <c r="B31" s="2" t="s">
        <v>48</v>
      </c>
      <c r="C31" s="2" t="n">
        <v>3</v>
      </c>
      <c r="D31" s="2" t="n">
        <v>3</v>
      </c>
      <c r="E31" s="2" t="n">
        <v>2</v>
      </c>
      <c r="F31" s="2" t="n">
        <v>100</v>
      </c>
      <c r="G31" s="2" t="s">
        <v>49</v>
      </c>
      <c r="H31" s="2" t="str">
        <f aca="false">IFERROR(__xludf.dummyfunction("IF(I70="""", """", REGEXEXTRACT(I70, ""Padrao/([^/]+)""))"),"Condominio Itamaraty")</f>
        <v>Condominio Itamaraty</v>
      </c>
    </row>
    <row r="32" customFormat="false" ht="15.75" hidden="true" customHeight="false" outlineLevel="0" collapsed="false">
      <c r="A32" s="2" t="n">
        <v>81425</v>
      </c>
      <c r="B32" s="2" t="s">
        <v>50</v>
      </c>
      <c r="C32" s="2" t="n">
        <v>3</v>
      </c>
      <c r="D32" s="2" t="n">
        <v>5</v>
      </c>
      <c r="E32" s="2" t="n">
        <v>2</v>
      </c>
      <c r="F32" s="2" t="n">
        <v>139</v>
      </c>
      <c r="G32" s="2" t="s">
        <v>49</v>
      </c>
      <c r="H32" s="2" t="str">
        <f aca="false">IFERROR(__xludf.dummyfunction("IF(I76="""", """", REGEXEXTRACT(I76, ""Padrao/([^/]+)""))"),"Bosque das Juritis")</f>
        <v>Bosque das Juritis</v>
      </c>
    </row>
    <row r="33" customFormat="false" ht="15.75" hidden="true" customHeight="false" outlineLevel="0" collapsed="false">
      <c r="A33" s="2" t="n">
        <v>118910</v>
      </c>
      <c r="B33" s="2" t="s">
        <v>51</v>
      </c>
      <c r="C33" s="2" t="n">
        <v>3</v>
      </c>
      <c r="D33" s="2" t="n">
        <v>5</v>
      </c>
      <c r="E33" s="2" t="n">
        <v>2</v>
      </c>
      <c r="F33" s="2" t="n">
        <v>133</v>
      </c>
      <c r="G33" s="2" t="s">
        <v>52</v>
      </c>
      <c r="H33" s="2" t="str">
        <f aca="false">IFERROR(__xludf.dummyfunction("IF(I71="""", """", REGEXEXTRACT(I71, ""Padrao/([^/]+)""))"),"Nova Alianca")</f>
        <v>Nova Alianca</v>
      </c>
    </row>
    <row r="34" customFormat="false" ht="15.75" hidden="true" customHeight="false" outlineLevel="0" collapsed="false">
      <c r="A34" s="2" t="n">
        <v>224453</v>
      </c>
      <c r="B34" s="2" t="s">
        <v>23</v>
      </c>
      <c r="C34" s="2" t="n">
        <v>3</v>
      </c>
      <c r="D34" s="2" t="n">
        <v>4</v>
      </c>
      <c r="E34" s="2" t="n">
        <v>2</v>
      </c>
      <c r="F34" s="2" t="n">
        <v>126</v>
      </c>
      <c r="G34" s="2" t="s">
        <v>53</v>
      </c>
      <c r="H34" s="2" t="str">
        <f aca="false">IFERROR(__xludf.dummyfunction("IF(I72="""", """", REGEXEXTRACT(I72, ""Padrao/([^/]+)""))"),"Jardim Olhos DAgua")</f>
        <v>Jardim Olhos DAgua</v>
      </c>
    </row>
    <row r="35" customFormat="false" ht="15.75" hidden="true" customHeight="false" outlineLevel="0" collapsed="false">
      <c r="A35" s="2" t="n">
        <v>239864</v>
      </c>
      <c r="B35" s="2" t="s">
        <v>54</v>
      </c>
      <c r="C35" s="2" t="n">
        <v>3</v>
      </c>
      <c r="D35" s="2" t="n">
        <v>4</v>
      </c>
      <c r="E35" s="2" t="n">
        <v>2</v>
      </c>
      <c r="F35" s="2" t="n">
        <v>132</v>
      </c>
      <c r="G35" s="2" t="s">
        <v>55</v>
      </c>
      <c r="H35" s="2" t="str">
        <f aca="false">IFERROR(__xludf.dummyfunction("IF(I73="""", """", REGEXEXTRACT(I73, ""Padrao/([^/]+)""))"),"Jardim Botanico")</f>
        <v>Jardim Botanico</v>
      </c>
    </row>
    <row r="36" customFormat="false" ht="15.75" hidden="true" customHeight="false" outlineLevel="0" collapsed="false">
      <c r="A36" s="2" t="n">
        <v>239480</v>
      </c>
      <c r="B36" s="2" t="s">
        <v>56</v>
      </c>
      <c r="C36" s="2" t="n">
        <v>3</v>
      </c>
      <c r="D36" s="2" t="n">
        <v>5</v>
      </c>
      <c r="E36" s="2" t="n">
        <v>2</v>
      </c>
      <c r="F36" s="2" t="n">
        <v>137</v>
      </c>
      <c r="G36" s="2" t="s">
        <v>57</v>
      </c>
      <c r="H36" s="2" t="str">
        <f aca="false">IFERROR(__xludf.dummyfunction("IF(I74="""", """", REGEXEXTRACT(I74, ""Padrao/([^/]+)""))"),"Jardim Iraja")</f>
        <v>Jardim Iraja</v>
      </c>
    </row>
    <row r="37" customFormat="false" ht="15.75" hidden="true" customHeight="false" outlineLevel="0" collapsed="false">
      <c r="A37" s="2" t="n">
        <v>214910</v>
      </c>
      <c r="B37" s="2" t="s">
        <v>58</v>
      </c>
      <c r="C37" s="2" t="n">
        <v>4</v>
      </c>
      <c r="D37" s="2" t="n">
        <v>5</v>
      </c>
      <c r="E37" s="2" t="n">
        <v>3</v>
      </c>
      <c r="F37" s="2" t="n">
        <v>202</v>
      </c>
      <c r="G37" s="2" t="s">
        <v>57</v>
      </c>
      <c r="H37" s="2" t="str">
        <f aca="false">IFERROR(__xludf.dummyfunction("IF(I75="""", """", REGEXEXTRACT(I75, ""Padrao/([^/]+)""))"),"Jardim Iraja")</f>
        <v>Jardim Iraja</v>
      </c>
    </row>
    <row r="38" customFormat="false" ht="15.75" hidden="true" customHeight="false" outlineLevel="0" collapsed="false">
      <c r="A38" s="2" t="n">
        <v>223526</v>
      </c>
      <c r="B38" s="2" t="s">
        <v>59</v>
      </c>
      <c r="C38" s="2" t="n">
        <v>2</v>
      </c>
      <c r="D38" s="2" t="n">
        <v>2</v>
      </c>
      <c r="E38" s="2" t="n">
        <v>2</v>
      </c>
      <c r="F38" s="2" t="n">
        <v>111</v>
      </c>
      <c r="G38" s="2" t="s">
        <v>57</v>
      </c>
      <c r="H38" s="2" t="str">
        <f aca="false">IFERROR(__xludf.dummyfunction("IF(I98="""", """", REGEXEXTRACT(I98, ""Padrao/([^/]+)""))"),"Jardim Olhos DAgua")</f>
        <v>Jardim Olhos DAgua</v>
      </c>
    </row>
    <row r="39" customFormat="false" ht="15.75" hidden="true" customHeight="false" outlineLevel="0" collapsed="false">
      <c r="A39" s="2" t="n">
        <v>234455</v>
      </c>
      <c r="B39" s="2" t="s">
        <v>60</v>
      </c>
      <c r="C39" s="2" t="n">
        <v>3</v>
      </c>
      <c r="D39" s="2" t="n">
        <v>5</v>
      </c>
      <c r="E39" s="2" t="n">
        <v>2</v>
      </c>
      <c r="F39" s="2" t="n">
        <v>139</v>
      </c>
      <c r="G39" s="2" t="s">
        <v>57</v>
      </c>
      <c r="H39" s="2" t="str">
        <f aca="false">IFERROR(__xludf.dummyfunction("IF(I129="""", """", REGEXEXTRACT(I129, ""Padrao/([^/]+)""))"),"Bosque das Juritis")</f>
        <v>Bosque das Juritis</v>
      </c>
    </row>
    <row r="40" customFormat="false" ht="15.75" hidden="true" customHeight="false" outlineLevel="0" collapsed="false">
      <c r="A40" s="2" t="n">
        <v>203699</v>
      </c>
      <c r="B40" s="2" t="s">
        <v>61</v>
      </c>
      <c r="C40" s="2" t="n">
        <v>3</v>
      </c>
      <c r="D40" s="2" t="n">
        <v>5</v>
      </c>
      <c r="E40" s="2" t="n">
        <v>2</v>
      </c>
      <c r="F40" s="2" t="n">
        <v>151</v>
      </c>
      <c r="G40" s="2" t="s">
        <v>57</v>
      </c>
      <c r="H40" s="2" t="str">
        <f aca="false">IFERROR(__xludf.dummyfunction("IF(I130="""", """", REGEXEXTRACT(I130, ""Padrao/([^/]+)""))"),"Jardim Olhos DAgua")</f>
        <v>Jardim Olhos DAgua</v>
      </c>
    </row>
    <row r="41" customFormat="false" ht="15.75" hidden="true" customHeight="false" outlineLevel="0" collapsed="false">
      <c r="A41" s="2" t="n">
        <v>187220</v>
      </c>
      <c r="B41" s="2" t="s">
        <v>42</v>
      </c>
      <c r="C41" s="2" t="n">
        <v>3</v>
      </c>
      <c r="D41" s="2" t="n">
        <v>4</v>
      </c>
      <c r="E41" s="2" t="n">
        <v>2</v>
      </c>
      <c r="F41" s="2" t="n">
        <v>118</v>
      </c>
      <c r="G41" s="2" t="s">
        <v>62</v>
      </c>
      <c r="H41" s="2" t="str">
        <f aca="false">IFERROR(__xludf.dummyfunction("IF(I121="""", """", REGEXEXTRACT(I121, ""Padrao/([^/]+)""))"),"Jardim Saint Gerard")</f>
        <v>Jardim Saint Gerard</v>
      </c>
    </row>
    <row r="42" customFormat="false" ht="15.75" hidden="true" customHeight="false" outlineLevel="0" collapsed="false">
      <c r="A42" s="2" t="n">
        <v>224921</v>
      </c>
      <c r="B42" s="2" t="s">
        <v>63</v>
      </c>
      <c r="C42" s="2" t="n">
        <v>3</v>
      </c>
      <c r="D42" s="2" t="n">
        <v>4</v>
      </c>
      <c r="E42" s="2" t="n">
        <v>3</v>
      </c>
      <c r="F42" s="2" t="n">
        <v>135</v>
      </c>
      <c r="G42" s="2" t="s">
        <v>64</v>
      </c>
      <c r="H42" s="2" t="str">
        <f aca="false">IFERROR(__xludf.dummyfunction("IF(I483="""", """", REGEXEXTRACT(I483, ""Padrao/([^/]+)""))"),"Bosque das Juritis")</f>
        <v>Bosque das Juritis</v>
      </c>
    </row>
    <row r="43" customFormat="false" ht="15.75" hidden="true" customHeight="false" outlineLevel="0" collapsed="false">
      <c r="A43" s="2" t="n">
        <v>214967</v>
      </c>
      <c r="B43" s="2" t="s">
        <v>65</v>
      </c>
      <c r="C43" s="2" t="n">
        <v>3</v>
      </c>
      <c r="D43" s="2" t="n">
        <v>4</v>
      </c>
      <c r="E43" s="2" t="n">
        <v>2</v>
      </c>
      <c r="F43" s="2" t="n">
        <v>113</v>
      </c>
      <c r="G43" s="2" t="s">
        <v>66</v>
      </c>
      <c r="H43" s="2" t="str">
        <f aca="false">IFERROR(__xludf.dummyfunction("IF(I77="""", """", REGEXEXTRACT(I77, ""Padrao/([^/]+)""))"),"Jardim Olhos DAgua")</f>
        <v>Jardim Olhos DAgua</v>
      </c>
    </row>
    <row r="44" customFormat="false" ht="15.75" hidden="true" customHeight="false" outlineLevel="0" collapsed="false">
      <c r="A44" s="2" t="n">
        <v>163508</v>
      </c>
      <c r="B44" s="2" t="s">
        <v>67</v>
      </c>
      <c r="C44" s="2" t="n">
        <v>3</v>
      </c>
      <c r="D44" s="2" t="n">
        <v>4</v>
      </c>
      <c r="E44" s="2" t="n">
        <v>2</v>
      </c>
      <c r="F44" s="2" t="n">
        <v>126</v>
      </c>
      <c r="G44" s="2" t="s">
        <v>68</v>
      </c>
      <c r="H44" s="2" t="str">
        <f aca="false">IFERROR(__xludf.dummyfunction("IF(I78="""", """", REGEXEXTRACT(I78, ""Padrao/([^/]+)""))"),"Jardim Olhos DAgua")</f>
        <v>Jardim Olhos DAgua</v>
      </c>
    </row>
    <row r="45" customFormat="false" ht="15.75" hidden="true" customHeight="false" outlineLevel="0" collapsed="false">
      <c r="A45" s="2" t="n">
        <v>245603</v>
      </c>
      <c r="B45" s="2" t="s">
        <v>69</v>
      </c>
      <c r="C45" s="2" t="n">
        <v>4</v>
      </c>
      <c r="D45" s="2" t="n">
        <v>5</v>
      </c>
      <c r="E45" s="2" t="n">
        <v>2</v>
      </c>
      <c r="F45" s="2" t="n">
        <v>135</v>
      </c>
      <c r="G45" s="2" t="s">
        <v>70</v>
      </c>
      <c r="H45" s="2" t="str">
        <f aca="false">IFERROR(__xludf.dummyfunction("IF(I101="""", """", REGEXEXTRACT(I101, ""Padrao/([^/]+)""))"),"Bosque das Juritis")</f>
        <v>Bosque das Juritis</v>
      </c>
    </row>
    <row r="46" customFormat="false" ht="15.75" hidden="true" customHeight="false" outlineLevel="0" collapsed="false">
      <c r="A46" s="2" t="n">
        <v>244397</v>
      </c>
      <c r="B46" s="2" t="s">
        <v>71</v>
      </c>
      <c r="C46" s="2" t="n">
        <v>3</v>
      </c>
      <c r="D46" s="2" t="n">
        <v>4</v>
      </c>
      <c r="E46" s="2" t="n">
        <v>3</v>
      </c>
      <c r="F46" s="2" t="n">
        <v>132</v>
      </c>
      <c r="G46" s="2" t="s">
        <v>70</v>
      </c>
      <c r="H46" s="2" t="str">
        <f aca="false">IFERROR(__xludf.dummyfunction("IF(I102="""", """", REGEXEXTRACT(I102, ""Padrao/([^/]+)""))"),"Jardim Olhos DAgua")</f>
        <v>Jardim Olhos DAgua</v>
      </c>
    </row>
    <row r="47" customFormat="false" ht="15.75" hidden="true" customHeight="false" outlineLevel="0" collapsed="false">
      <c r="A47" s="2" t="n">
        <v>216764</v>
      </c>
      <c r="B47" s="2" t="s">
        <v>72</v>
      </c>
      <c r="C47" s="2" t="n">
        <v>4</v>
      </c>
      <c r="D47" s="2" t="n">
        <v>3</v>
      </c>
      <c r="E47" s="2" t="n">
        <v>2</v>
      </c>
      <c r="F47" s="2" t="n">
        <v>107</v>
      </c>
      <c r="G47" s="2" t="s">
        <v>70</v>
      </c>
      <c r="H47" s="2" t="str">
        <f aca="false">IFERROR(__xludf.dummyfunction("IF(I103="""", """", REGEXEXTRACT(I103, ""Padrao/([^/]+)""))"),"Jardim Botanico")</f>
        <v>Jardim Botanico</v>
      </c>
    </row>
    <row r="48" customFormat="false" ht="15.75" hidden="true" customHeight="false" outlineLevel="0" collapsed="false">
      <c r="A48" s="2" t="n">
        <v>215852</v>
      </c>
      <c r="B48" s="2" t="s">
        <v>73</v>
      </c>
      <c r="C48" s="2" t="n">
        <v>3</v>
      </c>
      <c r="D48" s="2" t="n">
        <v>3</v>
      </c>
      <c r="E48" s="2" t="n">
        <v>2</v>
      </c>
      <c r="F48" s="2" t="n">
        <v>100</v>
      </c>
      <c r="G48" s="2" t="s">
        <v>70</v>
      </c>
      <c r="H48" s="2" t="str">
        <f aca="false">IFERROR(__xludf.dummyfunction("IF(I104="""", """", REGEXEXTRACT(I104, ""Padrao/([^/]+)""))"),"Jardim Botanico")</f>
        <v>Jardim Botanico</v>
      </c>
    </row>
    <row r="49" customFormat="false" ht="15.75" hidden="true" customHeight="false" outlineLevel="0" collapsed="false">
      <c r="A49" s="2" t="n">
        <v>211025</v>
      </c>
      <c r="B49" s="2" t="s">
        <v>74</v>
      </c>
      <c r="C49" s="2" t="n">
        <v>3</v>
      </c>
      <c r="D49" s="2" t="n">
        <v>3</v>
      </c>
      <c r="E49" s="2" t="n">
        <v>2</v>
      </c>
      <c r="F49" s="2" t="n">
        <v>106</v>
      </c>
      <c r="G49" s="2" t="s">
        <v>70</v>
      </c>
      <c r="H49" s="2" t="str">
        <f aca="false">IFERROR(__xludf.dummyfunction("IF(I105="""", """", REGEXEXTRACT(I105, ""Padrao/([^/]+)""))"),"Jardim Botanico")</f>
        <v>Jardim Botanico</v>
      </c>
    </row>
    <row r="50" customFormat="false" ht="15.75" hidden="true" customHeight="false" outlineLevel="0" collapsed="false">
      <c r="A50" s="2" t="n">
        <v>209360</v>
      </c>
      <c r="B50" s="2" t="s">
        <v>75</v>
      </c>
      <c r="C50" s="2" t="n">
        <v>2</v>
      </c>
      <c r="D50" s="2" t="n">
        <v>3</v>
      </c>
      <c r="E50" s="2" t="n">
        <v>2</v>
      </c>
      <c r="F50" s="2" t="n">
        <v>112</v>
      </c>
      <c r="G50" s="2" t="s">
        <v>70</v>
      </c>
      <c r="H50" s="2" t="str">
        <f aca="false">IFERROR(__xludf.dummyfunction("IF(I106="""", """", REGEXEXTRACT(I106, ""Padrao/([^/]+)""))"),"Bosque das Juritis")</f>
        <v>Bosque das Juritis</v>
      </c>
    </row>
    <row r="51" customFormat="false" ht="15.75" hidden="true" customHeight="false" outlineLevel="0" collapsed="false">
      <c r="A51" s="2" t="n">
        <v>207821</v>
      </c>
      <c r="B51" s="2" t="s">
        <v>76</v>
      </c>
      <c r="C51" s="2" t="n">
        <v>3</v>
      </c>
      <c r="D51" s="2" t="n">
        <v>4</v>
      </c>
      <c r="E51" s="2" t="n">
        <v>2</v>
      </c>
      <c r="F51" s="2" t="n">
        <v>180</v>
      </c>
      <c r="G51" s="2" t="s">
        <v>70</v>
      </c>
      <c r="H51" s="2" t="str">
        <f aca="false">IFERROR(__xludf.dummyfunction("IF(I107="""", """", REGEXEXTRACT(I107, ""Padrao/([^/]+)""))"),"Jardim Iraja")</f>
        <v>Jardim Iraja</v>
      </c>
    </row>
    <row r="52" customFormat="false" ht="15.75" hidden="true" customHeight="false" outlineLevel="0" collapsed="false">
      <c r="A52" s="2" t="n">
        <v>197624</v>
      </c>
      <c r="B52" s="2" t="s">
        <v>77</v>
      </c>
      <c r="C52" s="2" t="n">
        <v>4</v>
      </c>
      <c r="D52" s="2" t="n">
        <v>5</v>
      </c>
      <c r="E52" s="2" t="n">
        <v>4</v>
      </c>
      <c r="F52" s="2" t="n">
        <v>442</v>
      </c>
      <c r="G52" s="2" t="s">
        <v>70</v>
      </c>
      <c r="H52" s="2" t="str">
        <f aca="false">IFERROR(__xludf.dummyfunction("IF(I108="""", """", REGEXEXTRACT(I108, ""Padrao/([^/]+)""))"),"Centro")</f>
        <v>Centro</v>
      </c>
    </row>
    <row r="53" customFormat="false" ht="15.75" hidden="true" customHeight="false" outlineLevel="0" collapsed="false">
      <c r="A53" s="2" t="n">
        <v>167921</v>
      </c>
      <c r="B53" s="2" t="s">
        <v>78</v>
      </c>
      <c r="C53" s="2" t="n">
        <v>3</v>
      </c>
      <c r="D53" s="2" t="n">
        <v>3</v>
      </c>
      <c r="E53" s="2" t="n">
        <v>2</v>
      </c>
      <c r="F53" s="2" t="n">
        <v>113</v>
      </c>
      <c r="G53" s="2" t="s">
        <v>70</v>
      </c>
      <c r="H53" s="2" t="str">
        <f aca="false">IFERROR(__xludf.dummyfunction("IF(I109="""", """", REGEXEXTRACT(I109, ""Padrao/([^/]+)""))"),"Jardim Olhos DAgua")</f>
        <v>Jardim Olhos DAgua</v>
      </c>
    </row>
    <row r="54" customFormat="false" ht="15.75" hidden="true" customHeight="false" outlineLevel="0" collapsed="false">
      <c r="A54" s="2" t="n">
        <v>157028</v>
      </c>
      <c r="B54" s="2" t="s">
        <v>79</v>
      </c>
      <c r="C54" s="2" t="n">
        <v>3</v>
      </c>
      <c r="D54" s="2" t="n">
        <v>5</v>
      </c>
      <c r="E54" s="2" t="n">
        <v>2</v>
      </c>
      <c r="F54" s="2" t="n">
        <v>118</v>
      </c>
      <c r="G54" s="2" t="s">
        <v>70</v>
      </c>
      <c r="H54" s="2" t="str">
        <f aca="false">IFERROR(__xludf.dummyfunction("IF(I110="""", """", REGEXEXTRACT(I110, ""Padrao/([^/]+)""))"),"Jardim Olhos DAgua")</f>
        <v>Jardim Olhos DAgua</v>
      </c>
    </row>
    <row r="55" customFormat="false" ht="15.75" hidden="true" customHeight="false" outlineLevel="0" collapsed="false">
      <c r="A55" s="2" t="n">
        <v>152153</v>
      </c>
      <c r="B55" s="2" t="s">
        <v>80</v>
      </c>
      <c r="C55" s="2" t="n">
        <v>3</v>
      </c>
      <c r="D55" s="2" t="n">
        <v>3</v>
      </c>
      <c r="E55" s="2" t="n">
        <v>2</v>
      </c>
      <c r="F55" s="2" t="n">
        <v>158</v>
      </c>
      <c r="G55" s="2" t="s">
        <v>70</v>
      </c>
      <c r="H55" s="2" t="str">
        <f aca="false">IFERROR(__xludf.dummyfunction("IF(I111="""", """", REGEXEXTRACT(I111, ""Padrao/([^/]+)""))"),"Parque dos Bandeirantes")</f>
        <v>Parque dos Bandeirantes</v>
      </c>
    </row>
    <row r="56" customFormat="false" ht="15.75" hidden="true" customHeight="false" outlineLevel="0" collapsed="false">
      <c r="A56" s="2" t="n">
        <v>133478</v>
      </c>
      <c r="B56" s="2" t="s">
        <v>81</v>
      </c>
      <c r="C56" s="2" t="n">
        <v>4</v>
      </c>
      <c r="D56" s="2" t="n">
        <v>4</v>
      </c>
      <c r="E56" s="2" t="n">
        <v>3</v>
      </c>
      <c r="F56" s="2" t="n">
        <v>279</v>
      </c>
      <c r="G56" s="2" t="s">
        <v>70</v>
      </c>
      <c r="H56" s="2" t="str">
        <f aca="false">IFERROR(__xludf.dummyfunction("IF(I112="""", """", REGEXEXTRACT(I112, ""Padrao/([^/]+)""))"),"Centro")</f>
        <v>Centro</v>
      </c>
    </row>
    <row r="57" customFormat="false" ht="15.75" hidden="true" customHeight="false" outlineLevel="0" collapsed="false">
      <c r="A57" s="2" t="n">
        <v>111635</v>
      </c>
      <c r="B57" s="2" t="s">
        <v>42</v>
      </c>
      <c r="C57" s="2" t="n">
        <v>4</v>
      </c>
      <c r="D57" s="2" t="n">
        <v>3</v>
      </c>
      <c r="E57" s="2" t="n">
        <v>2</v>
      </c>
      <c r="F57" s="2" t="n">
        <v>118</v>
      </c>
      <c r="G57" s="2" t="s">
        <v>70</v>
      </c>
      <c r="H57" s="2" t="str">
        <f aca="false">IFERROR(__xludf.dummyfunction("IF(I113="""", """", REGEXEXTRACT(I113, ""Padrao/([^/]+)""))"),"Jardim Saint Gerard")</f>
        <v>Jardim Saint Gerard</v>
      </c>
    </row>
    <row r="58" customFormat="false" ht="15.75" hidden="true" customHeight="false" outlineLevel="0" collapsed="false">
      <c r="A58" s="2" t="n">
        <v>96611</v>
      </c>
      <c r="B58" s="2" t="s">
        <v>82</v>
      </c>
      <c r="C58" s="2" t="n">
        <v>3</v>
      </c>
      <c r="D58" s="2" t="n">
        <v>4</v>
      </c>
      <c r="E58" s="2" t="n">
        <v>3</v>
      </c>
      <c r="F58" s="2" t="n">
        <v>176</v>
      </c>
      <c r="G58" s="2" t="s">
        <v>70</v>
      </c>
      <c r="H58" s="2" t="str">
        <f aca="false">IFERROR(__xludf.dummyfunction("IF(I114="""", """", REGEXEXTRACT(I114, ""Padrao/([^/]+)""))"),"Jardim Sao Luiz")</f>
        <v>Jardim Sao Luiz</v>
      </c>
    </row>
    <row r="59" customFormat="false" ht="15.75" hidden="true" customHeight="false" outlineLevel="0" collapsed="false">
      <c r="A59" s="2" t="n">
        <v>192131</v>
      </c>
      <c r="B59" s="2" t="s">
        <v>83</v>
      </c>
      <c r="C59" s="2" t="n">
        <v>2</v>
      </c>
      <c r="D59" s="2" t="n">
        <v>3</v>
      </c>
      <c r="E59" s="2" t="n">
        <v>2</v>
      </c>
      <c r="F59" s="2" t="n">
        <v>100</v>
      </c>
      <c r="G59" s="2" t="s">
        <v>70</v>
      </c>
      <c r="H59" s="2" t="str">
        <f aca="false">IFERROR(__xludf.dummyfunction("IF(I171="""", """", REGEXEXTRACT(I171, ""Padrao/([^/]+)""))"),"Nova Alianca")</f>
        <v>Nova Alianca</v>
      </c>
    </row>
    <row r="60" customFormat="false" ht="15.75" hidden="true" customHeight="false" outlineLevel="0" collapsed="false">
      <c r="A60" s="2" t="n">
        <v>223538</v>
      </c>
      <c r="B60" s="2" t="s">
        <v>84</v>
      </c>
      <c r="C60" s="2" t="n">
        <v>3</v>
      </c>
      <c r="D60" s="2" t="n">
        <v>5</v>
      </c>
      <c r="E60" s="2" t="n">
        <v>2</v>
      </c>
      <c r="F60" s="2" t="n">
        <v>134</v>
      </c>
      <c r="G60" s="2" t="s">
        <v>85</v>
      </c>
      <c r="H60" s="2" t="str">
        <f aca="false">IFERROR(__xludf.dummyfunction("IF(I115="""", """", REGEXEXTRACT(I115, ""Padrao/([^/]+)""))"),"Jardim Olhos DAgua")</f>
        <v>Jardim Olhos DAgua</v>
      </c>
    </row>
    <row r="61" customFormat="false" ht="15.75" hidden="true" customHeight="false" outlineLevel="0" collapsed="false">
      <c r="A61" s="2" t="n">
        <v>111689</v>
      </c>
      <c r="B61" s="2" t="s">
        <v>42</v>
      </c>
      <c r="C61" s="2" t="n">
        <v>3</v>
      </c>
      <c r="D61" s="2" t="n">
        <v>4</v>
      </c>
      <c r="E61" s="2" t="n">
        <v>2</v>
      </c>
      <c r="F61" s="2" t="n">
        <v>118</v>
      </c>
      <c r="G61" s="2" t="s">
        <v>86</v>
      </c>
      <c r="H61" s="2" t="str">
        <f aca="false">IFERROR(__xludf.dummyfunction("IF(I116="""", """", REGEXEXTRACT(I116, ""Padrao/([^/]+)""))"),"Jardim Saint Gerard")</f>
        <v>Jardim Saint Gerard</v>
      </c>
    </row>
    <row r="62" customFormat="false" ht="15.75" hidden="true" customHeight="false" outlineLevel="0" collapsed="false">
      <c r="A62" s="2" t="n">
        <v>184151</v>
      </c>
      <c r="B62" s="2" t="s">
        <v>39</v>
      </c>
      <c r="C62" s="2" t="n">
        <v>3</v>
      </c>
      <c r="D62" s="2" t="n">
        <v>4</v>
      </c>
      <c r="E62" s="2" t="n">
        <v>2</v>
      </c>
      <c r="F62" s="2" t="n">
        <v>131</v>
      </c>
      <c r="G62" s="2" t="s">
        <v>87</v>
      </c>
      <c r="H62" s="2" t="str">
        <f aca="false">IFERROR(__xludf.dummyfunction("IF(I118="""", """", REGEXEXTRACT(I118, ""Padrao/([^/]+)""))"),"Jardim Olhos DAgua")</f>
        <v>Jardim Olhos DAgua</v>
      </c>
    </row>
    <row r="63" customFormat="false" ht="15.75" hidden="true" customHeight="false" outlineLevel="0" collapsed="false">
      <c r="A63" s="2" t="n">
        <v>220601</v>
      </c>
      <c r="B63" s="2" t="s">
        <v>88</v>
      </c>
      <c r="C63" s="2" t="n">
        <v>3</v>
      </c>
      <c r="D63" s="2" t="n">
        <v>5</v>
      </c>
      <c r="E63" s="2" t="n">
        <v>2</v>
      </c>
      <c r="F63" s="2" t="n">
        <v>143</v>
      </c>
      <c r="G63" s="2" t="s">
        <v>89</v>
      </c>
      <c r="H63" s="2" t="str">
        <f aca="false">IFERROR(__xludf.dummyfunction("IF(I119="""", """", REGEXEXTRACT(I119, ""Padrao/([^/]+)""))"),"Nova Alianca")</f>
        <v>Nova Alianca</v>
      </c>
    </row>
    <row r="64" customFormat="false" ht="15.75" hidden="true" customHeight="false" outlineLevel="0" collapsed="false">
      <c r="A64" s="2" t="n">
        <v>138995</v>
      </c>
      <c r="B64" s="2" t="s">
        <v>90</v>
      </c>
      <c r="C64" s="2" t="n">
        <v>3</v>
      </c>
      <c r="D64" s="2" t="n">
        <v>3</v>
      </c>
      <c r="E64" s="2" t="n">
        <v>2</v>
      </c>
      <c r="F64" s="2" t="n">
        <v>134</v>
      </c>
      <c r="G64" s="2" t="s">
        <v>91</v>
      </c>
      <c r="H64" s="2" t="str">
        <f aca="false">IFERROR(__xludf.dummyfunction("IF(I188="""", """", REGEXEXTRACT(I188, ""Padrao/([^/]+)""))"),"Jardim Olhos DAgua")</f>
        <v>Jardim Olhos DAgua</v>
      </c>
    </row>
    <row r="65" customFormat="false" ht="15.75" hidden="true" customHeight="false" outlineLevel="0" collapsed="false">
      <c r="A65" s="2" t="n">
        <v>168197</v>
      </c>
      <c r="B65" s="2" t="s">
        <v>92</v>
      </c>
      <c r="C65" s="2" t="n">
        <v>3</v>
      </c>
      <c r="D65" s="2" t="n">
        <v>4</v>
      </c>
      <c r="E65" s="2" t="n">
        <v>3</v>
      </c>
      <c r="F65" s="2" t="n">
        <v>124</v>
      </c>
      <c r="G65" s="2" t="s">
        <v>93</v>
      </c>
      <c r="H65" s="2" t="str">
        <f aca="false">IFERROR(__xludf.dummyfunction("IF(I120="""", """", REGEXEXTRACT(I120, ""Padrao/([^/]+)""))"),"Bonfim Paulista")</f>
        <v>Bonfim Paulista</v>
      </c>
    </row>
    <row r="66" customFormat="false" ht="15.75" hidden="true" customHeight="false" outlineLevel="0" collapsed="false">
      <c r="A66" s="2" t="n">
        <v>163265</v>
      </c>
      <c r="B66" s="2" t="s">
        <v>25</v>
      </c>
      <c r="C66" s="2" t="n">
        <v>4</v>
      </c>
      <c r="D66" s="2" t="n">
        <v>3</v>
      </c>
      <c r="E66" s="2" t="n">
        <v>2</v>
      </c>
      <c r="F66" s="2" t="n">
        <v>134</v>
      </c>
      <c r="G66" s="2" t="s">
        <v>94</v>
      </c>
      <c r="H66" s="2" t="str">
        <f aca="false">IFERROR(__xludf.dummyfunction("IF(I135="""", """", REGEXEXTRACT(I135, ""Padrao/([^/]+)""))"),"Jardim Olhos DAgua")</f>
        <v>Jardim Olhos DAgua</v>
      </c>
    </row>
    <row r="67" customFormat="false" ht="15.75" hidden="true" customHeight="false" outlineLevel="0" collapsed="false">
      <c r="A67" s="2" t="n">
        <v>107810</v>
      </c>
      <c r="B67" s="2" t="s">
        <v>95</v>
      </c>
      <c r="C67" s="2" t="n">
        <v>3</v>
      </c>
      <c r="D67" s="2" t="n">
        <v>5</v>
      </c>
      <c r="E67" s="2" t="n">
        <v>3</v>
      </c>
      <c r="F67" s="2" t="n">
        <v>155</v>
      </c>
      <c r="G67" s="2" t="s">
        <v>96</v>
      </c>
      <c r="H67" s="2" t="str">
        <f aca="false">IFERROR(__xludf.dummyfunction("IF(I123="""", """", REGEXEXTRACT(I123, ""Padrao/([^/]+)""))"),"Bosque das Juritis")</f>
        <v>Bosque das Juritis</v>
      </c>
    </row>
    <row r="68" customFormat="false" ht="15.75" hidden="true" customHeight="false" outlineLevel="0" collapsed="false">
      <c r="A68" s="2" t="n">
        <v>240650</v>
      </c>
      <c r="B68" s="2" t="s">
        <v>97</v>
      </c>
      <c r="C68" s="2" t="n">
        <v>3</v>
      </c>
      <c r="D68" s="2" t="n">
        <v>4</v>
      </c>
      <c r="E68" s="2" t="n">
        <v>2</v>
      </c>
      <c r="F68" s="2" t="n">
        <v>127</v>
      </c>
      <c r="G68" s="2" t="s">
        <v>98</v>
      </c>
      <c r="H68" s="2" t="str">
        <f aca="false">IFERROR(__xludf.dummyfunction("IF(I125="""", """", REGEXEXTRACT(I125, ""Padrao/([^/]+)""))"),"Jardim Botanico")</f>
        <v>Jardim Botanico</v>
      </c>
    </row>
    <row r="69" customFormat="false" ht="15.75" hidden="true" customHeight="false" outlineLevel="0" collapsed="false">
      <c r="A69" s="2" t="n">
        <v>188027</v>
      </c>
      <c r="B69" s="2" t="s">
        <v>99</v>
      </c>
      <c r="C69" s="2" t="n">
        <v>3</v>
      </c>
      <c r="D69" s="2" t="n">
        <v>4</v>
      </c>
      <c r="E69" s="2" t="n">
        <v>2</v>
      </c>
      <c r="F69" s="2" t="n">
        <v>122</v>
      </c>
      <c r="G69" s="2" t="s">
        <v>100</v>
      </c>
      <c r="H69" s="2" t="str">
        <f aca="false">IFERROR(__xludf.dummyfunction("IF(I126="""", """", REGEXEXTRACT(I126, ""Padrao/([^/]+)""))"),"Jardim Ilhas do Sul")</f>
        <v>Jardim Ilhas do Sul</v>
      </c>
    </row>
    <row r="70" customFormat="false" ht="15.75" hidden="true" customHeight="false" outlineLevel="0" collapsed="false">
      <c r="A70" s="2" t="n">
        <v>237476</v>
      </c>
      <c r="B70" s="2" t="s">
        <v>101</v>
      </c>
      <c r="C70" s="2" t="n">
        <v>3</v>
      </c>
      <c r="D70" s="2" t="n">
        <v>4</v>
      </c>
      <c r="E70" s="2" t="n">
        <v>2</v>
      </c>
      <c r="F70" s="2" t="n">
        <v>132</v>
      </c>
      <c r="G70" s="2" t="s">
        <v>102</v>
      </c>
      <c r="H70" s="2" t="str">
        <f aca="false">IFERROR(__xludf.dummyfunction("IF(I131="""", """", REGEXEXTRACT(I131, ""Padrao/([^/]+)""))"),"Jardim Botanico")</f>
        <v>Jardim Botanico</v>
      </c>
    </row>
    <row r="71" customFormat="false" ht="15.75" hidden="true" customHeight="false" outlineLevel="0" collapsed="false">
      <c r="A71" s="2" t="n">
        <v>233153</v>
      </c>
      <c r="B71" s="2" t="s">
        <v>103</v>
      </c>
      <c r="C71" s="2" t="n">
        <v>3</v>
      </c>
      <c r="D71" s="2" t="n">
        <v>4</v>
      </c>
      <c r="E71" s="2" t="n">
        <v>2</v>
      </c>
      <c r="F71" s="2" t="n">
        <v>110</v>
      </c>
      <c r="G71" s="2" t="s">
        <v>102</v>
      </c>
      <c r="H71" s="2" t="str">
        <f aca="false">IFERROR(__xludf.dummyfunction("IF(I132="""", """", REGEXEXTRACT(I132, ""Padrao/([^/]+)""))"),"Jardim Olhos DAgua")</f>
        <v>Jardim Olhos DAgua</v>
      </c>
    </row>
    <row r="72" customFormat="false" ht="15.75" hidden="true" customHeight="false" outlineLevel="0" collapsed="false">
      <c r="A72" s="2" t="n">
        <v>230201</v>
      </c>
      <c r="B72" s="2" t="s">
        <v>104</v>
      </c>
      <c r="C72" s="2" t="n">
        <v>3</v>
      </c>
      <c r="D72" s="2" t="n">
        <v>5</v>
      </c>
      <c r="E72" s="2" t="n">
        <v>2</v>
      </c>
      <c r="F72" s="2" t="n">
        <v>158</v>
      </c>
      <c r="G72" s="2" t="s">
        <v>102</v>
      </c>
      <c r="H72" s="2" t="str">
        <f aca="false">IFERROR(__xludf.dummyfunction("IF(I133="""", """", REGEXEXTRACT(I133, ""Padrao/([^/]+)""))"),"Jardim Botanico")</f>
        <v>Jardim Botanico</v>
      </c>
    </row>
    <row r="73" customFormat="false" ht="15.75" hidden="true" customHeight="false" outlineLevel="0" collapsed="false">
      <c r="A73" s="2" t="n">
        <v>119699</v>
      </c>
      <c r="B73" s="2" t="s">
        <v>105</v>
      </c>
      <c r="C73" s="2" t="n">
        <v>3</v>
      </c>
      <c r="D73" s="2" t="n">
        <v>5</v>
      </c>
      <c r="E73" s="2" t="n">
        <v>3</v>
      </c>
      <c r="F73" s="2" t="n">
        <v>184</v>
      </c>
      <c r="G73" s="2" t="s">
        <v>102</v>
      </c>
      <c r="H73" s="2" t="str">
        <f aca="false">IFERROR(__xludf.dummyfunction("IF(I282="""", """", REGEXEXTRACT(I282, ""Padrao/([^/]+)""))"),"Residencial Alto do Ipe")</f>
        <v>Residencial Alto do Ipe</v>
      </c>
    </row>
    <row r="74" customFormat="false" ht="15.75" hidden="true" customHeight="false" outlineLevel="0" collapsed="false">
      <c r="A74" s="2" t="n">
        <v>118904</v>
      </c>
      <c r="B74" s="2" t="s">
        <v>106</v>
      </c>
      <c r="C74" s="2" t="n">
        <v>3</v>
      </c>
      <c r="D74" s="2" t="n">
        <v>5</v>
      </c>
      <c r="E74" s="2" t="n">
        <v>2</v>
      </c>
      <c r="F74" s="2" t="n">
        <v>143</v>
      </c>
      <c r="G74" s="2" t="s">
        <v>107</v>
      </c>
      <c r="H74" s="2" t="str">
        <f aca="false">IFERROR(__xludf.dummyfunction("IF(I134="""", """", REGEXEXTRACT(I134, ""Padrao/([^/]+)""))"),"Nova Alianca")</f>
        <v>Nova Alianca</v>
      </c>
    </row>
    <row r="75" customFormat="false" ht="15.75" hidden="true" customHeight="false" outlineLevel="0" collapsed="false">
      <c r="A75" s="2" t="n">
        <v>187217</v>
      </c>
      <c r="B75" s="2" t="s">
        <v>42</v>
      </c>
      <c r="C75" s="2" t="n">
        <v>3</v>
      </c>
      <c r="D75" s="2" t="n">
        <v>4</v>
      </c>
      <c r="E75" s="2" t="n">
        <v>2</v>
      </c>
      <c r="F75" s="2" t="n">
        <v>118</v>
      </c>
      <c r="G75" s="2" t="s">
        <v>108</v>
      </c>
      <c r="H75" s="2" t="str">
        <f aca="false">IFERROR(__xludf.dummyfunction("IF(I136="""", """", REGEXEXTRACT(I136, ""Padrao/([^/]+)""))"),"Jardim Saint Gerard")</f>
        <v>Jardim Saint Gerard</v>
      </c>
    </row>
    <row r="76" customFormat="false" ht="15.75" hidden="true" customHeight="false" outlineLevel="0" collapsed="false">
      <c r="A76" s="2" t="n">
        <v>187211</v>
      </c>
      <c r="B76" s="2" t="s">
        <v>42</v>
      </c>
      <c r="C76" s="2" t="n">
        <v>3</v>
      </c>
      <c r="D76" s="2" t="n">
        <v>4</v>
      </c>
      <c r="E76" s="2" t="n">
        <v>2</v>
      </c>
      <c r="F76" s="2" t="n">
        <v>118</v>
      </c>
      <c r="G76" s="2" t="s">
        <v>108</v>
      </c>
      <c r="H76" s="2" t="str">
        <f aca="false">IFERROR(__xludf.dummyfunction("IF(I137="""", """", REGEXEXTRACT(I137, ""Padrao/([^/]+)""))"),"Jardim Saint Gerard")</f>
        <v>Jardim Saint Gerard</v>
      </c>
    </row>
    <row r="77" customFormat="false" ht="15.75" hidden="true" customHeight="false" outlineLevel="0" collapsed="false">
      <c r="A77" s="2" t="n">
        <v>227678</v>
      </c>
      <c r="B77" s="2" t="s">
        <v>109</v>
      </c>
      <c r="C77" s="2" t="n">
        <v>4</v>
      </c>
      <c r="D77" s="2" t="n">
        <v>6</v>
      </c>
      <c r="E77" s="2" t="n">
        <v>3</v>
      </c>
      <c r="F77" s="2" t="n">
        <v>153</v>
      </c>
      <c r="G77" s="2" t="s">
        <v>110</v>
      </c>
      <c r="H77" s="2" t="str">
        <f aca="false">IFERROR(__xludf.dummyfunction("IF(I138="""", """", REGEXEXTRACT(I138, ""Padrao/([^/]+)""))"),"Jardim Olhos DAgua")</f>
        <v>Jardim Olhos DAgua</v>
      </c>
    </row>
    <row r="78" customFormat="false" ht="15.75" hidden="true" customHeight="false" outlineLevel="0" collapsed="false">
      <c r="A78" s="2" t="n">
        <v>217121</v>
      </c>
      <c r="B78" s="2" t="s">
        <v>111</v>
      </c>
      <c r="C78" s="2" t="n">
        <v>3</v>
      </c>
      <c r="D78" s="2" t="n">
        <v>4</v>
      </c>
      <c r="E78" s="2" t="n">
        <v>2</v>
      </c>
      <c r="F78" s="2" t="n">
        <v>133</v>
      </c>
      <c r="G78" s="2" t="s">
        <v>112</v>
      </c>
      <c r="H78" s="2" t="str">
        <f aca="false">IFERROR(__xludf.dummyfunction("IF(I139="""", """", REGEXEXTRACT(I139, ""Padrao/([^/]+)""))"),"Nova Alianca")</f>
        <v>Nova Alianca</v>
      </c>
    </row>
    <row r="79" customFormat="false" ht="15.75" hidden="true" customHeight="false" outlineLevel="0" collapsed="false">
      <c r="A79" s="2" t="n">
        <v>191765</v>
      </c>
      <c r="B79" s="2" t="s">
        <v>113</v>
      </c>
      <c r="C79" s="2" t="n">
        <v>5</v>
      </c>
      <c r="D79" s="2" t="n">
        <v>5</v>
      </c>
      <c r="E79" s="2" t="n">
        <v>3</v>
      </c>
      <c r="F79" s="2" t="n">
        <v>200</v>
      </c>
      <c r="G79" s="2" t="s">
        <v>114</v>
      </c>
      <c r="H79" s="2" t="str">
        <f aca="false">IFERROR(__xludf.dummyfunction("IF(I141="""", """", REGEXEXTRACT(I141, ""Padrao/([^/]+)""))"),"Jardim Iraja")</f>
        <v>Jardim Iraja</v>
      </c>
    </row>
    <row r="80" customFormat="false" ht="15.75" hidden="true" customHeight="false" outlineLevel="0" collapsed="false">
      <c r="A80" s="2" t="n">
        <v>209111</v>
      </c>
      <c r="B80" s="2" t="s">
        <v>115</v>
      </c>
      <c r="C80" s="2" t="n">
        <v>3</v>
      </c>
      <c r="D80" s="2" t="n">
        <v>4</v>
      </c>
      <c r="E80" s="2" t="n">
        <v>2</v>
      </c>
      <c r="F80" s="2" t="n">
        <v>139</v>
      </c>
      <c r="G80" s="2" t="s">
        <v>116</v>
      </c>
      <c r="H80" s="2" t="str">
        <f aca="false">IFERROR(__xludf.dummyfunction("IF(I142="""", """", REGEXEXTRACT(I142, ""Padrao/([^/]+)""))"),"Jardim Saint Gerard")</f>
        <v>Jardim Saint Gerard</v>
      </c>
    </row>
    <row r="81" customFormat="false" ht="15.75" hidden="true" customHeight="false" outlineLevel="0" collapsed="false">
      <c r="A81" s="2" t="n">
        <v>237920</v>
      </c>
      <c r="B81" s="2" t="s">
        <v>117</v>
      </c>
      <c r="C81" s="2" t="n">
        <v>3</v>
      </c>
      <c r="D81" s="2" t="n">
        <v>5</v>
      </c>
      <c r="E81" s="2" t="n">
        <v>2</v>
      </c>
      <c r="F81" s="2" t="n">
        <v>139</v>
      </c>
      <c r="G81" s="2" t="s">
        <v>118</v>
      </c>
      <c r="H81" s="2" t="str">
        <f aca="false">IFERROR(__xludf.dummyfunction("IF(I143="""", """", REGEXEXTRACT(I143, ""Padrao/([^/]+)""))"),"Bosque das Juritis")</f>
        <v>Bosque das Juritis</v>
      </c>
    </row>
    <row r="82" customFormat="false" ht="15.75" hidden="true" customHeight="false" outlineLevel="0" collapsed="false">
      <c r="A82" s="2" t="n">
        <v>228143</v>
      </c>
      <c r="B82" s="2" t="s">
        <v>119</v>
      </c>
      <c r="C82" s="2" t="n">
        <v>2</v>
      </c>
      <c r="D82" s="2" t="n">
        <v>3</v>
      </c>
      <c r="E82" s="2" t="n">
        <v>2</v>
      </c>
      <c r="F82" s="2" t="n">
        <v>80</v>
      </c>
      <c r="G82" s="2" t="s">
        <v>118</v>
      </c>
      <c r="H82" s="2" t="str">
        <f aca="false">IFERROR(__xludf.dummyfunction("IF(I144="""", """", REGEXEXTRACT(I144, ""Padrao/([^/]+)""))"),"Bonfim Paulista")</f>
        <v>Bonfim Paulista</v>
      </c>
    </row>
    <row r="83" customFormat="false" ht="15.75" hidden="true" customHeight="false" outlineLevel="0" collapsed="false">
      <c r="A83" s="2" t="n">
        <v>242723</v>
      </c>
      <c r="B83" s="2" t="s">
        <v>95</v>
      </c>
      <c r="C83" s="2" t="n">
        <v>3</v>
      </c>
      <c r="D83" s="2" t="n">
        <v>5</v>
      </c>
      <c r="E83" s="2" t="n">
        <v>3</v>
      </c>
      <c r="F83" s="2" t="n">
        <v>155</v>
      </c>
      <c r="G83" s="2" t="s">
        <v>120</v>
      </c>
      <c r="H83" s="2" t="str">
        <f aca="false">IFERROR(__xludf.dummyfunction("IF(I145="""", """", REGEXEXTRACT(I145, ""Padrao/([^/]+)""))"),"Bosque das Juritis")</f>
        <v>Bosque das Juritis</v>
      </c>
    </row>
    <row r="84" customFormat="false" ht="15.75" hidden="true" customHeight="false" outlineLevel="0" collapsed="false">
      <c r="A84" s="2" t="n">
        <v>219983</v>
      </c>
      <c r="B84" s="2" t="s">
        <v>121</v>
      </c>
      <c r="C84" s="2" t="n">
        <v>4</v>
      </c>
      <c r="D84" s="2" t="n">
        <v>5</v>
      </c>
      <c r="E84" s="2" t="n">
        <v>3</v>
      </c>
      <c r="F84" s="2" t="n">
        <v>186</v>
      </c>
      <c r="G84" s="2" t="s">
        <v>120</v>
      </c>
      <c r="H84" s="2" t="str">
        <f aca="false">IFERROR(__xludf.dummyfunction("IF(I146="""", """", REGEXEXTRACT(I146, ""Padrao/([^/]+)""))"),"Nova Alianca")</f>
        <v>Nova Alianca</v>
      </c>
    </row>
    <row r="85" customFormat="false" ht="15.75" hidden="true" customHeight="false" outlineLevel="0" collapsed="false">
      <c r="A85" s="2" t="n">
        <v>111674</v>
      </c>
      <c r="B85" s="2" t="s">
        <v>42</v>
      </c>
      <c r="C85" s="2" t="n">
        <v>3</v>
      </c>
      <c r="D85" s="2" t="n">
        <v>3</v>
      </c>
      <c r="E85" s="2" t="n">
        <v>2</v>
      </c>
      <c r="F85" s="2" t="n">
        <v>118</v>
      </c>
      <c r="G85" s="2" t="s">
        <v>120</v>
      </c>
      <c r="H85" s="2" t="str">
        <f aca="false">IFERROR(__xludf.dummyfunction("IF(I172="""", """", REGEXEXTRACT(I172, ""Padrao/([^/]+)""))"),"Jardim Saint Gerard")</f>
        <v>Jardim Saint Gerard</v>
      </c>
    </row>
    <row r="86" customFormat="false" ht="15.75" hidden="true" customHeight="false" outlineLevel="0" collapsed="false">
      <c r="A86" s="2" t="n">
        <v>238637</v>
      </c>
      <c r="B86" s="2" t="s">
        <v>122</v>
      </c>
      <c r="C86" s="2" t="n">
        <v>3</v>
      </c>
      <c r="D86" s="2" t="n">
        <v>4</v>
      </c>
      <c r="E86" s="2" t="n">
        <v>3</v>
      </c>
      <c r="F86" s="2" t="n">
        <v>126</v>
      </c>
      <c r="G86" s="2" t="s">
        <v>123</v>
      </c>
      <c r="H86" s="2" t="str">
        <f aca="false">IFERROR(__xludf.dummyfunction("IF(I202="""", """", REGEXEXTRACT(I202, ""Padrao/([^/]+)""))"),"Residencial Alto do Ipe")</f>
        <v>Residencial Alto do Ipe</v>
      </c>
    </row>
    <row r="87" customFormat="false" ht="15.75" hidden="true" customHeight="false" outlineLevel="0" collapsed="false">
      <c r="A87" s="2" t="n">
        <v>244712</v>
      </c>
      <c r="B87" s="2" t="s">
        <v>124</v>
      </c>
      <c r="C87" s="2" t="n">
        <v>3</v>
      </c>
      <c r="D87" s="2" t="n">
        <v>4</v>
      </c>
      <c r="E87" s="2" t="n">
        <v>4</v>
      </c>
      <c r="F87" s="2" t="n">
        <v>175</v>
      </c>
      <c r="G87" s="2" t="s">
        <v>125</v>
      </c>
      <c r="H87" s="2" t="str">
        <f aca="false">IFERROR(__xludf.dummyfunction("IF(I174="""", """", REGEXEXTRACT(I174, ""Padrao/([^/]+)""))"),"Jardim San Marco")</f>
        <v>Jardim San Marco</v>
      </c>
    </row>
    <row r="88" customFormat="false" ht="15.75" hidden="true" customHeight="false" outlineLevel="0" collapsed="false">
      <c r="A88" s="2" t="n">
        <v>233594</v>
      </c>
      <c r="B88" s="2" t="s">
        <v>126</v>
      </c>
      <c r="C88" s="2" t="n">
        <v>3</v>
      </c>
      <c r="D88" s="2" t="n">
        <v>4</v>
      </c>
      <c r="E88" s="2" t="n">
        <v>3</v>
      </c>
      <c r="F88" s="2" t="n">
        <v>131</v>
      </c>
      <c r="G88" s="2" t="s">
        <v>125</v>
      </c>
      <c r="H88" s="2" t="str">
        <f aca="false">IFERROR(__xludf.dummyfunction("IF(I175="""", """", REGEXEXTRACT(I175, ""Padrao/([^/]+)""))"),"Jardim Olhos DAgua")</f>
        <v>Jardim Olhos DAgua</v>
      </c>
    </row>
    <row r="89" customFormat="false" ht="15.75" hidden="true" customHeight="false" outlineLevel="0" collapsed="false">
      <c r="A89" s="2" t="n">
        <v>228896</v>
      </c>
      <c r="B89" s="2" t="s">
        <v>127</v>
      </c>
      <c r="C89" s="2" t="n">
        <v>2</v>
      </c>
      <c r="D89" s="2" t="n">
        <v>3</v>
      </c>
      <c r="E89" s="2" t="n">
        <v>2</v>
      </c>
      <c r="F89" s="2" t="n">
        <v>80</v>
      </c>
      <c r="G89" s="2" t="s">
        <v>125</v>
      </c>
      <c r="H89" s="2" t="str">
        <f aca="false">IFERROR(__xludf.dummyfunction("IF(I176="""", """", REGEXEXTRACT(I176, ""Padrao/([^/]+)""))"),"Vila do Golf")</f>
        <v>Vila do Golf</v>
      </c>
    </row>
    <row r="90" customFormat="false" ht="15.75" hidden="true" customHeight="false" outlineLevel="0" collapsed="false">
      <c r="A90" s="2" t="n">
        <v>218345</v>
      </c>
      <c r="B90" s="2" t="s">
        <v>128</v>
      </c>
      <c r="C90" s="2" t="n">
        <v>3</v>
      </c>
      <c r="D90" s="2" t="n">
        <v>4</v>
      </c>
      <c r="E90" s="2" t="n">
        <v>2</v>
      </c>
      <c r="F90" s="2" t="n">
        <v>109</v>
      </c>
      <c r="G90" s="2" t="s">
        <v>125</v>
      </c>
      <c r="H90" s="2" t="str">
        <f aca="false">IFERROR(__xludf.dummyfunction("IF(I177="""", """", REGEXEXTRACT(I177, ""Padrao/([^/]+)""))"),"Plazas de Espana")</f>
        <v>Plazas de Espana</v>
      </c>
    </row>
    <row r="91" customFormat="false" ht="15.75" hidden="true" customHeight="false" outlineLevel="0" collapsed="false">
      <c r="A91" s="2" t="n">
        <v>212186</v>
      </c>
      <c r="B91" s="2" t="s">
        <v>129</v>
      </c>
      <c r="C91" s="2" t="n">
        <v>3</v>
      </c>
      <c r="D91" s="2" t="n">
        <v>5</v>
      </c>
      <c r="E91" s="2" t="n">
        <v>3</v>
      </c>
      <c r="F91" s="2" t="n">
        <v>154</v>
      </c>
      <c r="G91" s="2" t="s">
        <v>125</v>
      </c>
      <c r="H91" s="2" t="str">
        <f aca="false">IFERROR(__xludf.dummyfunction("IF(I178="""", """", REGEXEXTRACT(I178, ""Padrao/([^/]+)""))"),"Jardim Olhos DAgua")</f>
        <v>Jardim Olhos DAgua</v>
      </c>
    </row>
    <row r="92" customFormat="false" ht="15.75" hidden="true" customHeight="false" outlineLevel="0" collapsed="false">
      <c r="A92" s="2" t="n">
        <v>207650</v>
      </c>
      <c r="B92" s="2" t="s">
        <v>130</v>
      </c>
      <c r="C92" s="2" t="n">
        <v>4</v>
      </c>
      <c r="D92" s="2" t="n">
        <v>4</v>
      </c>
      <c r="E92" s="2" t="n">
        <v>2</v>
      </c>
      <c r="F92" s="2" t="n">
        <v>139</v>
      </c>
      <c r="G92" s="2" t="s">
        <v>125</v>
      </c>
      <c r="H92" s="2" t="str">
        <f aca="false">IFERROR(__xludf.dummyfunction("IF(I179="""", """", REGEXEXTRACT(I179, ""Padrao/([^/]+)""))"),"Jardim Canada")</f>
        <v>Jardim Canada</v>
      </c>
    </row>
    <row r="93" customFormat="false" ht="15.75" hidden="true" customHeight="false" outlineLevel="0" collapsed="false">
      <c r="A93" s="2" t="n">
        <v>204470</v>
      </c>
      <c r="B93" s="2" t="s">
        <v>131</v>
      </c>
      <c r="C93" s="2" t="n">
        <v>4</v>
      </c>
      <c r="D93" s="2" t="n">
        <v>6</v>
      </c>
      <c r="E93" s="2" t="n">
        <v>4</v>
      </c>
      <c r="F93" s="2" t="n">
        <v>202</v>
      </c>
      <c r="G93" s="2" t="s">
        <v>125</v>
      </c>
      <c r="H93" s="2" t="str">
        <f aca="false">IFERROR(__xludf.dummyfunction("IF(I180="""", """", REGEXEXTRACT(I180, ""Padrao/([^/]+)""))"),"Jardim Iraja")</f>
        <v>Jardim Iraja</v>
      </c>
    </row>
    <row r="94" customFormat="false" ht="15.75" hidden="true" customHeight="false" outlineLevel="0" collapsed="false">
      <c r="A94" s="2" t="n">
        <v>198779</v>
      </c>
      <c r="B94" s="2" t="s">
        <v>132</v>
      </c>
      <c r="C94" s="2" t="n">
        <v>3</v>
      </c>
      <c r="D94" s="2" t="n">
        <v>5</v>
      </c>
      <c r="E94" s="2" t="n">
        <v>3</v>
      </c>
      <c r="F94" s="2" t="n">
        <v>202</v>
      </c>
      <c r="G94" s="2" t="s">
        <v>125</v>
      </c>
      <c r="H94" s="2" t="str">
        <f aca="false">IFERROR(__xludf.dummyfunction("IF(I181="""", """", REGEXEXTRACT(I181, ""Padrao/([^/]+)""))"),"Jardim Iraja")</f>
        <v>Jardim Iraja</v>
      </c>
    </row>
    <row r="95" customFormat="false" ht="15.75" hidden="true" customHeight="false" outlineLevel="0" collapsed="false">
      <c r="A95" s="2" t="n">
        <v>179318</v>
      </c>
      <c r="B95" s="2" t="s">
        <v>133</v>
      </c>
      <c r="C95" s="2" t="n">
        <v>3</v>
      </c>
      <c r="D95" s="2" t="n">
        <v>3</v>
      </c>
      <c r="E95" s="2" t="n">
        <v>2</v>
      </c>
      <c r="F95" s="2" t="n">
        <v>108</v>
      </c>
      <c r="G95" s="2" t="s">
        <v>125</v>
      </c>
      <c r="H95" s="2" t="str">
        <f aca="false">IFERROR(__xludf.dummyfunction("IF(I182="""", """", REGEXEXTRACT(I182, ""Padrao/([^/]+)""))"),"Jardim Olhos DAgua")</f>
        <v>Jardim Olhos DAgua</v>
      </c>
    </row>
    <row r="96" customFormat="false" ht="15.75" hidden="true" customHeight="false" outlineLevel="0" collapsed="false">
      <c r="A96" s="2" t="n">
        <v>170243</v>
      </c>
      <c r="B96" s="2" t="s">
        <v>134</v>
      </c>
      <c r="C96" s="2" t="n">
        <v>3</v>
      </c>
      <c r="D96" s="2" t="n">
        <v>4</v>
      </c>
      <c r="E96" s="2" t="n">
        <v>3</v>
      </c>
      <c r="F96" s="2" t="n">
        <v>125</v>
      </c>
      <c r="G96" s="2" t="s">
        <v>125</v>
      </c>
      <c r="H96" s="2" t="str">
        <f aca="false">IFERROR(__xludf.dummyfunction("IF(I183="""", """", REGEXEXTRACT(I183, ""Padrao/([^/]+)""))"),"Bonfim Paulista")</f>
        <v>Bonfim Paulista</v>
      </c>
    </row>
    <row r="97" customFormat="false" ht="15.75" hidden="true" customHeight="false" outlineLevel="0" collapsed="false">
      <c r="A97" s="2" t="n">
        <v>111728</v>
      </c>
      <c r="B97" s="2" t="s">
        <v>42</v>
      </c>
      <c r="C97" s="2" t="n">
        <v>4</v>
      </c>
      <c r="D97" s="2" t="n">
        <v>3</v>
      </c>
      <c r="E97" s="2" t="n">
        <v>2</v>
      </c>
      <c r="F97" s="2" t="n">
        <v>118</v>
      </c>
      <c r="G97" s="2" t="s">
        <v>125</v>
      </c>
      <c r="H97" s="2" t="str">
        <f aca="false">IFERROR(__xludf.dummyfunction("IF(I184="""", """", REGEXEXTRACT(I184, ""Padrao/([^/]+)""))"),"Jardim Saint Gerard")</f>
        <v>Jardim Saint Gerard</v>
      </c>
    </row>
    <row r="98" customFormat="false" ht="15.75" hidden="true" customHeight="false" outlineLevel="0" collapsed="false">
      <c r="A98" s="2" t="n">
        <v>111671</v>
      </c>
      <c r="B98" s="2" t="s">
        <v>42</v>
      </c>
      <c r="C98" s="2" t="n">
        <v>4</v>
      </c>
      <c r="D98" s="2" t="n">
        <v>3</v>
      </c>
      <c r="E98" s="2" t="n">
        <v>2</v>
      </c>
      <c r="F98" s="2" t="n">
        <v>118</v>
      </c>
      <c r="G98" s="2" t="s">
        <v>125</v>
      </c>
      <c r="H98" s="2" t="str">
        <f aca="false">IFERROR(__xludf.dummyfunction("IF(I185="""", """", REGEXEXTRACT(I185, ""Padrao/([^/]+)""))"),"Jardim Saint Gerard")</f>
        <v>Jardim Saint Gerard</v>
      </c>
    </row>
    <row r="99" customFormat="false" ht="15.75" hidden="true" customHeight="false" outlineLevel="0" collapsed="false">
      <c r="A99" s="2" t="n">
        <v>107384</v>
      </c>
      <c r="B99" s="2" t="s">
        <v>135</v>
      </c>
      <c r="C99" s="2" t="n">
        <v>3</v>
      </c>
      <c r="D99" s="2" t="n">
        <v>3</v>
      </c>
      <c r="E99" s="2" t="n">
        <v>2</v>
      </c>
      <c r="F99" s="2" t="n">
        <v>108</v>
      </c>
      <c r="G99" s="2" t="s">
        <v>125</v>
      </c>
      <c r="H99" s="2" t="str">
        <f aca="false">IFERROR(__xludf.dummyfunction("IF(I186="""", """", REGEXEXTRACT(I186, ""Padrao/([^/]+)""))"),"Jardim Olhos DAgua")</f>
        <v>Jardim Olhos DAgua</v>
      </c>
    </row>
    <row r="100" customFormat="false" ht="15.75" hidden="true" customHeight="false" outlineLevel="0" collapsed="false">
      <c r="A100" s="2" t="n">
        <v>36107</v>
      </c>
      <c r="B100" s="2" t="s">
        <v>136</v>
      </c>
      <c r="C100" s="2" t="n">
        <v>4</v>
      </c>
      <c r="D100" s="2" t="n">
        <v>5</v>
      </c>
      <c r="E100" s="2" t="n">
        <v>4</v>
      </c>
      <c r="F100" s="2" t="n">
        <v>228</v>
      </c>
      <c r="G100" s="2" t="s">
        <v>125</v>
      </c>
      <c r="H100" s="2" t="str">
        <f aca="false">IFERROR(__xludf.dummyfunction("IF(I187="""", """", REGEXEXTRACT(I187, ""Padrao/([^/]+)""))"),"Jardim Iraja")</f>
        <v>Jardim Iraja</v>
      </c>
    </row>
    <row r="101" customFormat="false" ht="15.75" hidden="true" customHeight="false" outlineLevel="0" collapsed="false">
      <c r="A101" s="2" t="n">
        <v>240986</v>
      </c>
      <c r="B101" s="2" t="s">
        <v>137</v>
      </c>
      <c r="C101" s="2" t="n">
        <v>3</v>
      </c>
      <c r="D101" s="2" t="n">
        <v>5</v>
      </c>
      <c r="E101" s="2" t="n">
        <v>2</v>
      </c>
      <c r="F101" s="2" t="n">
        <v>145</v>
      </c>
      <c r="G101" s="2" t="s">
        <v>125</v>
      </c>
      <c r="H101" s="2" t="str">
        <f aca="false">IFERROR(__xludf.dummyfunction("IF(I225="""", """", REGEXEXTRACT(I225, ""Padrao/([^/]+)""))"),"Jardim Iraja")</f>
        <v>Jardim Iraja</v>
      </c>
    </row>
    <row r="102" customFormat="false" ht="15.75" hidden="true" customHeight="false" outlineLevel="0" collapsed="false">
      <c r="A102" s="2" t="n">
        <v>93992</v>
      </c>
      <c r="B102" s="2" t="s">
        <v>138</v>
      </c>
      <c r="C102" s="2" t="n">
        <v>3</v>
      </c>
      <c r="D102" s="2" t="n">
        <v>5</v>
      </c>
      <c r="E102" s="2" t="n">
        <v>3</v>
      </c>
      <c r="F102" s="2" t="n">
        <v>180</v>
      </c>
      <c r="G102" s="2" t="s">
        <v>125</v>
      </c>
      <c r="H102" s="2" t="str">
        <f aca="false">IFERROR(__xludf.dummyfunction("IF(I257="""", """", REGEXEXTRACT(I257, ""Padrao/([^/]+)""))"),"Jardim Iraja")</f>
        <v>Jardim Iraja</v>
      </c>
    </row>
    <row r="103" customFormat="false" ht="15.75" hidden="true" customHeight="false" outlineLevel="0" collapsed="false">
      <c r="A103" s="2" t="n">
        <v>229199</v>
      </c>
      <c r="B103" s="2" t="s">
        <v>139</v>
      </c>
      <c r="C103" s="2" t="n">
        <v>3</v>
      </c>
      <c r="D103" s="2" t="n">
        <v>6</v>
      </c>
      <c r="E103" s="2" t="n">
        <v>3</v>
      </c>
      <c r="F103" s="2" t="n">
        <v>154</v>
      </c>
      <c r="G103" s="2" t="s">
        <v>140</v>
      </c>
      <c r="H103" s="2" t="str">
        <f aca="false">IFERROR(__xludf.dummyfunction("IF(I189="""", """", REGEXEXTRACT(I189, ""Padrao/([^/]+)""))"),"Jardim Olhos DAgua")</f>
        <v>Jardim Olhos DAgua</v>
      </c>
    </row>
    <row r="104" customFormat="false" ht="15.75" hidden="true" customHeight="false" outlineLevel="0" collapsed="false">
      <c r="A104" s="2" t="n">
        <v>223592</v>
      </c>
      <c r="B104" s="2" t="s">
        <v>141</v>
      </c>
      <c r="C104" s="2" t="n">
        <v>3</v>
      </c>
      <c r="D104" s="2" t="n">
        <v>5</v>
      </c>
      <c r="E104" s="2" t="n">
        <v>2</v>
      </c>
      <c r="F104" s="2" t="n">
        <v>151</v>
      </c>
      <c r="G104" s="2" t="s">
        <v>142</v>
      </c>
      <c r="H104" s="2" t="str">
        <f aca="false">IFERROR(__xludf.dummyfunction("IF(I190="""", """", REGEXEXTRACT(I190, ""Padrao/([^/]+)""))"),"Jardim Olhos DAgua")</f>
        <v>Jardim Olhos DAgua</v>
      </c>
    </row>
    <row r="105" customFormat="false" ht="15.75" hidden="true" customHeight="false" outlineLevel="0" collapsed="false">
      <c r="A105" s="2" t="n">
        <v>178877</v>
      </c>
      <c r="B105" s="2" t="s">
        <v>61</v>
      </c>
      <c r="C105" s="2" t="n">
        <v>3</v>
      </c>
      <c r="D105" s="2" t="n">
        <v>5</v>
      </c>
      <c r="E105" s="2" t="n">
        <v>2</v>
      </c>
      <c r="F105" s="2" t="n">
        <v>151</v>
      </c>
      <c r="G105" s="2" t="s">
        <v>142</v>
      </c>
      <c r="H105" s="2" t="str">
        <f aca="false">IFERROR(__xludf.dummyfunction("IF(I199="""", """", REGEXEXTRACT(I199, ""Padrao/([^/]+)""))"),"Jardim Olhos DAgua")</f>
        <v>Jardim Olhos DAgua</v>
      </c>
    </row>
    <row r="106" customFormat="false" ht="15.75" hidden="true" customHeight="false" outlineLevel="0" collapsed="false">
      <c r="A106" s="2" t="n">
        <v>227708</v>
      </c>
      <c r="B106" s="2" t="s">
        <v>143</v>
      </c>
      <c r="C106" s="2" t="n">
        <v>3</v>
      </c>
      <c r="D106" s="2" t="n">
        <v>5</v>
      </c>
      <c r="E106" s="2" t="n">
        <v>3</v>
      </c>
      <c r="F106" s="2" t="n">
        <v>153</v>
      </c>
      <c r="G106" s="2" t="s">
        <v>144</v>
      </c>
      <c r="H106" s="2" t="str">
        <f aca="false">IFERROR(__xludf.dummyfunction("IF(I191="""", """", REGEXEXTRACT(I191, ""Padrao/([^/]+)""))"),"Jardim Olhos DAgua")</f>
        <v>Jardim Olhos DAgua</v>
      </c>
    </row>
    <row r="107" customFormat="false" ht="15.75" hidden="true" customHeight="false" outlineLevel="0" collapsed="false">
      <c r="A107" s="2" t="n">
        <v>227699</v>
      </c>
      <c r="B107" s="2" t="s">
        <v>143</v>
      </c>
      <c r="C107" s="2" t="n">
        <v>3</v>
      </c>
      <c r="D107" s="2" t="n">
        <v>5</v>
      </c>
      <c r="E107" s="2" t="n">
        <v>3</v>
      </c>
      <c r="F107" s="2" t="n">
        <v>153</v>
      </c>
      <c r="G107" s="2" t="s">
        <v>144</v>
      </c>
      <c r="H107" s="2" t="str">
        <f aca="false">IFERROR(__xludf.dummyfunction("IF(I192="""", """", REGEXEXTRACT(I192, ""Padrao/([^/]+)""))"),"Jardim Olhos DAgua")</f>
        <v>Jardim Olhos DAgua</v>
      </c>
    </row>
    <row r="108" customFormat="false" ht="15.75" hidden="true" customHeight="false" outlineLevel="0" collapsed="false">
      <c r="A108" s="2" t="n">
        <v>227681</v>
      </c>
      <c r="B108" s="2" t="s">
        <v>109</v>
      </c>
      <c r="C108" s="2" t="n">
        <v>4</v>
      </c>
      <c r="D108" s="2" t="n">
        <v>6</v>
      </c>
      <c r="E108" s="2" t="n">
        <v>3</v>
      </c>
      <c r="F108" s="2" t="n">
        <v>153</v>
      </c>
      <c r="G108" s="2" t="s">
        <v>144</v>
      </c>
      <c r="H108" s="2" t="str">
        <f aca="false">IFERROR(__xludf.dummyfunction("IF(I193="""", """", REGEXEXTRACT(I193, ""Padrao/([^/]+)""))"),"Jardim Olhos DAgua")</f>
        <v>Jardim Olhos DAgua</v>
      </c>
    </row>
    <row r="109" customFormat="false" ht="15.75" hidden="true" customHeight="false" outlineLevel="0" collapsed="false">
      <c r="A109" s="2" t="n">
        <v>223334</v>
      </c>
      <c r="B109" s="2" t="s">
        <v>34</v>
      </c>
      <c r="C109" s="2" t="n">
        <v>3</v>
      </c>
      <c r="D109" s="2" t="n">
        <v>5</v>
      </c>
      <c r="E109" s="2" t="n">
        <v>2</v>
      </c>
      <c r="F109" s="2" t="n">
        <v>126</v>
      </c>
      <c r="G109" s="2" t="s">
        <v>145</v>
      </c>
      <c r="H109" s="2" t="str">
        <f aca="false">IFERROR(__xludf.dummyfunction("IF(I205="""", """", REGEXEXTRACT(I205, ""Padrao/([^/]+)""))"),"Jardim Botanico")</f>
        <v>Jardim Botanico</v>
      </c>
    </row>
    <row r="110" customFormat="false" ht="15.75" hidden="true" customHeight="false" outlineLevel="0" collapsed="false">
      <c r="A110" s="2" t="n">
        <v>210167</v>
      </c>
      <c r="B110" s="2" t="s">
        <v>54</v>
      </c>
      <c r="C110" s="2" t="n">
        <v>3</v>
      </c>
      <c r="D110" s="2" t="n">
        <v>5</v>
      </c>
      <c r="E110" s="2" t="n">
        <v>2</v>
      </c>
      <c r="F110" s="2" t="n">
        <v>132</v>
      </c>
      <c r="G110" s="2" t="s">
        <v>146</v>
      </c>
      <c r="H110" s="2" t="str">
        <f aca="false">IFERROR(__xludf.dummyfunction("IF(I195="""", """", REGEXEXTRACT(I195, ""Padrao/([^/]+)""))"),"Jardim Botanico")</f>
        <v>Jardim Botanico</v>
      </c>
    </row>
    <row r="111" customFormat="false" ht="15.75" hidden="true" customHeight="false" outlineLevel="0" collapsed="false">
      <c r="A111" s="2" t="n">
        <v>224324</v>
      </c>
      <c r="B111" s="2" t="s">
        <v>147</v>
      </c>
      <c r="C111" s="2" t="n">
        <v>4</v>
      </c>
      <c r="D111" s="2" t="n">
        <v>4</v>
      </c>
      <c r="E111" s="2" t="n">
        <v>2</v>
      </c>
      <c r="F111" s="2" t="n">
        <v>199</v>
      </c>
      <c r="G111" s="2" t="s">
        <v>146</v>
      </c>
      <c r="H111" s="2" t="str">
        <f aca="false">IFERROR(__xludf.dummyfunction("IF(I283="""", """", REGEXEXTRACT(I283, ""Padrao/([^/]+)""))"),"Ribeirania")</f>
        <v>Ribeirania</v>
      </c>
    </row>
    <row r="112" customFormat="false" ht="15.75" hidden="true" customHeight="false" outlineLevel="0" collapsed="false">
      <c r="A112" s="2" t="n">
        <v>201029</v>
      </c>
      <c r="B112" s="2" t="s">
        <v>148</v>
      </c>
      <c r="C112" s="2" t="n">
        <v>3</v>
      </c>
      <c r="D112" s="2" t="n">
        <v>5</v>
      </c>
      <c r="E112" s="2" t="n">
        <v>3</v>
      </c>
      <c r="F112" s="2" t="n">
        <v>194</v>
      </c>
      <c r="G112" s="2" t="s">
        <v>149</v>
      </c>
      <c r="H112" s="2" t="str">
        <f aca="false">IFERROR(__xludf.dummyfunction("IF(I196="""", """", REGEXEXTRACT(I196, ""Padrao/([^/]+)""))"),"Jardim Botanico")</f>
        <v>Jardim Botanico</v>
      </c>
    </row>
    <row r="113" customFormat="false" ht="15.75" hidden="true" customHeight="false" outlineLevel="0" collapsed="false">
      <c r="A113" s="2" t="n">
        <v>220700</v>
      </c>
      <c r="B113" s="2" t="s">
        <v>23</v>
      </c>
      <c r="C113" s="2" t="n">
        <v>3</v>
      </c>
      <c r="D113" s="2" t="n">
        <v>4</v>
      </c>
      <c r="E113" s="2" t="n">
        <v>2</v>
      </c>
      <c r="F113" s="2" t="n">
        <v>126</v>
      </c>
      <c r="G113" s="2" t="s">
        <v>150</v>
      </c>
      <c r="H113" s="2" t="str">
        <f aca="false">IFERROR(__xludf.dummyfunction("IF(I197="""", """", REGEXEXTRACT(I197, ""Padrao/([^/]+)""))"),"Jardim Olhos DAgua")</f>
        <v>Jardim Olhos DAgua</v>
      </c>
    </row>
    <row r="114" customFormat="false" ht="15.75" hidden="true" customHeight="false" outlineLevel="0" collapsed="false">
      <c r="A114" s="2" t="n">
        <v>203183</v>
      </c>
      <c r="B114" s="2" t="s">
        <v>151</v>
      </c>
      <c r="C114" s="2" t="n">
        <v>3</v>
      </c>
      <c r="D114" s="2" t="n">
        <v>4</v>
      </c>
      <c r="E114" s="2" t="n">
        <v>3</v>
      </c>
      <c r="F114" s="2" t="n">
        <v>163</v>
      </c>
      <c r="G114" s="2" t="s">
        <v>152</v>
      </c>
      <c r="H114" s="2" t="str">
        <f aca="false">IFERROR(__xludf.dummyfunction("IF(I198="""", """", REGEXEXTRACT(I198, ""Padrao/([^/]+)""))"),"Jardim Botanico")</f>
        <v>Jardim Botanico</v>
      </c>
    </row>
    <row r="115" customFormat="false" ht="15.75" hidden="true" customHeight="false" outlineLevel="0" collapsed="false">
      <c r="A115" s="2" t="n">
        <v>178871</v>
      </c>
      <c r="B115" s="2" t="s">
        <v>61</v>
      </c>
      <c r="C115" s="2" t="n">
        <v>3</v>
      </c>
      <c r="D115" s="2" t="n">
        <v>5</v>
      </c>
      <c r="E115" s="2" t="n">
        <v>2</v>
      </c>
      <c r="F115" s="2" t="n">
        <v>151</v>
      </c>
      <c r="G115" s="2" t="s">
        <v>153</v>
      </c>
      <c r="H115" s="2" t="str">
        <f aca="false">IFERROR(__xludf.dummyfunction("IF(I200="""", """", REGEXEXTRACT(I200, ""Padrao/([^/]+)""))"),"Jardim Olhos DAgua")</f>
        <v>Jardim Olhos DAgua</v>
      </c>
    </row>
    <row r="116" customFormat="false" ht="15.75" hidden="true" customHeight="false" outlineLevel="0" collapsed="false">
      <c r="A116" s="2" t="n">
        <v>152855</v>
      </c>
      <c r="B116" s="2" t="s">
        <v>154</v>
      </c>
      <c r="C116" s="2" t="n">
        <v>4</v>
      </c>
      <c r="D116" s="2" t="n">
        <v>4</v>
      </c>
      <c r="E116" s="2" t="n">
        <v>2</v>
      </c>
      <c r="F116" s="2" t="n">
        <v>139</v>
      </c>
      <c r="G116" s="2" t="s">
        <v>155</v>
      </c>
      <c r="H116" s="2" t="str">
        <f aca="false">IFERROR(__xludf.dummyfunction("IF(I201="""", """", REGEXEXTRACT(I201, ""Padrao/([^/]+)""))"),"Jardim Canada")</f>
        <v>Jardim Canada</v>
      </c>
    </row>
    <row r="117" customFormat="false" ht="15.75" hidden="true" customHeight="false" outlineLevel="0" collapsed="false">
      <c r="A117" s="2" t="n">
        <v>243818</v>
      </c>
      <c r="B117" s="2" t="s">
        <v>54</v>
      </c>
      <c r="C117" s="2" t="n">
        <v>3</v>
      </c>
      <c r="D117" s="2" t="n">
        <v>4</v>
      </c>
      <c r="E117" s="2" t="n">
        <v>2</v>
      </c>
      <c r="F117" s="2" t="n">
        <v>132</v>
      </c>
      <c r="G117" s="2" t="s">
        <v>156</v>
      </c>
      <c r="H117" s="2" t="str">
        <f aca="false">IFERROR(__xludf.dummyfunction("IF(I203="""", """", REGEXEXTRACT(I203, ""Padrao/([^/]+)""))"),"Jardim Botanico")</f>
        <v>Jardim Botanico</v>
      </c>
    </row>
    <row r="118" customFormat="false" ht="15.75" hidden="true" customHeight="false" outlineLevel="0" collapsed="false">
      <c r="A118" s="2" t="n">
        <v>237773</v>
      </c>
      <c r="B118" s="2" t="s">
        <v>54</v>
      </c>
      <c r="C118" s="2" t="n">
        <v>3</v>
      </c>
      <c r="D118" s="2" t="n">
        <v>4</v>
      </c>
      <c r="E118" s="2" t="n">
        <v>2</v>
      </c>
      <c r="F118" s="2" t="n">
        <v>132</v>
      </c>
      <c r="G118" s="2" t="s">
        <v>157</v>
      </c>
      <c r="H118" s="2" t="str">
        <f aca="false">IFERROR(__xludf.dummyfunction("IF(I207="""", """", REGEXEXTRACT(I207, ""Padrao/([^/]+)""))"),"Jardim Botanico")</f>
        <v>Jardim Botanico</v>
      </c>
    </row>
    <row r="119" customFormat="false" ht="15.75" hidden="true" customHeight="false" outlineLevel="0" collapsed="false">
      <c r="A119" s="2" t="n">
        <v>224297</v>
      </c>
      <c r="B119" s="2" t="s">
        <v>84</v>
      </c>
      <c r="C119" s="2" t="n">
        <v>3</v>
      </c>
      <c r="D119" s="2" t="n">
        <v>5</v>
      </c>
      <c r="E119" s="2" t="n">
        <v>2</v>
      </c>
      <c r="F119" s="2" t="n">
        <v>134</v>
      </c>
      <c r="G119" s="2" t="s">
        <v>157</v>
      </c>
      <c r="H119" s="2" t="str">
        <f aca="false">IFERROR(__xludf.dummyfunction("IF(I208="""", """", REGEXEXTRACT(I208, ""Padrao/([^/]+)""))"),"Jardim Olhos DAgua")</f>
        <v>Jardim Olhos DAgua</v>
      </c>
    </row>
    <row r="120" customFormat="false" ht="15.75" hidden="true" customHeight="false" outlineLevel="0" collapsed="false">
      <c r="A120" s="2" t="n">
        <v>220622</v>
      </c>
      <c r="B120" s="2" t="s">
        <v>158</v>
      </c>
      <c r="C120" s="2" t="n">
        <v>3</v>
      </c>
      <c r="D120" s="2" t="n">
        <v>5</v>
      </c>
      <c r="E120" s="2" t="n">
        <v>2</v>
      </c>
      <c r="F120" s="2" t="n">
        <v>171</v>
      </c>
      <c r="G120" s="2" t="s">
        <v>157</v>
      </c>
      <c r="H120" s="2" t="str">
        <f aca="false">IFERROR(__xludf.dummyfunction("IF(I209="""", """", REGEXEXTRACT(I209, ""Padrao/([^/]+)""))"),"Nova Alianca")</f>
        <v>Nova Alianca</v>
      </c>
    </row>
    <row r="121" customFormat="false" ht="15.75" hidden="true" customHeight="false" outlineLevel="0" collapsed="false">
      <c r="A121" s="2" t="n">
        <v>215528</v>
      </c>
      <c r="B121" s="2" t="s">
        <v>143</v>
      </c>
      <c r="C121" s="2" t="n">
        <v>3</v>
      </c>
      <c r="D121" s="2" t="n">
        <v>5</v>
      </c>
      <c r="E121" s="2" t="n">
        <v>3</v>
      </c>
      <c r="F121" s="2" t="n">
        <v>153</v>
      </c>
      <c r="G121" s="2" t="s">
        <v>157</v>
      </c>
      <c r="H121" s="2" t="str">
        <f aca="false">IFERROR(__xludf.dummyfunction("IF(I210="""", """", REGEXEXTRACT(I210, ""Padrao/([^/]+)""))"),"Jardim Olhos DAgua")</f>
        <v>Jardim Olhos DAgua</v>
      </c>
    </row>
    <row r="122" customFormat="false" ht="15.75" hidden="true" customHeight="false" outlineLevel="0" collapsed="false">
      <c r="A122" s="2" t="n">
        <v>215432</v>
      </c>
      <c r="B122" s="2" t="s">
        <v>159</v>
      </c>
      <c r="C122" s="2" t="n">
        <v>4</v>
      </c>
      <c r="D122" s="2" t="n">
        <v>5</v>
      </c>
      <c r="E122" s="2" t="n">
        <v>3</v>
      </c>
      <c r="F122" s="2" t="n">
        <v>252</v>
      </c>
      <c r="G122" s="2" t="s">
        <v>157</v>
      </c>
      <c r="H122" s="2" t="str">
        <f aca="false">IFERROR(__xludf.dummyfunction("IF(I211="""", """", REGEXEXTRACT(I211, ""Padrao/([^/]+)""))"),"Centro")</f>
        <v>Centro</v>
      </c>
    </row>
    <row r="123" customFormat="false" ht="15.75" hidden="true" customHeight="false" outlineLevel="0" collapsed="false">
      <c r="A123" s="2" t="n">
        <v>210833</v>
      </c>
      <c r="B123" s="2" t="s">
        <v>95</v>
      </c>
      <c r="C123" s="2" t="n">
        <v>3</v>
      </c>
      <c r="D123" s="2" t="n">
        <v>5</v>
      </c>
      <c r="E123" s="2" t="n">
        <v>3</v>
      </c>
      <c r="F123" s="2" t="n">
        <v>155</v>
      </c>
      <c r="G123" s="2" t="s">
        <v>157</v>
      </c>
      <c r="H123" s="2" t="str">
        <f aca="false">IFERROR(__xludf.dummyfunction("IF(I212="""", """", REGEXEXTRACT(I212, ""Padrao/([^/]+)""))"),"Bosque das Juritis")</f>
        <v>Bosque das Juritis</v>
      </c>
    </row>
    <row r="124" customFormat="false" ht="15.75" hidden="true" customHeight="false" outlineLevel="0" collapsed="false">
      <c r="A124" s="2" t="n">
        <v>208883</v>
      </c>
      <c r="B124" s="2" t="s">
        <v>160</v>
      </c>
      <c r="C124" s="2" t="n">
        <v>4</v>
      </c>
      <c r="D124" s="2" t="n">
        <v>5</v>
      </c>
      <c r="E124" s="2" t="n">
        <v>3</v>
      </c>
      <c r="F124" s="2" t="n">
        <v>160</v>
      </c>
      <c r="G124" s="2" t="s">
        <v>157</v>
      </c>
      <c r="H124" s="2" t="str">
        <f aca="false">IFERROR(__xludf.dummyfunction("IF(I213="""", """", REGEXEXTRACT(I213, ""Padrao/([^/]+)""))"),"Jardim Botanico")</f>
        <v>Jardim Botanico</v>
      </c>
    </row>
    <row r="125" customFormat="false" ht="15.75" hidden="true" customHeight="false" outlineLevel="0" collapsed="false">
      <c r="A125" s="2" t="n">
        <v>126758</v>
      </c>
      <c r="B125" s="2" t="s">
        <v>161</v>
      </c>
      <c r="C125" s="2" t="n">
        <v>3</v>
      </c>
      <c r="D125" s="2" t="n">
        <v>4</v>
      </c>
      <c r="E125" s="2" t="n">
        <v>2</v>
      </c>
      <c r="F125" s="2" t="n">
        <v>152</v>
      </c>
      <c r="G125" s="2" t="s">
        <v>157</v>
      </c>
      <c r="H125" s="2" t="str">
        <f aca="false">IFERROR(__xludf.dummyfunction("IF(I214="""", """", REGEXEXTRACT(I214, ""Padrao/([^/]+)""))"),"Nova Alianca")</f>
        <v>Nova Alianca</v>
      </c>
    </row>
    <row r="126" customFormat="false" ht="15.75" hidden="true" customHeight="false" outlineLevel="0" collapsed="false">
      <c r="A126" s="2" t="n">
        <v>111830</v>
      </c>
      <c r="B126" s="2" t="s">
        <v>162</v>
      </c>
      <c r="C126" s="2" t="n">
        <v>4</v>
      </c>
      <c r="D126" s="2" t="n">
        <v>4</v>
      </c>
      <c r="E126" s="2" t="n">
        <v>2</v>
      </c>
      <c r="F126" s="2" t="n">
        <v>148</v>
      </c>
      <c r="G126" s="2" t="s">
        <v>157</v>
      </c>
      <c r="H126" s="2" t="str">
        <f aca="false">IFERROR(__xludf.dummyfunction("IF(I215="""", """", REGEXEXTRACT(I215, ""Padrao/([^/]+)""))"),"Jardim Botanico")</f>
        <v>Jardim Botanico</v>
      </c>
    </row>
    <row r="127" customFormat="false" ht="15.75" hidden="true" customHeight="false" outlineLevel="0" collapsed="false">
      <c r="A127" s="2" t="n">
        <v>15812</v>
      </c>
      <c r="B127" s="2" t="s">
        <v>163</v>
      </c>
      <c r="C127" s="2" t="n">
        <v>4</v>
      </c>
      <c r="D127" s="2" t="n">
        <v>4</v>
      </c>
      <c r="E127" s="2" t="n">
        <v>4</v>
      </c>
      <c r="F127" s="2" t="n">
        <v>289</v>
      </c>
      <c r="G127" s="2" t="s">
        <v>157</v>
      </c>
      <c r="H127" s="2" t="str">
        <f aca="false">IFERROR(__xludf.dummyfunction("IF(I428="""", """", REGEXEXTRACT(I428, ""Padrao/([^/]+)""))"),"Centro")</f>
        <v>Centro</v>
      </c>
    </row>
    <row r="128" customFormat="false" ht="15.75" hidden="true" customHeight="false" outlineLevel="0" collapsed="false">
      <c r="A128" s="2" t="n">
        <v>163136</v>
      </c>
      <c r="B128" s="2" t="s">
        <v>141</v>
      </c>
      <c r="C128" s="2" t="n">
        <v>3</v>
      </c>
      <c r="D128" s="2" t="n">
        <v>4</v>
      </c>
      <c r="E128" s="2" t="n">
        <v>2</v>
      </c>
      <c r="F128" s="2" t="n">
        <v>151</v>
      </c>
      <c r="G128" s="2" t="s">
        <v>164</v>
      </c>
      <c r="H128" s="2" t="str">
        <f aca="false">IFERROR(__xludf.dummyfunction("IF(I216="""", """", REGEXEXTRACT(I216, ""Padrao/([^/]+)""))"),"Jardim Olhos DAgua")</f>
        <v>Jardim Olhos DAgua</v>
      </c>
    </row>
    <row r="129" customFormat="false" ht="15.75" hidden="true" customHeight="false" outlineLevel="0" collapsed="false">
      <c r="A129" s="2" t="n">
        <v>221126</v>
      </c>
      <c r="B129" s="2" t="s">
        <v>165</v>
      </c>
      <c r="C129" s="2" t="n">
        <v>3</v>
      </c>
      <c r="D129" s="2" t="n">
        <v>5</v>
      </c>
      <c r="E129" s="2" t="n">
        <v>2</v>
      </c>
      <c r="F129" s="2" t="n">
        <v>158</v>
      </c>
      <c r="G129" s="2" t="s">
        <v>166</v>
      </c>
      <c r="H129" s="2" t="str">
        <f aca="false">IFERROR(__xludf.dummyfunction("IF(I217="""", """", REGEXEXTRACT(I217, ""Padrao/([^/]+)""))"),"Jardim Olhos DAgua")</f>
        <v>Jardim Olhos DAgua</v>
      </c>
    </row>
    <row r="130" customFormat="false" ht="15.75" hidden="true" customHeight="false" outlineLevel="0" collapsed="false">
      <c r="A130" s="2" t="n">
        <v>215969</v>
      </c>
      <c r="B130" s="2" t="s">
        <v>167</v>
      </c>
      <c r="C130" s="2" t="n">
        <v>2</v>
      </c>
      <c r="D130" s="2" t="n">
        <v>3</v>
      </c>
      <c r="E130" s="2" t="n">
        <v>2</v>
      </c>
      <c r="F130" s="2" t="n">
        <v>83</v>
      </c>
      <c r="G130" s="2" t="s">
        <v>168</v>
      </c>
      <c r="H130" s="2" t="str">
        <f aca="false">IFERROR(__xludf.dummyfunction("IF(I218="""", """", REGEXEXTRACT(I218, ""Padrao/([^/]+)""))"),"Jardim Botanico")</f>
        <v>Jardim Botanico</v>
      </c>
    </row>
    <row r="131" customFormat="false" ht="15.75" hidden="true" customHeight="false" outlineLevel="0" collapsed="false">
      <c r="A131" s="2" t="n">
        <v>178874</v>
      </c>
      <c r="B131" s="2" t="s">
        <v>61</v>
      </c>
      <c r="C131" s="2" t="n">
        <v>3</v>
      </c>
      <c r="D131" s="2" t="n">
        <v>5</v>
      </c>
      <c r="E131" s="2" t="n">
        <v>2</v>
      </c>
      <c r="F131" s="2" t="n">
        <v>151</v>
      </c>
      <c r="G131" s="2" t="s">
        <v>169</v>
      </c>
      <c r="H131" s="2" t="str">
        <f aca="false">IFERROR(__xludf.dummyfunction("IF(I219="""", """", REGEXEXTRACT(I219, ""Padrao/([^/]+)""))"),"Jardim Olhos DAgua")</f>
        <v>Jardim Olhos DAgua</v>
      </c>
    </row>
    <row r="132" customFormat="false" ht="15.75" hidden="true" customHeight="false" outlineLevel="0" collapsed="false">
      <c r="A132" s="2" t="n">
        <v>182051</v>
      </c>
      <c r="B132" s="2" t="s">
        <v>170</v>
      </c>
      <c r="C132" s="2" t="n">
        <v>3</v>
      </c>
      <c r="D132" s="2" t="n">
        <v>5</v>
      </c>
      <c r="E132" s="2" t="n">
        <v>2</v>
      </c>
      <c r="F132" s="2" t="n">
        <v>158</v>
      </c>
      <c r="G132" s="2" t="s">
        <v>171</v>
      </c>
      <c r="H132" s="2" t="str">
        <f aca="false">IFERROR(__xludf.dummyfunction("IF(I220="""", """", REGEXEXTRACT(I220, ""Padrao/([^/]+)""))"),"Jardim Olhos DAgua")</f>
        <v>Jardim Olhos DAgua</v>
      </c>
    </row>
    <row r="133" customFormat="false" ht="15.75" hidden="true" customHeight="false" outlineLevel="0" collapsed="false">
      <c r="A133" s="2" t="n">
        <v>122006</v>
      </c>
      <c r="B133" s="2" t="s">
        <v>172</v>
      </c>
      <c r="C133" s="2" t="n">
        <v>3</v>
      </c>
      <c r="D133" s="2" t="n">
        <v>4</v>
      </c>
      <c r="E133" s="2" t="n">
        <v>2</v>
      </c>
      <c r="F133" s="2" t="n">
        <v>103</v>
      </c>
      <c r="G133" s="2" t="s">
        <v>173</v>
      </c>
      <c r="H133" s="2" t="str">
        <f aca="false">IFERROR(__xludf.dummyfunction("IF(I221="""", """", REGEXEXTRACT(I221, ""Padrao/([^/]+)""))"),"Jardim Botanico")</f>
        <v>Jardim Botanico</v>
      </c>
    </row>
    <row r="134" customFormat="false" ht="15.75" hidden="true" customHeight="false" outlineLevel="0" collapsed="false">
      <c r="A134" s="2" t="n">
        <v>218480</v>
      </c>
      <c r="B134" s="2" t="s">
        <v>174</v>
      </c>
      <c r="C134" s="2" t="n">
        <v>2</v>
      </c>
      <c r="D134" s="2" t="n">
        <v>4</v>
      </c>
      <c r="E134" s="2" t="n">
        <v>2</v>
      </c>
      <c r="F134" s="2" t="n">
        <v>123</v>
      </c>
      <c r="G134" s="2" t="s">
        <v>175</v>
      </c>
      <c r="H134" s="2" t="str">
        <f aca="false">IFERROR(__xludf.dummyfunction("IF(I222="""", """", REGEXEXTRACT(I222, ""Padrao/([^/]+)""))"),"Jardim Botanico")</f>
        <v>Jardim Botanico</v>
      </c>
    </row>
    <row r="135" customFormat="false" ht="15.75" hidden="true" customHeight="false" outlineLevel="0" collapsed="false">
      <c r="A135" s="2" t="n">
        <v>217625</v>
      </c>
      <c r="B135" s="2" t="s">
        <v>176</v>
      </c>
      <c r="C135" s="2" t="n">
        <v>2</v>
      </c>
      <c r="D135" s="2" t="n">
        <v>4</v>
      </c>
      <c r="E135" s="2" t="n">
        <v>2</v>
      </c>
      <c r="F135" s="2" t="n">
        <v>109</v>
      </c>
      <c r="G135" s="2" t="s">
        <v>175</v>
      </c>
      <c r="H135" s="2" t="str">
        <f aca="false">IFERROR(__xludf.dummyfunction("IF(I223="""", """", REGEXEXTRACT(I223, ""Padrao/([^/]+)""))"),"Plazas de Espana")</f>
        <v>Plazas de Espana</v>
      </c>
    </row>
    <row r="136" customFormat="false" ht="15.75" hidden="true" customHeight="false" outlineLevel="0" collapsed="false">
      <c r="A136" s="2" t="n">
        <v>211505</v>
      </c>
      <c r="B136" s="2" t="s">
        <v>54</v>
      </c>
      <c r="C136" s="2" t="n">
        <v>3</v>
      </c>
      <c r="D136" s="2" t="n">
        <v>5</v>
      </c>
      <c r="E136" s="2" t="n">
        <v>2</v>
      </c>
      <c r="F136" s="2" t="n">
        <v>132</v>
      </c>
      <c r="G136" s="2" t="s">
        <v>175</v>
      </c>
      <c r="H136" s="2" t="str">
        <f aca="false">IFERROR(__xludf.dummyfunction("IF(I224="""", """", REGEXEXTRACT(I224, ""Padrao/([^/]+)""))"),"Jardim Botanico")</f>
        <v>Jardim Botanico</v>
      </c>
    </row>
    <row r="137" customFormat="false" ht="15.75" hidden="true" customHeight="false" outlineLevel="0" collapsed="false">
      <c r="A137" s="2" t="n">
        <v>194102</v>
      </c>
      <c r="B137" s="2" t="s">
        <v>177</v>
      </c>
      <c r="C137" s="2" t="n">
        <v>3</v>
      </c>
      <c r="D137" s="2" t="n">
        <v>5</v>
      </c>
      <c r="E137" s="2" t="n">
        <v>3</v>
      </c>
      <c r="F137" s="2" t="n">
        <v>194</v>
      </c>
      <c r="G137" s="2" t="s">
        <v>178</v>
      </c>
      <c r="H137" s="2" t="str">
        <f aca="false">IFERROR(__xludf.dummyfunction("IF(I284="""", """", REGEXEXTRACT(I284, ""Padrao/([^/]+)""))"),"Jardim Botanico")</f>
        <v>Jardim Botanico</v>
      </c>
    </row>
    <row r="138" customFormat="false" ht="15.75" hidden="true" customHeight="false" outlineLevel="0" collapsed="false">
      <c r="A138" s="2" t="n">
        <v>245654</v>
      </c>
      <c r="B138" s="2" t="s">
        <v>179</v>
      </c>
      <c r="C138" s="2" t="n">
        <v>3</v>
      </c>
      <c r="D138" s="2" t="n">
        <v>5</v>
      </c>
      <c r="E138" s="2" t="n">
        <v>2</v>
      </c>
      <c r="F138" s="2" t="n">
        <v>158</v>
      </c>
      <c r="G138" s="2" t="s">
        <v>180</v>
      </c>
      <c r="H138" s="2" t="str">
        <f aca="false">IFERROR(__xludf.dummyfunction("IF(I226="""", """", REGEXEXTRACT(I226, ""Padrao/([^/]+)""))"),"Jardim Botanico")</f>
        <v>Jardim Botanico</v>
      </c>
    </row>
    <row r="139" customFormat="false" ht="15.75" hidden="true" customHeight="false" outlineLevel="0" collapsed="false">
      <c r="A139" s="2" t="n">
        <v>219113</v>
      </c>
      <c r="B139" s="2" t="s">
        <v>181</v>
      </c>
      <c r="C139" s="2" t="n">
        <v>3</v>
      </c>
      <c r="D139" s="2" t="n">
        <v>4</v>
      </c>
      <c r="E139" s="2" t="n">
        <v>2</v>
      </c>
      <c r="F139" s="2" t="n">
        <v>93</v>
      </c>
      <c r="G139" s="2" t="s">
        <v>180</v>
      </c>
      <c r="H139" s="2" t="str">
        <f aca="false">IFERROR(__xludf.dummyfunction("IF(I227="""", """", REGEXEXTRACT(I227, ""Padrao/([^/]+)""))"),"Jardim Botanico")</f>
        <v>Jardim Botanico</v>
      </c>
    </row>
    <row r="140" customFormat="false" ht="15.75" hidden="true" customHeight="false" outlineLevel="0" collapsed="false">
      <c r="A140" s="2" t="n">
        <v>216386</v>
      </c>
      <c r="B140" s="2" t="s">
        <v>23</v>
      </c>
      <c r="C140" s="2" t="n">
        <v>3</v>
      </c>
      <c r="D140" s="2" t="n">
        <v>4</v>
      </c>
      <c r="E140" s="2" t="n">
        <v>2</v>
      </c>
      <c r="F140" s="2" t="n">
        <v>126</v>
      </c>
      <c r="G140" s="2" t="s">
        <v>180</v>
      </c>
      <c r="H140" s="2" t="str">
        <f aca="false">IFERROR(__xludf.dummyfunction("IF(I228="""", """", REGEXEXTRACT(I228, ""Padrao/([^/]+)""))"),"Jardim Olhos DAgua")</f>
        <v>Jardim Olhos DAgua</v>
      </c>
    </row>
    <row r="141" customFormat="false" ht="15.75" hidden="true" customHeight="false" outlineLevel="0" collapsed="false">
      <c r="A141" s="2" t="n">
        <v>215285</v>
      </c>
      <c r="B141" s="2" t="s">
        <v>182</v>
      </c>
      <c r="C141" s="2" t="n">
        <v>3</v>
      </c>
      <c r="D141" s="2" t="n">
        <v>5</v>
      </c>
      <c r="E141" s="2" t="n">
        <v>3</v>
      </c>
      <c r="F141" s="2" t="n">
        <v>154</v>
      </c>
      <c r="G141" s="2" t="s">
        <v>180</v>
      </c>
      <c r="H141" s="2" t="str">
        <f aca="false">IFERROR(__xludf.dummyfunction("IF(I229="""", """", REGEXEXTRACT(I229, ""Padrao/([^/]+)""))"),"Jardim Olhos DAgua")</f>
        <v>Jardim Olhos DAgua</v>
      </c>
    </row>
    <row r="142" customFormat="false" ht="15.75" hidden="true" customHeight="false" outlineLevel="0" collapsed="false">
      <c r="A142" s="2" t="n">
        <v>192377</v>
      </c>
      <c r="B142" s="2" t="s">
        <v>183</v>
      </c>
      <c r="C142" s="2" t="n">
        <v>4</v>
      </c>
      <c r="D142" s="2" t="n">
        <v>4</v>
      </c>
      <c r="E142" s="2" t="n">
        <v>3</v>
      </c>
      <c r="F142" s="2" t="n">
        <v>180</v>
      </c>
      <c r="G142" s="2" t="s">
        <v>180</v>
      </c>
      <c r="H142" s="2" t="str">
        <f aca="false">IFERROR(__xludf.dummyfunction("IF(I230="""", """", REGEXEXTRACT(I230, ""Padrao/([^/]+)""))"),"Jardim Canada")</f>
        <v>Jardim Canada</v>
      </c>
    </row>
    <row r="143" customFormat="false" ht="15.75" hidden="true" customHeight="false" outlineLevel="0" collapsed="false">
      <c r="A143" s="2" t="n">
        <v>234248</v>
      </c>
      <c r="B143" s="2" t="s">
        <v>122</v>
      </c>
      <c r="C143" s="2" t="n">
        <v>3</v>
      </c>
      <c r="D143" s="2" t="n">
        <v>4</v>
      </c>
      <c r="E143" s="2" t="n">
        <v>3</v>
      </c>
      <c r="F143" s="2" t="n">
        <v>126</v>
      </c>
      <c r="G143" s="2" t="s">
        <v>184</v>
      </c>
      <c r="H143" s="2" t="str">
        <f aca="false">IFERROR(__xludf.dummyfunction("IF(I231="""", """", REGEXEXTRACT(I231, ""Padrao/([^/]+)""))"),"Residencial Alto do Ipe")</f>
        <v>Residencial Alto do Ipe</v>
      </c>
    </row>
    <row r="144" customFormat="false" ht="15.75" hidden="true" customHeight="false" outlineLevel="0" collapsed="false">
      <c r="A144" s="2" t="n">
        <v>229454</v>
      </c>
      <c r="B144" s="2" t="s">
        <v>185</v>
      </c>
      <c r="C144" s="2" t="n">
        <v>4</v>
      </c>
      <c r="D144" s="2" t="n">
        <v>7</v>
      </c>
      <c r="E144" s="2" t="n">
        <v>5</v>
      </c>
      <c r="F144" s="2" t="n">
        <v>336</v>
      </c>
      <c r="G144" s="2" t="s">
        <v>184</v>
      </c>
      <c r="H144" s="2" t="str">
        <f aca="false">IFERROR(__xludf.dummyfunction("IF(I232="""", """", REGEXEXTRACT(I232, ""Padrao/([^/]+)""))"),"Jardim Iraja")</f>
        <v>Jardim Iraja</v>
      </c>
    </row>
    <row r="145" customFormat="false" ht="15.75" hidden="true" customHeight="false" outlineLevel="0" collapsed="false">
      <c r="A145" s="2" t="n">
        <v>216833</v>
      </c>
      <c r="B145" s="2" t="s">
        <v>186</v>
      </c>
      <c r="C145" s="2" t="n">
        <v>3</v>
      </c>
      <c r="D145" s="2" t="n">
        <v>4</v>
      </c>
      <c r="E145" s="2" t="n">
        <v>3</v>
      </c>
      <c r="F145" s="2" t="n">
        <v>155</v>
      </c>
      <c r="G145" s="2" t="s">
        <v>184</v>
      </c>
      <c r="H145" s="2" t="str">
        <f aca="false">IFERROR(__xludf.dummyfunction("IF(I233="""", """", REGEXEXTRACT(I233, ""Padrao/([^/]+)""))"),"Residencial Alto do Ipe")</f>
        <v>Residencial Alto do Ipe</v>
      </c>
    </row>
    <row r="146" customFormat="false" ht="15.75" hidden="true" customHeight="false" outlineLevel="0" collapsed="false">
      <c r="A146" s="2" t="n">
        <v>201011</v>
      </c>
      <c r="B146" s="2" t="s">
        <v>187</v>
      </c>
      <c r="C146" s="2" t="n">
        <v>3</v>
      </c>
      <c r="D146" s="2" t="n">
        <v>4</v>
      </c>
      <c r="E146" s="2" t="n">
        <v>2</v>
      </c>
      <c r="F146" s="2" t="n">
        <v>134</v>
      </c>
      <c r="G146" s="2" t="s">
        <v>184</v>
      </c>
      <c r="H146" s="2" t="str">
        <f aca="false">IFERROR(__xludf.dummyfunction("IF(I234="""", """", REGEXEXTRACT(I234, ""Padrao/([^/]+)""))"),"Jardim Olhos DAgua")</f>
        <v>Jardim Olhos DAgua</v>
      </c>
    </row>
    <row r="147" customFormat="false" ht="15.75" hidden="true" customHeight="false" outlineLevel="0" collapsed="false">
      <c r="A147" s="2" t="n">
        <v>244832</v>
      </c>
      <c r="B147" s="2" t="s">
        <v>188</v>
      </c>
      <c r="C147" s="2" t="n">
        <v>3</v>
      </c>
      <c r="D147" s="2" t="n">
        <v>5</v>
      </c>
      <c r="E147" s="2" t="n">
        <v>2</v>
      </c>
      <c r="F147" s="2" t="n">
        <v>143</v>
      </c>
      <c r="G147" s="2" t="s">
        <v>184</v>
      </c>
      <c r="H147" s="2" t="str">
        <f aca="false">IFERROR(__xludf.dummyfunction("IF(I258="""", """", REGEXEXTRACT(I258, ""Padrao/([^/]+)""))"),"Jardim Sao Luiz")</f>
        <v>Jardim Sao Luiz</v>
      </c>
    </row>
    <row r="148" customFormat="false" ht="15.75" hidden="true" customHeight="false" outlineLevel="0" collapsed="false">
      <c r="A148" s="2" t="n">
        <v>227723</v>
      </c>
      <c r="B148" s="2" t="s">
        <v>143</v>
      </c>
      <c r="C148" s="2" t="n">
        <v>3</v>
      </c>
      <c r="D148" s="2" t="n">
        <v>5</v>
      </c>
      <c r="E148" s="2" t="n">
        <v>3</v>
      </c>
      <c r="F148" s="2" t="n">
        <v>153</v>
      </c>
      <c r="G148" s="2" t="s">
        <v>189</v>
      </c>
      <c r="H148" s="2" t="str">
        <f aca="false">IFERROR(__xludf.dummyfunction("IF(I235="""", """", REGEXEXTRACT(I235, ""Padrao/([^/]+)""))"),"Jardim Olhos DAgua")</f>
        <v>Jardim Olhos DAgua</v>
      </c>
    </row>
    <row r="149" customFormat="false" ht="15.75" hidden="true" customHeight="false" outlineLevel="0" collapsed="false">
      <c r="A149" s="2" t="n">
        <v>227717</v>
      </c>
      <c r="B149" s="2" t="s">
        <v>143</v>
      </c>
      <c r="C149" s="2" t="n">
        <v>3</v>
      </c>
      <c r="D149" s="2" t="n">
        <v>5</v>
      </c>
      <c r="E149" s="2" t="n">
        <v>3</v>
      </c>
      <c r="F149" s="2" t="n">
        <v>153</v>
      </c>
      <c r="G149" s="2" t="s">
        <v>189</v>
      </c>
      <c r="H149" s="2" t="str">
        <f aca="false">IFERROR(__xludf.dummyfunction("IF(I236="""", """", REGEXEXTRACT(I236, ""Padrao/([^/]+)""))"),"Jardim Olhos DAgua")</f>
        <v>Jardim Olhos DAgua</v>
      </c>
    </row>
    <row r="150" customFormat="false" ht="15.75" hidden="true" customHeight="false" outlineLevel="0" collapsed="false">
      <c r="A150" s="2" t="n">
        <v>227684</v>
      </c>
      <c r="B150" s="2" t="s">
        <v>109</v>
      </c>
      <c r="C150" s="2" t="n">
        <v>4</v>
      </c>
      <c r="D150" s="2" t="n">
        <v>6</v>
      </c>
      <c r="E150" s="2" t="n">
        <v>3</v>
      </c>
      <c r="F150" s="2" t="n">
        <v>153</v>
      </c>
      <c r="G150" s="2" t="s">
        <v>189</v>
      </c>
      <c r="H150" s="2" t="str">
        <f aca="false">IFERROR(__xludf.dummyfunction("IF(I237="""", """", REGEXEXTRACT(I237, ""Padrao/([^/]+)""))"),"Jardim Olhos DAgua")</f>
        <v>Jardim Olhos DAgua</v>
      </c>
    </row>
    <row r="151" customFormat="false" ht="15.75" hidden="true" customHeight="false" outlineLevel="0" collapsed="false">
      <c r="A151" s="2" t="n">
        <v>226976</v>
      </c>
      <c r="B151" s="2" t="s">
        <v>190</v>
      </c>
      <c r="C151" s="2" t="n">
        <v>3</v>
      </c>
      <c r="D151" s="2" t="n">
        <v>5</v>
      </c>
      <c r="E151" s="2" t="n">
        <v>3</v>
      </c>
      <c r="F151" s="2" t="n">
        <v>156</v>
      </c>
      <c r="G151" s="2" t="s">
        <v>191</v>
      </c>
      <c r="H151" s="2" t="str">
        <f aca="false">IFERROR(__xludf.dummyfunction("IF(I259="""", """", REGEXEXTRACT(I259, ""Padrao/([^/]+)""))"),"Jardim Botanico")</f>
        <v>Jardim Botanico</v>
      </c>
    </row>
    <row r="152" customFormat="false" ht="15.75" hidden="true" customHeight="false" outlineLevel="0" collapsed="false">
      <c r="A152" s="2" t="n">
        <v>218714</v>
      </c>
      <c r="B152" s="2" t="s">
        <v>192</v>
      </c>
      <c r="C152" s="2" t="n">
        <v>4</v>
      </c>
      <c r="D152" s="2" t="n">
        <v>5</v>
      </c>
      <c r="E152" s="2" t="n">
        <v>3</v>
      </c>
      <c r="F152" s="2" t="n">
        <v>152</v>
      </c>
      <c r="G152" s="2" t="s">
        <v>191</v>
      </c>
      <c r="H152" s="2" t="str">
        <f aca="false">IFERROR(__xludf.dummyfunction("IF(I260="""", """", REGEXEXTRACT(I260, ""Padrao/([^/]+)""))"),"Nova Alianca")</f>
        <v>Nova Alianca</v>
      </c>
    </row>
    <row r="153" customFormat="false" ht="15.75" hidden="true" customHeight="false" outlineLevel="0" collapsed="false">
      <c r="A153" s="2" t="n">
        <v>211601</v>
      </c>
      <c r="B153" s="2" t="s">
        <v>193</v>
      </c>
      <c r="C153" s="2" t="n">
        <v>3</v>
      </c>
      <c r="D153" s="2" t="n">
        <v>4</v>
      </c>
      <c r="E153" s="2" t="n">
        <v>2</v>
      </c>
      <c r="F153" s="2" t="n">
        <v>114</v>
      </c>
      <c r="G153" s="2" t="s">
        <v>191</v>
      </c>
      <c r="H153" s="2" t="str">
        <f aca="false">IFERROR(__xludf.dummyfunction("IF(I261="""", """", REGEXEXTRACT(I261, ""Padrao/([^/]+)""))"),"Jardim Botanico")</f>
        <v>Jardim Botanico</v>
      </c>
    </row>
    <row r="154" customFormat="false" ht="15.75" hidden="true" customHeight="false" outlineLevel="0" collapsed="false">
      <c r="A154" s="2" t="n">
        <v>204209</v>
      </c>
      <c r="B154" s="2" t="s">
        <v>194</v>
      </c>
      <c r="C154" s="2" t="n">
        <v>3</v>
      </c>
      <c r="D154" s="2" t="n">
        <v>4</v>
      </c>
      <c r="E154" s="2" t="n">
        <v>2</v>
      </c>
      <c r="F154" s="2" t="n">
        <v>118</v>
      </c>
      <c r="G154" s="2" t="s">
        <v>191</v>
      </c>
      <c r="H154" s="2" t="str">
        <f aca="false">IFERROR(__xludf.dummyfunction("IF(I262="""", """", REGEXEXTRACT(I262, ""Padrao/([^/]+)""))"),"Jardim Olhos DAgua")</f>
        <v>Jardim Olhos DAgua</v>
      </c>
    </row>
    <row r="155" customFormat="false" ht="15.75" hidden="true" customHeight="false" outlineLevel="0" collapsed="false">
      <c r="A155" s="2" t="n">
        <v>201665</v>
      </c>
      <c r="B155" s="2" t="s">
        <v>195</v>
      </c>
      <c r="C155" s="2" t="n">
        <v>3</v>
      </c>
      <c r="D155" s="2" t="n">
        <v>5</v>
      </c>
      <c r="E155" s="2" t="n">
        <v>4</v>
      </c>
      <c r="F155" s="2" t="n">
        <v>239</v>
      </c>
      <c r="G155" s="2" t="s">
        <v>191</v>
      </c>
      <c r="H155" s="2" t="str">
        <f aca="false">IFERROR(__xludf.dummyfunction("IF(I263="""", """", REGEXEXTRACT(I263, ""Padrao/([^/]+)""))"),"Jardim Iraja")</f>
        <v>Jardim Iraja</v>
      </c>
    </row>
    <row r="156" customFormat="false" ht="15.75" hidden="true" customHeight="false" outlineLevel="0" collapsed="false">
      <c r="A156" s="2" t="n">
        <v>145376</v>
      </c>
      <c r="B156" s="2" t="s">
        <v>196</v>
      </c>
      <c r="C156" s="2" t="n">
        <v>3</v>
      </c>
      <c r="D156" s="2" t="n">
        <v>5</v>
      </c>
      <c r="E156" s="2" t="n">
        <v>2</v>
      </c>
      <c r="F156" s="2" t="n">
        <v>135</v>
      </c>
      <c r="G156" s="2" t="s">
        <v>191</v>
      </c>
      <c r="H156" s="2" t="str">
        <f aca="false">IFERROR(__xludf.dummyfunction("IF(I264="""", """", REGEXEXTRACT(I264, ""Padrao/([^/]+)""))"),"Jardim Botanico")</f>
        <v>Jardim Botanico</v>
      </c>
    </row>
    <row r="157" customFormat="false" ht="15.75" hidden="true" customHeight="false" outlineLevel="0" collapsed="false">
      <c r="A157" s="2" t="n">
        <v>105272</v>
      </c>
      <c r="B157" s="2" t="s">
        <v>197</v>
      </c>
      <c r="C157" s="2" t="n">
        <v>3</v>
      </c>
      <c r="D157" s="2" t="n">
        <v>5</v>
      </c>
      <c r="E157" s="2" t="n">
        <v>2</v>
      </c>
      <c r="F157" s="2" t="n">
        <v>47</v>
      </c>
      <c r="G157" s="2" t="s">
        <v>191</v>
      </c>
      <c r="H157" s="2" t="str">
        <f aca="false">IFERROR(__xludf.dummyfunction("IF(I265="""", """", REGEXEXTRACT(I265, ""Padrao/([^/]+)""))"),"Bosque das Juritis")</f>
        <v>Bosque das Juritis</v>
      </c>
    </row>
    <row r="158" customFormat="false" ht="15.75" hidden="true" customHeight="false" outlineLevel="0" collapsed="false">
      <c r="A158" s="2" t="n">
        <v>135617</v>
      </c>
      <c r="B158" s="2" t="s">
        <v>198</v>
      </c>
      <c r="C158" s="2" t="n">
        <v>3</v>
      </c>
      <c r="D158" s="2" t="n">
        <v>5</v>
      </c>
      <c r="E158" s="2" t="n">
        <v>3</v>
      </c>
      <c r="F158" s="2" t="n">
        <v>214</v>
      </c>
      <c r="G158" s="2" t="s">
        <v>191</v>
      </c>
      <c r="H158" s="2" t="str">
        <f aca="false">IFERROR(__xludf.dummyfunction("IF(I377="""", """", REGEXEXTRACT(I377, ""Padrao/([^/]+)""))"),"Jardim Sao Luiz")</f>
        <v>Jardim Sao Luiz</v>
      </c>
    </row>
    <row r="159" customFormat="false" ht="15.75" hidden="true" customHeight="false" outlineLevel="0" collapsed="false">
      <c r="A159" s="2" t="n">
        <v>107153</v>
      </c>
      <c r="B159" s="2" t="s">
        <v>158</v>
      </c>
      <c r="C159" s="2" t="n">
        <v>3</v>
      </c>
      <c r="D159" s="2" t="n">
        <v>5</v>
      </c>
      <c r="E159" s="2" t="n">
        <v>2</v>
      </c>
      <c r="F159" s="2" t="n">
        <v>171</v>
      </c>
      <c r="G159" s="2" t="s">
        <v>191</v>
      </c>
      <c r="H159" s="2" t="str">
        <f aca="false">IFERROR(__xludf.dummyfunction("IF(I391="""", """", REGEXEXTRACT(I391, ""Padrao/([^/]+)""))"),"Nova Alianca")</f>
        <v>Nova Alianca</v>
      </c>
    </row>
    <row r="160" customFormat="false" ht="15.75" hidden="true" customHeight="false" outlineLevel="0" collapsed="false">
      <c r="A160" s="2" t="n">
        <v>214748</v>
      </c>
      <c r="B160" s="2" t="s">
        <v>54</v>
      </c>
      <c r="C160" s="2" t="n">
        <v>3</v>
      </c>
      <c r="D160" s="2" t="n">
        <v>4</v>
      </c>
      <c r="E160" s="2" t="n">
        <v>2</v>
      </c>
      <c r="F160" s="2" t="n">
        <v>132</v>
      </c>
      <c r="G160" s="2" t="s">
        <v>199</v>
      </c>
      <c r="H160" s="2" t="str">
        <f aca="false">IFERROR(__xludf.dummyfunction("IF(I266="""", """", REGEXEXTRACT(I266, ""Padrao/([^/]+)""))"),"Jardim Botanico")</f>
        <v>Jardim Botanico</v>
      </c>
    </row>
    <row r="161" customFormat="false" ht="15.75" hidden="true" customHeight="false" outlineLevel="0" collapsed="false">
      <c r="A161" s="2" t="n">
        <v>186800</v>
      </c>
      <c r="B161" s="2" t="s">
        <v>200</v>
      </c>
      <c r="C161" s="2" t="n">
        <v>3</v>
      </c>
      <c r="D161" s="2" t="n">
        <v>5</v>
      </c>
      <c r="E161" s="2" t="n">
        <v>3</v>
      </c>
      <c r="F161" s="2" t="n">
        <v>218</v>
      </c>
      <c r="G161" s="2" t="s">
        <v>201</v>
      </c>
      <c r="H161" s="2" t="str">
        <f aca="false">IFERROR(__xludf.dummyfunction("IF(I363="""", """", REGEXEXTRACT(I363, ""Padrao/([^/]+)""))"),"Bosque das Juritis")</f>
        <v>Bosque das Juritis</v>
      </c>
    </row>
    <row r="162" customFormat="false" ht="15.75" hidden="true" customHeight="false" outlineLevel="0" collapsed="false">
      <c r="A162" s="2" t="n">
        <v>223571</v>
      </c>
      <c r="B162" s="2" t="s">
        <v>165</v>
      </c>
      <c r="C162" s="2" t="n">
        <v>3</v>
      </c>
      <c r="D162" s="2" t="n">
        <v>5</v>
      </c>
      <c r="E162" s="2" t="n">
        <v>2</v>
      </c>
      <c r="F162" s="2" t="n">
        <v>158</v>
      </c>
      <c r="G162" s="2" t="s">
        <v>202</v>
      </c>
      <c r="H162" s="2" t="str">
        <f aca="false">IFERROR(__xludf.dummyfunction("IF(I267="""", """", REGEXEXTRACT(I267, ""Padrao/([^/]+)""))"),"Jardim Olhos DAgua")</f>
        <v>Jardim Olhos DAgua</v>
      </c>
    </row>
    <row r="163" customFormat="false" ht="15.75" hidden="true" customHeight="false" outlineLevel="0" collapsed="false">
      <c r="A163" s="2" t="n">
        <v>239960</v>
      </c>
      <c r="B163" s="2" t="s">
        <v>143</v>
      </c>
      <c r="C163" s="2" t="n">
        <v>3</v>
      </c>
      <c r="D163" s="2" t="n">
        <v>5</v>
      </c>
      <c r="E163" s="2" t="n">
        <v>3</v>
      </c>
      <c r="F163" s="2" t="n">
        <v>153</v>
      </c>
      <c r="G163" s="2" t="s">
        <v>203</v>
      </c>
      <c r="H163" s="2" t="str">
        <f aca="false">IFERROR(__xludf.dummyfunction("IF(I268="""", """", REGEXEXTRACT(I268, ""Padrao/([^/]+)""))"),"Jardim Olhos DAgua")</f>
        <v>Jardim Olhos DAgua</v>
      </c>
    </row>
    <row r="164" customFormat="false" ht="15.75" hidden="true" customHeight="false" outlineLevel="0" collapsed="false">
      <c r="A164" s="2" t="n">
        <v>239954</v>
      </c>
      <c r="B164" s="2" t="s">
        <v>143</v>
      </c>
      <c r="C164" s="2" t="n">
        <v>3</v>
      </c>
      <c r="D164" s="2" t="n">
        <v>5</v>
      </c>
      <c r="E164" s="2" t="n">
        <v>3</v>
      </c>
      <c r="F164" s="2" t="n">
        <v>153</v>
      </c>
      <c r="G164" s="2" t="s">
        <v>203</v>
      </c>
      <c r="H164" s="2" t="str">
        <f aca="false">IFERROR(__xludf.dummyfunction("IF(I269="""", """", REGEXEXTRACT(I269, ""Padrao/([^/]+)""))"),"Jardim Olhos DAgua")</f>
        <v>Jardim Olhos DAgua</v>
      </c>
    </row>
    <row r="165" customFormat="false" ht="15.75" hidden="true" customHeight="false" outlineLevel="0" collapsed="false">
      <c r="A165" s="2" t="n">
        <v>239951</v>
      </c>
      <c r="B165" s="2" t="s">
        <v>109</v>
      </c>
      <c r="C165" s="2" t="n">
        <v>4</v>
      </c>
      <c r="D165" s="2" t="n">
        <v>6</v>
      </c>
      <c r="E165" s="2" t="n">
        <v>3</v>
      </c>
      <c r="F165" s="2" t="n">
        <v>153</v>
      </c>
      <c r="G165" s="2" t="s">
        <v>203</v>
      </c>
      <c r="H165" s="2" t="str">
        <f aca="false">IFERROR(__xludf.dummyfunction("IF(I270="""", """", REGEXEXTRACT(I270, ""Padrao/([^/]+)""))"),"Jardim Olhos DAgua")</f>
        <v>Jardim Olhos DAgua</v>
      </c>
    </row>
    <row r="166" customFormat="false" ht="15.75" hidden="true" customHeight="false" outlineLevel="0" collapsed="false">
      <c r="A166" s="2" t="n">
        <v>239948</v>
      </c>
      <c r="B166" s="2" t="s">
        <v>109</v>
      </c>
      <c r="C166" s="2" t="n">
        <v>4</v>
      </c>
      <c r="D166" s="2" t="n">
        <v>6</v>
      </c>
      <c r="E166" s="2" t="n">
        <v>3</v>
      </c>
      <c r="F166" s="2" t="n">
        <v>153</v>
      </c>
      <c r="G166" s="2" t="s">
        <v>203</v>
      </c>
      <c r="H166" s="2" t="str">
        <f aca="false">IFERROR(__xludf.dummyfunction("IF(I271="""", """", REGEXEXTRACT(I271, ""Padrao/([^/]+)""))"),"Jardim Olhos DAgua")</f>
        <v>Jardim Olhos DAgua</v>
      </c>
    </row>
    <row r="167" customFormat="false" ht="15.75" hidden="true" customHeight="false" outlineLevel="0" collapsed="false">
      <c r="A167" s="2" t="n">
        <v>208640</v>
      </c>
      <c r="B167" s="2" t="s">
        <v>95</v>
      </c>
      <c r="C167" s="2" t="n">
        <v>3</v>
      </c>
      <c r="D167" s="2" t="n">
        <v>5</v>
      </c>
      <c r="E167" s="2" t="n">
        <v>3</v>
      </c>
      <c r="F167" s="2" t="n">
        <v>155</v>
      </c>
      <c r="G167" s="2" t="s">
        <v>204</v>
      </c>
      <c r="H167" s="2" t="str">
        <f aca="false">IFERROR(__xludf.dummyfunction("IF(I272="""", """", REGEXEXTRACT(I272, ""Padrao/([^/]+)""))"),"Bosque das Juritis")</f>
        <v>Bosque das Juritis</v>
      </c>
    </row>
    <row r="168" customFormat="false" ht="15.75" hidden="true" customHeight="false" outlineLevel="0" collapsed="false">
      <c r="A168" s="2" t="n">
        <v>163220</v>
      </c>
      <c r="B168" s="2" t="s">
        <v>205</v>
      </c>
      <c r="C168" s="2" t="n">
        <v>3</v>
      </c>
      <c r="D168" s="2" t="n">
        <v>4</v>
      </c>
      <c r="E168" s="2" t="n">
        <v>2</v>
      </c>
      <c r="F168" s="2" t="n">
        <v>158</v>
      </c>
      <c r="G168" s="2" t="s">
        <v>206</v>
      </c>
      <c r="H168" s="2" t="str">
        <f aca="false">IFERROR(__xludf.dummyfunction("IF(I273="""", """", REGEXEXTRACT(I273, ""Padrao/([^/]+)""))"),"Jardim Olhos DAgua")</f>
        <v>Jardim Olhos DAgua</v>
      </c>
    </row>
    <row r="169" customFormat="false" ht="15.75" hidden="true" customHeight="false" outlineLevel="0" collapsed="false">
      <c r="A169" s="2" t="n">
        <v>167537</v>
      </c>
      <c r="B169" s="2" t="s">
        <v>207</v>
      </c>
      <c r="C169" s="2" t="n">
        <v>3</v>
      </c>
      <c r="D169" s="2" t="n">
        <v>3</v>
      </c>
      <c r="E169" s="2" t="n">
        <v>2</v>
      </c>
      <c r="F169" s="2" t="n">
        <v>151</v>
      </c>
      <c r="G169" s="2" t="s">
        <v>208</v>
      </c>
      <c r="H169" s="2" t="str">
        <f aca="false">IFERROR(__xludf.dummyfunction("IF(I274="""", """", REGEXEXTRACT(I274, ""Padrao/([^/]+)""))"),"Jardim Olhos DAgua")</f>
        <v>Jardim Olhos DAgua</v>
      </c>
    </row>
    <row r="170" customFormat="false" ht="15.75" hidden="true" customHeight="false" outlineLevel="0" collapsed="false">
      <c r="A170" s="2" t="n">
        <v>235295</v>
      </c>
      <c r="B170" s="2" t="s">
        <v>209</v>
      </c>
      <c r="C170" s="2" t="n">
        <v>3</v>
      </c>
      <c r="D170" s="2" t="n">
        <v>4</v>
      </c>
      <c r="E170" s="2" t="n">
        <v>2</v>
      </c>
      <c r="F170" s="2" t="n">
        <v>106</v>
      </c>
      <c r="G170" s="2" t="s">
        <v>210</v>
      </c>
      <c r="H170" s="2" t="str">
        <f aca="false">IFERROR(__xludf.dummyfunction("IF(I277="""", """", REGEXEXTRACT(I277, ""Padrao/([^/]+)""))"),"Vila do Golf")</f>
        <v>Vila do Golf</v>
      </c>
    </row>
    <row r="171" customFormat="false" ht="15.75" hidden="true" customHeight="false" outlineLevel="0" collapsed="false">
      <c r="A171" s="2" t="n">
        <v>107180</v>
      </c>
      <c r="B171" s="2" t="s">
        <v>158</v>
      </c>
      <c r="C171" s="2" t="n">
        <v>3</v>
      </c>
      <c r="D171" s="2" t="n">
        <v>5</v>
      </c>
      <c r="E171" s="2" t="n">
        <v>2</v>
      </c>
      <c r="F171" s="2" t="n">
        <v>171</v>
      </c>
      <c r="G171" s="2" t="s">
        <v>211</v>
      </c>
      <c r="H171" s="2" t="str">
        <f aca="false">IFERROR(__xludf.dummyfunction("IF(I278="""", """", REGEXEXTRACT(I278, ""Padrao/([^/]+)""))"),"Nova Alianca")</f>
        <v>Nova Alianca</v>
      </c>
    </row>
    <row r="172" customFormat="false" ht="15.75" hidden="true" customHeight="false" outlineLevel="0" collapsed="false">
      <c r="A172" s="2" t="n">
        <v>188021</v>
      </c>
      <c r="B172" s="2" t="s">
        <v>99</v>
      </c>
      <c r="C172" s="2" t="n">
        <v>3</v>
      </c>
      <c r="D172" s="2" t="n">
        <v>4</v>
      </c>
      <c r="E172" s="2" t="n">
        <v>2</v>
      </c>
      <c r="F172" s="2" t="n">
        <v>122</v>
      </c>
      <c r="G172" s="2" t="s">
        <v>212</v>
      </c>
      <c r="H172" s="2" t="str">
        <f aca="false">IFERROR(__xludf.dummyfunction("IF(I279="""", """", REGEXEXTRACT(I279, ""Padrao/([^/]+)""))"),"Jardim Ilhas do Sul")</f>
        <v>Jardim Ilhas do Sul</v>
      </c>
    </row>
    <row r="173" customFormat="false" ht="15.75" hidden="true" customHeight="false" outlineLevel="0" collapsed="false">
      <c r="A173" s="2" t="n">
        <v>244061</v>
      </c>
      <c r="B173" s="2" t="s">
        <v>143</v>
      </c>
      <c r="C173" s="2" t="n">
        <v>3</v>
      </c>
      <c r="D173" s="2" t="n">
        <v>5</v>
      </c>
      <c r="E173" s="2" t="n">
        <v>3</v>
      </c>
      <c r="F173" s="2" t="n">
        <v>153</v>
      </c>
      <c r="G173" s="2" t="s">
        <v>213</v>
      </c>
      <c r="H173" s="2" t="str">
        <f aca="false">IFERROR(__xludf.dummyfunction("IF(I285="""", """", REGEXEXTRACT(I285, ""Padrao/([^/]+)""))"),"Jardim Olhos DAgua")</f>
        <v>Jardim Olhos DAgua</v>
      </c>
    </row>
    <row r="174" customFormat="false" ht="15.75" hidden="true" customHeight="false" outlineLevel="0" collapsed="false">
      <c r="A174" s="2" t="n">
        <v>215192</v>
      </c>
      <c r="B174" s="2" t="s">
        <v>214</v>
      </c>
      <c r="C174" s="2" t="n">
        <v>3</v>
      </c>
      <c r="D174" s="2" t="n">
        <v>6</v>
      </c>
      <c r="E174" s="2" t="n">
        <v>3</v>
      </c>
      <c r="F174" s="2" t="n">
        <v>154</v>
      </c>
      <c r="G174" s="2" t="s">
        <v>213</v>
      </c>
      <c r="H174" s="2" t="str">
        <f aca="false">IFERROR(__xludf.dummyfunction("IF(I286="""", """", REGEXEXTRACT(I286, ""Padrao/([^/]+)""))"),"Jardim Olhos DAgua")</f>
        <v>Jardim Olhos DAgua</v>
      </c>
    </row>
    <row r="175" customFormat="false" ht="15.75" hidden="true" customHeight="false" outlineLevel="0" collapsed="false">
      <c r="A175" s="2" t="n">
        <v>151946</v>
      </c>
      <c r="B175" s="2" t="s">
        <v>159</v>
      </c>
      <c r="C175" s="2" t="n">
        <v>4</v>
      </c>
      <c r="D175" s="2" t="n">
        <v>5</v>
      </c>
      <c r="E175" s="2" t="n">
        <v>3</v>
      </c>
      <c r="F175" s="2" t="n">
        <v>252</v>
      </c>
      <c r="G175" s="2" t="s">
        <v>213</v>
      </c>
      <c r="H175" s="2" t="str">
        <f aca="false">IFERROR(__xludf.dummyfunction("IF(I287="""", """", REGEXEXTRACT(I287, ""Padrao/([^/]+)""))"),"Centro")</f>
        <v>Centro</v>
      </c>
    </row>
    <row r="176" customFormat="false" ht="15.75" hidden="true" customHeight="false" outlineLevel="0" collapsed="false">
      <c r="A176" s="2" t="n">
        <v>229313</v>
      </c>
      <c r="B176" s="2" t="s">
        <v>215</v>
      </c>
      <c r="C176" s="2" t="n">
        <v>3</v>
      </c>
      <c r="D176" s="2" t="n">
        <v>5</v>
      </c>
      <c r="E176" s="2" t="n">
        <v>3</v>
      </c>
      <c r="F176" s="2" t="n">
        <v>160</v>
      </c>
      <c r="G176" s="2" t="s">
        <v>213</v>
      </c>
      <c r="H176" s="2" t="str">
        <f aca="false">IFERROR(__xludf.dummyfunction("IF(I293="""", """", REGEXEXTRACT(I293, ""Padrao/([^/]+)""))"),"Bosque das Juritis")</f>
        <v>Bosque das Juritis</v>
      </c>
    </row>
    <row r="177" customFormat="false" ht="15.75" hidden="true" customHeight="false" outlineLevel="0" collapsed="false">
      <c r="A177" s="2" t="n">
        <v>218942</v>
      </c>
      <c r="B177" s="2" t="s">
        <v>216</v>
      </c>
      <c r="C177" s="2" t="n">
        <v>3</v>
      </c>
      <c r="D177" s="2" t="n">
        <v>4</v>
      </c>
      <c r="E177" s="2" t="n">
        <v>2</v>
      </c>
      <c r="F177" s="2" t="n">
        <v>123</v>
      </c>
      <c r="G177" s="2" t="s">
        <v>213</v>
      </c>
      <c r="H177" s="2" t="str">
        <f aca="false">IFERROR(__xludf.dummyfunction("IF(I294="""", """", REGEXEXTRACT(I294, ""Padrao/([^/]+)""))"),"Jardim Botanico")</f>
        <v>Jardim Botanico</v>
      </c>
    </row>
    <row r="178" customFormat="false" ht="15.75" hidden="true" customHeight="false" outlineLevel="0" collapsed="false">
      <c r="A178" s="2" t="n">
        <v>203705</v>
      </c>
      <c r="B178" s="2" t="s">
        <v>158</v>
      </c>
      <c r="C178" s="2" t="n">
        <v>3</v>
      </c>
      <c r="D178" s="2" t="n">
        <v>5</v>
      </c>
      <c r="E178" s="2" t="n">
        <v>2</v>
      </c>
      <c r="F178" s="2" t="n">
        <v>171</v>
      </c>
      <c r="G178" s="2" t="s">
        <v>217</v>
      </c>
      <c r="H178" s="2" t="str">
        <f aca="false">IFERROR(__xludf.dummyfunction("IF(I288="""", """", REGEXEXTRACT(I288, ""Padrao/([^/]+)""))"),"Nova Alianca")</f>
        <v>Nova Alianca</v>
      </c>
    </row>
    <row r="179" customFormat="false" ht="15.75" hidden="true" customHeight="false" outlineLevel="0" collapsed="false">
      <c r="A179" s="2" t="n">
        <v>194657</v>
      </c>
      <c r="B179" s="2" t="s">
        <v>218</v>
      </c>
      <c r="C179" s="2" t="n">
        <v>3</v>
      </c>
      <c r="D179" s="2" t="n">
        <v>2</v>
      </c>
      <c r="E179" s="2" t="n">
        <v>3</v>
      </c>
      <c r="F179" s="2" t="n">
        <v>194</v>
      </c>
      <c r="G179" s="2" t="s">
        <v>219</v>
      </c>
      <c r="H179" s="2" t="str">
        <f aca="false">IFERROR(__xludf.dummyfunction("IF(I289="""", """", REGEXEXTRACT(I289, ""Padrao/([^/]+)""))"),"Jardim Botanico")</f>
        <v>Jardim Botanico</v>
      </c>
    </row>
    <row r="180" customFormat="false" ht="15.75" hidden="true" customHeight="false" outlineLevel="0" collapsed="false">
      <c r="A180" s="2" t="n">
        <v>240938</v>
      </c>
      <c r="B180" s="2" t="s">
        <v>220</v>
      </c>
      <c r="C180" s="2" t="n">
        <v>3</v>
      </c>
      <c r="D180" s="2" t="n">
        <v>5</v>
      </c>
      <c r="E180" s="2" t="n">
        <v>2</v>
      </c>
      <c r="F180" s="2" t="n">
        <v>145</v>
      </c>
      <c r="G180" s="2" t="s">
        <v>221</v>
      </c>
      <c r="H180" s="2" t="str">
        <f aca="false">IFERROR(__xludf.dummyfunction("IF(I290="""", """", REGEXEXTRACT(I290, ""Padrao/([^/]+)""))"),"Jardim Iraja")</f>
        <v>Jardim Iraja</v>
      </c>
    </row>
    <row r="181" customFormat="false" ht="15.75" hidden="true" customHeight="false" outlineLevel="0" collapsed="false">
      <c r="A181" s="2" t="n">
        <v>170660</v>
      </c>
      <c r="B181" s="2" t="s">
        <v>170</v>
      </c>
      <c r="C181" s="2" t="n">
        <v>3</v>
      </c>
      <c r="D181" s="2" t="n">
        <v>4</v>
      </c>
      <c r="E181" s="2" t="n">
        <v>3</v>
      </c>
      <c r="F181" s="2" t="n">
        <v>158</v>
      </c>
      <c r="G181" s="2" t="s">
        <v>222</v>
      </c>
      <c r="H181" s="2" t="str">
        <f aca="false">IFERROR(__xludf.dummyfunction("IF(I291="""", """", REGEXEXTRACT(I291, ""Padrao/([^/]+)""))"),"Jardim Olhos DAgua")</f>
        <v>Jardim Olhos DAgua</v>
      </c>
    </row>
    <row r="182" customFormat="false" ht="15.75" hidden="true" customHeight="false" outlineLevel="0" collapsed="false">
      <c r="A182" s="2" t="n">
        <v>231215</v>
      </c>
      <c r="B182" s="2" t="s">
        <v>223</v>
      </c>
      <c r="C182" s="2" t="n">
        <v>3</v>
      </c>
      <c r="D182" s="2" t="n">
        <v>5</v>
      </c>
      <c r="E182" s="2" t="n">
        <v>3</v>
      </c>
      <c r="F182" s="2" t="n">
        <v>154</v>
      </c>
      <c r="G182" s="2" t="s">
        <v>224</v>
      </c>
      <c r="H182" s="2" t="str">
        <f aca="false">IFERROR(__xludf.dummyfunction("IF(I292="""", """", REGEXEXTRACT(I292, ""Padrao/([^/]+)""))"),"Jardim Olhos DAgua")</f>
        <v>Jardim Olhos DAgua</v>
      </c>
    </row>
    <row r="183" customFormat="false" ht="15.75" hidden="true" customHeight="false" outlineLevel="0" collapsed="false">
      <c r="A183" s="2" t="n">
        <v>189524</v>
      </c>
      <c r="B183" s="2" t="s">
        <v>225</v>
      </c>
      <c r="C183" s="2" t="n">
        <v>3</v>
      </c>
      <c r="D183" s="2" t="n">
        <v>5</v>
      </c>
      <c r="E183" s="2" t="n">
        <v>2</v>
      </c>
      <c r="F183" s="2" t="n">
        <v>134</v>
      </c>
      <c r="G183" s="2" t="s">
        <v>226</v>
      </c>
      <c r="H183" s="2" t="str">
        <f aca="false">IFERROR(__xludf.dummyfunction("IF(I295="""", """", REGEXEXTRACT(I295, ""Padrao/([^/]+)""))"),"Jardim Olhos DAgua")</f>
        <v>Jardim Olhos DAgua</v>
      </c>
    </row>
    <row r="184" customFormat="false" ht="15.75" hidden="true" customHeight="false" outlineLevel="0" collapsed="false">
      <c r="A184" s="2" t="n">
        <v>239957</v>
      </c>
      <c r="B184" s="2" t="s">
        <v>143</v>
      </c>
      <c r="C184" s="2" t="n">
        <v>3</v>
      </c>
      <c r="D184" s="2" t="n">
        <v>5</v>
      </c>
      <c r="E184" s="2" t="n">
        <v>3</v>
      </c>
      <c r="F184" s="2" t="n">
        <v>153</v>
      </c>
      <c r="G184" s="2" t="s">
        <v>227</v>
      </c>
      <c r="H184" s="2" t="str">
        <f aca="false">IFERROR(__xludf.dummyfunction("IF(I296="""", """", REGEXEXTRACT(I296, ""Padrao/([^/]+)""))"),"Jardim Olhos DAgua")</f>
        <v>Jardim Olhos DAgua</v>
      </c>
    </row>
    <row r="185" customFormat="false" ht="15.75" hidden="true" customHeight="false" outlineLevel="0" collapsed="false">
      <c r="A185" s="2" t="n">
        <v>230504</v>
      </c>
      <c r="B185" s="2" t="s">
        <v>228</v>
      </c>
      <c r="C185" s="2" t="n">
        <v>3</v>
      </c>
      <c r="D185" s="2" t="n">
        <v>5</v>
      </c>
      <c r="E185" s="2" t="n">
        <v>2</v>
      </c>
      <c r="F185" s="2" t="n">
        <v>156</v>
      </c>
      <c r="G185" s="2" t="s">
        <v>229</v>
      </c>
      <c r="H185" s="2" t="str">
        <f aca="false">IFERROR(__xludf.dummyfunction("IF(I375="""", """", REGEXEXTRACT(I375, ""Padrao/([^/]+)""))"),"Jardim Botanico")</f>
        <v>Jardim Botanico</v>
      </c>
    </row>
    <row r="186" customFormat="false" ht="15.75" hidden="true" customHeight="false" outlineLevel="0" collapsed="false">
      <c r="A186" s="2" t="n">
        <v>238742</v>
      </c>
      <c r="B186" s="2" t="s">
        <v>230</v>
      </c>
      <c r="C186" s="2" t="n">
        <v>3</v>
      </c>
      <c r="D186" s="2" t="n">
        <v>5</v>
      </c>
      <c r="E186" s="2" t="n">
        <v>2</v>
      </c>
      <c r="F186" s="2" t="n">
        <v>166</v>
      </c>
      <c r="G186" s="2" t="s">
        <v>231</v>
      </c>
      <c r="H186" s="2" t="str">
        <f aca="false">IFERROR(__xludf.dummyfunction("IF(I309="""", """", REGEXEXTRACT(I309, ""Padrao/([^/]+)""))"),"Jardim Olhos DAgua")</f>
        <v>Jardim Olhos DAgua</v>
      </c>
    </row>
    <row r="187" customFormat="false" ht="15.75" hidden="true" customHeight="false" outlineLevel="0" collapsed="false">
      <c r="A187" s="2" t="n">
        <v>230432</v>
      </c>
      <c r="B187" s="2" t="s">
        <v>162</v>
      </c>
      <c r="C187" s="2" t="n">
        <v>3</v>
      </c>
      <c r="D187" s="2" t="n">
        <v>4</v>
      </c>
      <c r="E187" s="2" t="n">
        <v>3</v>
      </c>
      <c r="F187" s="2" t="n">
        <v>132</v>
      </c>
      <c r="G187" s="2" t="s">
        <v>231</v>
      </c>
      <c r="H187" s="2" t="str">
        <f aca="false">IFERROR(__xludf.dummyfunction("IF(I310="""", """", REGEXEXTRACT(I310, ""Padrao/([^/]+)""))"),"Jardim Botanico")</f>
        <v>Jardim Botanico</v>
      </c>
    </row>
    <row r="188" customFormat="false" ht="15.75" hidden="true" customHeight="false" outlineLevel="0" collapsed="false">
      <c r="A188" s="2" t="n">
        <v>215195</v>
      </c>
      <c r="B188" s="2" t="s">
        <v>182</v>
      </c>
      <c r="C188" s="2" t="n">
        <v>3</v>
      </c>
      <c r="D188" s="2" t="n">
        <v>5</v>
      </c>
      <c r="E188" s="2" t="n">
        <v>3</v>
      </c>
      <c r="F188" s="2" t="n">
        <v>154</v>
      </c>
      <c r="G188" s="2" t="s">
        <v>231</v>
      </c>
      <c r="H188" s="2" t="str">
        <f aca="false">IFERROR(__xludf.dummyfunction("IF(I311="""", """", REGEXEXTRACT(I311, ""Padrao/([^/]+)""))"),"Jardim Olhos DAgua")</f>
        <v>Jardim Olhos DAgua</v>
      </c>
    </row>
    <row r="189" customFormat="false" ht="15.75" hidden="true" customHeight="false" outlineLevel="0" collapsed="false">
      <c r="A189" s="2" t="n">
        <v>214667</v>
      </c>
      <c r="B189" s="2" t="s">
        <v>232</v>
      </c>
      <c r="C189" s="2" t="n">
        <v>3</v>
      </c>
      <c r="D189" s="2" t="n">
        <v>4</v>
      </c>
      <c r="E189" s="2" t="n">
        <v>2</v>
      </c>
      <c r="F189" s="2" t="n">
        <v>109</v>
      </c>
      <c r="G189" s="2" t="s">
        <v>231</v>
      </c>
      <c r="H189" s="2" t="str">
        <f aca="false">IFERROR(__xludf.dummyfunction("IF(I312="""", """", REGEXEXTRACT(I312, ""Padrao/([^/]+)""))"),"Plazas de Espana")</f>
        <v>Plazas de Espana</v>
      </c>
    </row>
    <row r="190" customFormat="false" ht="15.75" hidden="true" customHeight="false" outlineLevel="0" collapsed="false">
      <c r="A190" s="2" t="n">
        <v>188054</v>
      </c>
      <c r="B190" s="2" t="s">
        <v>165</v>
      </c>
      <c r="C190" s="2" t="n">
        <v>3</v>
      </c>
      <c r="D190" s="2" t="n">
        <v>5</v>
      </c>
      <c r="E190" s="2" t="n">
        <v>3</v>
      </c>
      <c r="F190" s="2" t="n">
        <v>158</v>
      </c>
      <c r="G190" s="2" t="s">
        <v>231</v>
      </c>
      <c r="H190" s="2" t="str">
        <f aca="false">IFERROR(__xludf.dummyfunction("IF(I313="""", """", REGEXEXTRACT(I313, ""Padrao/([^/]+)""))"),"Jardim Olhos DAgua")</f>
        <v>Jardim Olhos DAgua</v>
      </c>
    </row>
    <row r="191" customFormat="false" ht="15.75" hidden="true" customHeight="false" outlineLevel="0" collapsed="false">
      <c r="A191" s="2" t="n">
        <v>186929</v>
      </c>
      <c r="B191" s="2" t="s">
        <v>233</v>
      </c>
      <c r="C191" s="2" t="n">
        <v>3</v>
      </c>
      <c r="D191" s="2" t="n">
        <v>4</v>
      </c>
      <c r="E191" s="2" t="n">
        <v>4</v>
      </c>
      <c r="F191" s="2" t="n">
        <v>195</v>
      </c>
      <c r="G191" s="2" t="s">
        <v>231</v>
      </c>
      <c r="H191" s="2" t="str">
        <f aca="false">IFERROR(__xludf.dummyfunction("IF(I314="""", """", REGEXEXTRACT(I314, ""Padrao/([^/]+)""))"),"Residencial Alto do Ipe")</f>
        <v>Residencial Alto do Ipe</v>
      </c>
    </row>
    <row r="192" customFormat="false" ht="15.75" hidden="true" customHeight="false" outlineLevel="0" collapsed="false">
      <c r="A192" s="2" t="n">
        <v>156884</v>
      </c>
      <c r="B192" s="2" t="s">
        <v>234</v>
      </c>
      <c r="C192" s="2" t="n">
        <v>3</v>
      </c>
      <c r="D192" s="2" t="n">
        <v>5</v>
      </c>
      <c r="E192" s="2" t="n">
        <v>3</v>
      </c>
      <c r="F192" s="2" t="n">
        <v>178</v>
      </c>
      <c r="G192" s="2" t="s">
        <v>231</v>
      </c>
      <c r="H192" s="2" t="str">
        <f aca="false">IFERROR(__xludf.dummyfunction("IF(I315="""", """", REGEXEXTRACT(I315, ""Padrao/([^/]+)""))"),"Bosque das Juritis")</f>
        <v>Bosque das Juritis</v>
      </c>
    </row>
    <row r="193" customFormat="false" ht="15.75" hidden="true" customHeight="false" outlineLevel="0" collapsed="false">
      <c r="A193" s="2" t="n">
        <v>186788</v>
      </c>
      <c r="B193" s="2" t="s">
        <v>200</v>
      </c>
      <c r="C193" s="2" t="n">
        <v>3</v>
      </c>
      <c r="D193" s="2" t="n">
        <v>5</v>
      </c>
      <c r="E193" s="2" t="n">
        <v>3</v>
      </c>
      <c r="F193" s="2" t="n">
        <v>218</v>
      </c>
      <c r="G193" s="2" t="s">
        <v>231</v>
      </c>
      <c r="H193" s="2" t="str">
        <f aca="false">IFERROR(__xludf.dummyfunction("IF(I332="""", """", REGEXEXTRACT(I332, ""Padrao/([^/]+)""))"),"Bosque das Juritis")</f>
        <v>Bosque das Juritis</v>
      </c>
    </row>
    <row r="194" customFormat="false" ht="15.75" hidden="true" customHeight="false" outlineLevel="0" collapsed="false">
      <c r="A194" s="2" t="n">
        <v>186803</v>
      </c>
      <c r="B194" s="2" t="s">
        <v>200</v>
      </c>
      <c r="C194" s="2" t="n">
        <v>3</v>
      </c>
      <c r="D194" s="2" t="n">
        <v>5</v>
      </c>
      <c r="E194" s="2" t="n">
        <v>3</v>
      </c>
      <c r="F194" s="2" t="n">
        <v>218</v>
      </c>
      <c r="G194" s="2" t="s">
        <v>231</v>
      </c>
      <c r="H194" s="2" t="str">
        <f aca="false">IFERROR(__xludf.dummyfunction("IF(I362="""", """", REGEXEXTRACT(I362, ""Padrao/([^/]+)""))"),"Bosque das Juritis")</f>
        <v>Bosque das Juritis</v>
      </c>
    </row>
    <row r="195" customFormat="false" ht="15.75" hidden="true" customHeight="false" outlineLevel="0" collapsed="false">
      <c r="A195" s="2" t="n">
        <v>238724</v>
      </c>
      <c r="B195" s="2" t="s">
        <v>235</v>
      </c>
      <c r="C195" s="2" t="n">
        <v>3</v>
      </c>
      <c r="D195" s="2" t="n">
        <v>4</v>
      </c>
      <c r="E195" s="2" t="n">
        <v>1</v>
      </c>
      <c r="F195" s="2" t="n">
        <v>133</v>
      </c>
      <c r="G195" s="2" t="s">
        <v>236</v>
      </c>
      <c r="H195" s="2" t="str">
        <f aca="false">IFERROR(__xludf.dummyfunction("IF(I316="""", """", REGEXEXTRACT(I316, ""Padrao/([^/]+)""))"),"Nova Alianca")</f>
        <v>Nova Alianca</v>
      </c>
    </row>
    <row r="196" customFormat="false" ht="15.75" hidden="true" customHeight="false" outlineLevel="0" collapsed="false">
      <c r="A196" s="2" t="n">
        <v>209615</v>
      </c>
      <c r="B196" s="2" t="s">
        <v>158</v>
      </c>
      <c r="C196" s="2" t="n">
        <v>3</v>
      </c>
      <c r="D196" s="2" t="n">
        <v>4</v>
      </c>
      <c r="E196" s="2" t="n">
        <v>2</v>
      </c>
      <c r="F196" s="2" t="n">
        <v>171</v>
      </c>
      <c r="G196" s="2" t="s">
        <v>236</v>
      </c>
      <c r="H196" s="2" t="str">
        <f aca="false">IFERROR(__xludf.dummyfunction("IF(I317="""", """", REGEXEXTRACT(I317, ""Padrao/([^/]+)""))"),"Nova Alianca")</f>
        <v>Nova Alianca</v>
      </c>
    </row>
    <row r="197" customFormat="false" ht="15.75" hidden="true" customHeight="false" outlineLevel="0" collapsed="false">
      <c r="A197" s="2" t="n">
        <v>118277</v>
      </c>
      <c r="B197" s="2" t="s">
        <v>237</v>
      </c>
      <c r="C197" s="2" t="n">
        <v>3</v>
      </c>
      <c r="D197" s="2" t="n">
        <v>5</v>
      </c>
      <c r="E197" s="2" t="n">
        <v>3</v>
      </c>
      <c r="F197" s="2" t="n">
        <v>183</v>
      </c>
      <c r="G197" s="2" t="s">
        <v>236</v>
      </c>
      <c r="H197" s="2" t="str">
        <f aca="false">IFERROR(__xludf.dummyfunction("IF(I318="""", """", REGEXEXTRACT(I318, ""Padrao/([^/]+)""))"),"Jardim Botanico")</f>
        <v>Jardim Botanico</v>
      </c>
    </row>
    <row r="198" customFormat="false" ht="15.75" hidden="true" customHeight="false" outlineLevel="0" collapsed="false">
      <c r="A198" s="2" t="n">
        <v>213434</v>
      </c>
      <c r="B198" s="2" t="s">
        <v>182</v>
      </c>
      <c r="C198" s="2" t="n">
        <v>3</v>
      </c>
      <c r="D198" s="2" t="n">
        <v>5</v>
      </c>
      <c r="E198" s="2" t="n">
        <v>3</v>
      </c>
      <c r="F198" s="2" t="n">
        <v>154</v>
      </c>
      <c r="G198" s="2" t="s">
        <v>238</v>
      </c>
      <c r="H198" s="2" t="str">
        <f aca="false">IFERROR(__xludf.dummyfunction("IF(I319="""", """", REGEXEXTRACT(I319, ""Padrao/([^/]+)""))"),"Jardim Olhos DAgua")</f>
        <v>Jardim Olhos DAgua</v>
      </c>
    </row>
    <row r="199" customFormat="false" ht="15.75" hidden="true" customHeight="false" outlineLevel="0" collapsed="false">
      <c r="A199" s="2" t="n">
        <v>153851</v>
      </c>
      <c r="B199" s="2" t="s">
        <v>239</v>
      </c>
      <c r="C199" s="2" t="n">
        <v>3</v>
      </c>
      <c r="D199" s="2" t="n">
        <v>5</v>
      </c>
      <c r="E199" s="2" t="n">
        <v>3</v>
      </c>
      <c r="F199" s="2" t="n">
        <v>183</v>
      </c>
      <c r="G199" s="2" t="s">
        <v>238</v>
      </c>
      <c r="H199" s="2" t="str">
        <f aca="false">IFERROR(__xludf.dummyfunction("IF(I335="""", """", REGEXEXTRACT(I335, ""Padrao/([^/]+)""))"),"Jardim Botanico")</f>
        <v>Jardim Botanico</v>
      </c>
    </row>
    <row r="200" customFormat="false" ht="15.75" hidden="true" customHeight="false" outlineLevel="0" collapsed="false">
      <c r="A200" s="2" t="n">
        <v>224111</v>
      </c>
      <c r="B200" s="2" t="s">
        <v>240</v>
      </c>
      <c r="C200" s="2" t="n">
        <v>3</v>
      </c>
      <c r="D200" s="2" t="n">
        <v>5</v>
      </c>
      <c r="E200" s="2" t="n">
        <v>3</v>
      </c>
      <c r="F200" s="2" t="n">
        <v>178</v>
      </c>
      <c r="G200" s="2" t="s">
        <v>241</v>
      </c>
      <c r="H200" s="2" t="str">
        <f aca="false">IFERROR(__xludf.dummyfunction("IF(I322="""", """", REGEXEXTRACT(I322, ""Padrao/([^/]+)""))"),"Jardim Villarica")</f>
        <v>Jardim Villarica</v>
      </c>
    </row>
    <row r="201" customFormat="false" ht="15.75" hidden="true" customHeight="false" outlineLevel="0" collapsed="false">
      <c r="A201" s="2" t="n">
        <v>224105</v>
      </c>
      <c r="B201" s="2" t="s">
        <v>240</v>
      </c>
      <c r="C201" s="2" t="n">
        <v>3</v>
      </c>
      <c r="D201" s="2" t="n">
        <v>5</v>
      </c>
      <c r="E201" s="2" t="n">
        <v>3</v>
      </c>
      <c r="F201" s="2" t="n">
        <v>178</v>
      </c>
      <c r="G201" s="2" t="s">
        <v>241</v>
      </c>
      <c r="H201" s="2" t="str">
        <f aca="false">IFERROR(__xludf.dummyfunction("IF(I323="""", """", REGEXEXTRACT(I323, ""Padrao/([^/]+)""))"),"Jardim Villarica")</f>
        <v>Jardim Villarica</v>
      </c>
    </row>
    <row r="202" customFormat="false" ht="15.75" hidden="true" customHeight="false" outlineLevel="0" collapsed="false">
      <c r="A202" s="2" t="n">
        <v>222689</v>
      </c>
      <c r="B202" s="2" t="s">
        <v>242</v>
      </c>
      <c r="C202" s="2" t="n">
        <v>4</v>
      </c>
      <c r="D202" s="2" t="n">
        <v>4</v>
      </c>
      <c r="E202" s="2" t="n">
        <v>2</v>
      </c>
      <c r="F202" s="2" t="n">
        <v>202</v>
      </c>
      <c r="G202" s="2" t="s">
        <v>241</v>
      </c>
      <c r="H202" s="2" t="str">
        <f aca="false">IFERROR(__xludf.dummyfunction("IF(I324="""", """", REGEXEXTRACT(I324, ""Padrao/([^/]+)""))"),"Jardim Botanico")</f>
        <v>Jardim Botanico</v>
      </c>
    </row>
    <row r="203" customFormat="false" ht="15.75" hidden="true" customHeight="false" outlineLevel="0" collapsed="false">
      <c r="A203" s="2" t="n">
        <v>221174</v>
      </c>
      <c r="B203" s="2" t="s">
        <v>240</v>
      </c>
      <c r="C203" s="2" t="n">
        <v>3</v>
      </c>
      <c r="D203" s="2" t="n">
        <v>5</v>
      </c>
      <c r="E203" s="2" t="n">
        <v>2</v>
      </c>
      <c r="F203" s="2" t="n">
        <v>178</v>
      </c>
      <c r="G203" s="2" t="s">
        <v>241</v>
      </c>
      <c r="H203" s="2" t="str">
        <f aca="false">IFERROR(__xludf.dummyfunction("IF(I325="""", """", REGEXEXTRACT(I325, ""Padrao/([^/]+)""))"),"Jardim Villarica")</f>
        <v>Jardim Villarica</v>
      </c>
    </row>
    <row r="204" customFormat="false" ht="15.75" hidden="true" customHeight="false" outlineLevel="0" collapsed="false">
      <c r="A204" s="2" t="n">
        <v>217103</v>
      </c>
      <c r="B204" s="2" t="s">
        <v>139</v>
      </c>
      <c r="C204" s="2" t="n">
        <v>3</v>
      </c>
      <c r="D204" s="2" t="n">
        <v>6</v>
      </c>
      <c r="E204" s="2" t="n">
        <v>3</v>
      </c>
      <c r="F204" s="2" t="n">
        <v>154</v>
      </c>
      <c r="G204" s="2" t="s">
        <v>241</v>
      </c>
      <c r="H204" s="2" t="str">
        <f aca="false">IFERROR(__xludf.dummyfunction("IF(I326="""", """", REGEXEXTRACT(I326, ""Padrao/([^/]+)""))"),"Jardim Olhos DAgua")</f>
        <v>Jardim Olhos DAgua</v>
      </c>
    </row>
    <row r="205" customFormat="false" ht="15.75" hidden="true" customHeight="false" outlineLevel="0" collapsed="false">
      <c r="A205" s="2" t="n">
        <v>214799</v>
      </c>
      <c r="B205" s="2" t="s">
        <v>190</v>
      </c>
      <c r="C205" s="2" t="n">
        <v>3</v>
      </c>
      <c r="D205" s="2" t="n">
        <v>5</v>
      </c>
      <c r="E205" s="2" t="n">
        <v>2</v>
      </c>
      <c r="F205" s="2" t="n">
        <v>156</v>
      </c>
      <c r="G205" s="2" t="s">
        <v>241</v>
      </c>
      <c r="H205" s="2" t="str">
        <f aca="false">IFERROR(__xludf.dummyfunction("IF(I327="""", """", REGEXEXTRACT(I327, ""Padrao/([^/]+)""))"),"Jardim Botanico")</f>
        <v>Jardim Botanico</v>
      </c>
    </row>
    <row r="206" customFormat="false" ht="15.75" hidden="true" customHeight="false" outlineLevel="0" collapsed="false">
      <c r="A206" s="2" t="n">
        <v>189854</v>
      </c>
      <c r="B206" s="2" t="s">
        <v>243</v>
      </c>
      <c r="C206" s="2" t="n">
        <v>3</v>
      </c>
      <c r="D206" s="2" t="n">
        <v>5</v>
      </c>
      <c r="E206" s="2" t="n">
        <v>3</v>
      </c>
      <c r="F206" s="2" t="n">
        <v>183</v>
      </c>
      <c r="G206" s="2" t="s">
        <v>241</v>
      </c>
      <c r="H206" s="2" t="str">
        <f aca="false">IFERROR(__xludf.dummyfunction("IF(I328="""", """", REGEXEXTRACT(I328, ""Padrao/([^/]+)""))"),"Jardim Botanico")</f>
        <v>Jardim Botanico</v>
      </c>
    </row>
    <row r="207" customFormat="false" ht="15.75" hidden="true" customHeight="false" outlineLevel="0" collapsed="false">
      <c r="A207" s="2" t="n">
        <v>186935</v>
      </c>
      <c r="B207" s="2" t="s">
        <v>233</v>
      </c>
      <c r="C207" s="2" t="n">
        <v>3</v>
      </c>
      <c r="D207" s="2" t="n">
        <v>4</v>
      </c>
      <c r="E207" s="2" t="n">
        <v>4</v>
      </c>
      <c r="F207" s="2" t="n">
        <v>195</v>
      </c>
      <c r="G207" s="2" t="s">
        <v>241</v>
      </c>
      <c r="H207" s="2" t="str">
        <f aca="false">IFERROR(__xludf.dummyfunction("IF(I329="""", """", REGEXEXTRACT(I329, ""Padrao/([^/]+)""))"),"Residencial Alto do Ipe")</f>
        <v>Residencial Alto do Ipe</v>
      </c>
    </row>
    <row r="208" customFormat="false" ht="15.75" hidden="true" customHeight="false" outlineLevel="0" collapsed="false">
      <c r="A208" s="2" t="n">
        <v>152759</v>
      </c>
      <c r="B208" s="2" t="s">
        <v>244</v>
      </c>
      <c r="C208" s="2" t="n">
        <v>3</v>
      </c>
      <c r="D208" s="2" t="n">
        <v>6</v>
      </c>
      <c r="E208" s="2" t="n">
        <v>3</v>
      </c>
      <c r="F208" s="2" t="n">
        <v>170</v>
      </c>
      <c r="G208" s="2" t="s">
        <v>241</v>
      </c>
      <c r="H208" s="2" t="str">
        <f aca="false">IFERROR(__xludf.dummyfunction("IF(I330="""", """", REGEXEXTRACT(I330, ""Padrao/([^/]+)""))"),"Vila do Golf")</f>
        <v>Vila do Golf</v>
      </c>
    </row>
    <row r="209" customFormat="false" ht="15.75" hidden="true" customHeight="false" outlineLevel="0" collapsed="false">
      <c r="A209" s="2" t="n">
        <v>239966</v>
      </c>
      <c r="B209" s="2" t="s">
        <v>109</v>
      </c>
      <c r="C209" s="2" t="n">
        <v>4</v>
      </c>
      <c r="D209" s="2" t="n">
        <v>6</v>
      </c>
      <c r="E209" s="2" t="n">
        <v>3</v>
      </c>
      <c r="F209" s="2" t="n">
        <v>153</v>
      </c>
      <c r="G209" s="2" t="s">
        <v>245</v>
      </c>
      <c r="H209" s="2" t="str">
        <f aca="false">IFERROR(__xludf.dummyfunction("IF(I331="""", """", REGEXEXTRACT(I331, ""Padrao/([^/]+)""))"),"Jardim Olhos DAgua")</f>
        <v>Jardim Olhos DAgua</v>
      </c>
    </row>
    <row r="210" customFormat="false" ht="15.75" hidden="true" customHeight="false" outlineLevel="0" collapsed="false">
      <c r="A210" s="2" t="n">
        <v>152738</v>
      </c>
      <c r="B210" s="2" t="s">
        <v>244</v>
      </c>
      <c r="C210" s="2" t="n">
        <v>3</v>
      </c>
      <c r="D210" s="2" t="n">
        <v>5</v>
      </c>
      <c r="E210" s="2" t="n">
        <v>3</v>
      </c>
      <c r="F210" s="2" t="n">
        <v>170</v>
      </c>
      <c r="G210" s="2" t="s">
        <v>246</v>
      </c>
      <c r="H210" s="2" t="str">
        <f aca="false">IFERROR(__xludf.dummyfunction("IF(I333="""", """", REGEXEXTRACT(I333, ""Padrao/([^/]+)""))"),"Vila do Golf")</f>
        <v>Vila do Golf</v>
      </c>
    </row>
    <row r="211" customFormat="false" ht="15.75" hidden="true" customHeight="false" outlineLevel="0" collapsed="false">
      <c r="A211" s="2" t="n">
        <v>184688</v>
      </c>
      <c r="B211" s="2" t="s">
        <v>247</v>
      </c>
      <c r="C211" s="2" t="n">
        <v>3</v>
      </c>
      <c r="D211" s="2" t="n">
        <v>5</v>
      </c>
      <c r="E211" s="2" t="n">
        <v>2</v>
      </c>
      <c r="F211" s="2" t="n">
        <v>166</v>
      </c>
      <c r="G211" s="2" t="s">
        <v>248</v>
      </c>
      <c r="H211" s="2" t="str">
        <f aca="false">IFERROR(__xludf.dummyfunction("IF(I334="""", """", REGEXEXTRACT(I334, ""Padrao/([^/]+)""))"),"Jardim Olhos DAgua")</f>
        <v>Jardim Olhos DAgua</v>
      </c>
    </row>
    <row r="212" customFormat="false" ht="15.75" hidden="true" customHeight="false" outlineLevel="0" collapsed="false">
      <c r="A212" s="2" t="n">
        <v>188861</v>
      </c>
      <c r="B212" s="2" t="s">
        <v>249</v>
      </c>
      <c r="C212" s="2" t="n">
        <v>3</v>
      </c>
      <c r="D212" s="2" t="n">
        <v>5</v>
      </c>
      <c r="E212" s="2" t="n">
        <v>3</v>
      </c>
      <c r="F212" s="2" t="n">
        <v>171</v>
      </c>
      <c r="G212" s="2" t="s">
        <v>250</v>
      </c>
      <c r="H212" s="2" t="str">
        <f aca="false">IFERROR(__xludf.dummyfunction("IF(I336="""", """", REGEXEXTRACT(I336, ""Padrao/([^/]+)""))"),"Nova Alianca")</f>
        <v>Nova Alianca</v>
      </c>
    </row>
    <row r="213" customFormat="false" ht="15.75" hidden="true" customHeight="false" outlineLevel="0" collapsed="false">
      <c r="A213" s="2" t="n">
        <v>83234</v>
      </c>
      <c r="B213" s="2" t="s">
        <v>251</v>
      </c>
      <c r="C213" s="2" t="n">
        <v>3</v>
      </c>
      <c r="D213" s="2" t="n">
        <v>5</v>
      </c>
      <c r="E213" s="2" t="n">
        <v>4</v>
      </c>
      <c r="F213" s="2" t="n">
        <v>232</v>
      </c>
      <c r="G213" s="2" t="s">
        <v>250</v>
      </c>
      <c r="H213" s="2" t="str">
        <f aca="false">IFERROR(__xludf.dummyfunction("IF(I416="""", """", REGEXEXTRACT(I416, ""Padrao/([^/]+)""))"),"Jardim Canada")</f>
        <v>Jardim Canada</v>
      </c>
    </row>
    <row r="214" customFormat="false" ht="15.75" hidden="true" customHeight="false" outlineLevel="0" collapsed="false">
      <c r="A214" s="2" t="n">
        <v>228422</v>
      </c>
      <c r="B214" s="2" t="s">
        <v>252</v>
      </c>
      <c r="C214" s="2" t="n">
        <v>4</v>
      </c>
      <c r="D214" s="2" t="n">
        <v>5</v>
      </c>
      <c r="E214" s="2" t="n">
        <v>4</v>
      </c>
      <c r="F214" s="2" t="n">
        <v>232</v>
      </c>
      <c r="G214" s="2" t="s">
        <v>253</v>
      </c>
      <c r="H214" s="2" t="str">
        <f aca="false">IFERROR(__xludf.dummyfunction("IF(I337="""", """", REGEXEXTRACT(I337, ""Padrao/([^/]+)""))"),"Jardim Canada")</f>
        <v>Jardim Canada</v>
      </c>
    </row>
    <row r="215" customFormat="false" ht="15.75" hidden="true" customHeight="false" outlineLevel="0" collapsed="false">
      <c r="A215" s="2" t="n">
        <v>215129</v>
      </c>
      <c r="B215" s="2" t="s">
        <v>254</v>
      </c>
      <c r="C215" s="2" t="n">
        <v>4</v>
      </c>
      <c r="D215" s="2" t="n">
        <v>6</v>
      </c>
      <c r="E215" s="2" t="n">
        <v>3</v>
      </c>
      <c r="F215" s="2" t="n">
        <v>239</v>
      </c>
      <c r="G215" s="2" t="s">
        <v>255</v>
      </c>
      <c r="H215" s="2" t="str">
        <f aca="false">IFERROR(__xludf.dummyfunction("IF(I357="""", """", REGEXEXTRACT(I357, ""Padrao/([^/]+)""))"),"Jardim Canada")</f>
        <v>Jardim Canada</v>
      </c>
    </row>
    <row r="216" customFormat="false" ht="15.75" hidden="true" customHeight="false" outlineLevel="0" collapsed="false">
      <c r="A216" s="2" t="n">
        <v>188132</v>
      </c>
      <c r="B216" s="2" t="s">
        <v>256</v>
      </c>
      <c r="C216" s="2" t="n">
        <v>3</v>
      </c>
      <c r="D216" s="2" t="n">
        <v>5</v>
      </c>
      <c r="E216" s="2" t="n">
        <v>4</v>
      </c>
      <c r="F216" s="2" t="n">
        <v>239</v>
      </c>
      <c r="G216" s="2" t="s">
        <v>255</v>
      </c>
      <c r="H216" s="2" t="str">
        <f aca="false">IFERROR(__xludf.dummyfunction("IF(I358="""", """", REGEXEXTRACT(I358, ""Padrao/([^/]+)""))"),"Jardim Iraja")</f>
        <v>Jardim Iraja</v>
      </c>
    </row>
    <row r="217" customFormat="false" ht="15.75" hidden="true" customHeight="false" outlineLevel="0" collapsed="false">
      <c r="A217" s="2" t="n">
        <v>171434</v>
      </c>
      <c r="B217" s="2" t="s">
        <v>257</v>
      </c>
      <c r="C217" s="2" t="n">
        <v>4</v>
      </c>
      <c r="D217" s="2" t="n">
        <v>4</v>
      </c>
      <c r="E217" s="2" t="n">
        <v>4</v>
      </c>
      <c r="F217" s="2" t="n">
        <v>238</v>
      </c>
      <c r="G217" s="2" t="s">
        <v>255</v>
      </c>
      <c r="H217" s="2" t="str">
        <f aca="false">IFERROR(__xludf.dummyfunction("IF(I359="""", """", REGEXEXTRACT(I359, ""Padrao/([^/]+)""))"),"Jardim Iraja")</f>
        <v>Jardim Iraja</v>
      </c>
    </row>
    <row r="218" customFormat="false" ht="15.75" hidden="true" customHeight="false" outlineLevel="0" collapsed="false">
      <c r="A218" s="2" t="n">
        <v>41363</v>
      </c>
      <c r="B218" s="2" t="s">
        <v>258</v>
      </c>
      <c r="C218" s="2" t="n">
        <v>4</v>
      </c>
      <c r="D218" s="2" t="n">
        <v>5</v>
      </c>
      <c r="E218" s="2" t="n">
        <v>4</v>
      </c>
      <c r="F218" s="2" t="n">
        <v>238</v>
      </c>
      <c r="G218" s="2" t="s">
        <v>255</v>
      </c>
      <c r="H218" s="2" t="str">
        <f aca="false">IFERROR(__xludf.dummyfunction("IF(I360="""", """", REGEXEXTRACT(I360, ""Padrao/([^/]+)""))"),"Jardim Iraja")</f>
        <v>Jardim Iraja</v>
      </c>
    </row>
    <row r="219" customFormat="false" ht="15.75" hidden="true" customHeight="false" outlineLevel="0" collapsed="false">
      <c r="A219" s="2" t="n">
        <v>197699</v>
      </c>
      <c r="B219" s="2" t="s">
        <v>259</v>
      </c>
      <c r="C219" s="2" t="n">
        <v>3</v>
      </c>
      <c r="D219" s="2" t="n">
        <v>5</v>
      </c>
      <c r="E219" s="2" t="n">
        <v>3</v>
      </c>
      <c r="F219" s="2" t="n">
        <v>239</v>
      </c>
      <c r="G219" s="2" t="s">
        <v>255</v>
      </c>
      <c r="H219" s="2" t="str">
        <f aca="false">IFERROR(__xludf.dummyfunction("IF(I392="""", """", REGEXEXTRACT(I392, ""Padrao/([^/]+)""))"),"Jardim Canada")</f>
        <v>Jardim Canada</v>
      </c>
    </row>
    <row r="220" customFormat="false" ht="15.75" hidden="true" customHeight="false" outlineLevel="0" collapsed="false">
      <c r="A220" s="2" t="n">
        <v>220775</v>
      </c>
      <c r="B220" s="2" t="s">
        <v>260</v>
      </c>
      <c r="C220" s="2" t="n">
        <v>3</v>
      </c>
      <c r="D220" s="2" t="n">
        <v>4</v>
      </c>
      <c r="E220" s="2" t="n">
        <v>3</v>
      </c>
      <c r="F220" s="2" t="n">
        <v>169</v>
      </c>
      <c r="G220" s="2" t="s">
        <v>255</v>
      </c>
      <c r="H220" s="2" t="str">
        <f aca="false">IFERROR(__xludf.dummyfunction("IF(I407="""", """", REGEXEXTRACT(I407, ""Padrao/([^/]+)""))"),"Jardim Botanico")</f>
        <v>Jardim Botanico</v>
      </c>
    </row>
    <row r="221" customFormat="false" ht="15.75" hidden="true" customHeight="false" outlineLevel="0" collapsed="false">
      <c r="A221" s="2" t="n">
        <v>214892</v>
      </c>
      <c r="B221" s="2" t="s">
        <v>230</v>
      </c>
      <c r="C221" s="2" t="n">
        <v>3</v>
      </c>
      <c r="D221" s="2" t="n">
        <v>5</v>
      </c>
      <c r="E221" s="2" t="n">
        <v>2</v>
      </c>
      <c r="F221" s="2" t="n">
        <v>166</v>
      </c>
      <c r="G221" s="2" t="s">
        <v>261</v>
      </c>
      <c r="H221" s="2" t="str">
        <f aca="false">IFERROR(__xludf.dummyfunction("IF(I361="""", """", REGEXEXTRACT(I361, ""Padrao/([^/]+)""))"),"Jardim Olhos DAgua")</f>
        <v>Jardim Olhos DAgua</v>
      </c>
    </row>
    <row r="222" customFormat="false" ht="15.75" hidden="true" customHeight="false" outlineLevel="0" collapsed="false">
      <c r="A222" s="2" t="n">
        <v>177086</v>
      </c>
      <c r="B222" s="2" t="s">
        <v>262</v>
      </c>
      <c r="C222" s="2" t="n">
        <v>4</v>
      </c>
      <c r="D222" s="2" t="n">
        <v>5</v>
      </c>
      <c r="E222" s="2" t="n">
        <v>4</v>
      </c>
      <c r="F222" s="2" t="n">
        <v>195</v>
      </c>
      <c r="G222" s="2" t="s">
        <v>263</v>
      </c>
      <c r="H222" s="2" t="str">
        <f aca="false">IFERROR(__xludf.dummyfunction("IF(I393="""", """", REGEXEXTRACT(I393, ""Padrao/([^/]+)""))"),"Residencial Alto do Ipe")</f>
        <v>Residencial Alto do Ipe</v>
      </c>
    </row>
    <row r="223" customFormat="false" ht="15.75" hidden="true" customHeight="false" outlineLevel="0" collapsed="false">
      <c r="A223" s="2" t="n">
        <v>213653</v>
      </c>
      <c r="B223" s="2" t="s">
        <v>264</v>
      </c>
      <c r="C223" s="2" t="n">
        <v>3</v>
      </c>
      <c r="D223" s="2" t="n">
        <v>5</v>
      </c>
      <c r="E223" s="2" t="n">
        <v>3</v>
      </c>
      <c r="F223" s="2" t="n">
        <v>168</v>
      </c>
      <c r="G223" s="2" t="s">
        <v>265</v>
      </c>
      <c r="H223" s="2" t="str">
        <f aca="false">IFERROR(__xludf.dummyfunction("IF(I364="""", """", REGEXEXTRACT(I364, ""Padrao/([^/]+)""))"),"Residencial Alto do Ipe")</f>
        <v>Residencial Alto do Ipe</v>
      </c>
    </row>
    <row r="224" customFormat="false" ht="15.75" hidden="true" customHeight="false" outlineLevel="0" collapsed="false">
      <c r="A224" s="2" t="n">
        <v>186794</v>
      </c>
      <c r="B224" s="2" t="s">
        <v>200</v>
      </c>
      <c r="C224" s="2" t="n">
        <v>3</v>
      </c>
      <c r="D224" s="2" t="n">
        <v>5</v>
      </c>
      <c r="E224" s="2" t="n">
        <v>3</v>
      </c>
      <c r="F224" s="2" t="n">
        <v>218</v>
      </c>
      <c r="G224" s="2" t="s">
        <v>266</v>
      </c>
      <c r="H224" s="2" t="str">
        <f aca="false">IFERROR(__xludf.dummyfunction("IF(I415="""", """", REGEXEXTRACT(I415, ""Padrao/([^/]+)""))"),"Bosque das Juritis")</f>
        <v>Bosque das Juritis</v>
      </c>
    </row>
    <row r="225" customFormat="false" ht="15.75" hidden="true" customHeight="false" outlineLevel="0" collapsed="false">
      <c r="A225" s="2" t="n">
        <v>172745</v>
      </c>
      <c r="B225" s="2" t="s">
        <v>165</v>
      </c>
      <c r="C225" s="2" t="n">
        <v>3</v>
      </c>
      <c r="D225" s="2" t="n">
        <v>5</v>
      </c>
      <c r="E225" s="2" t="n">
        <v>2</v>
      </c>
      <c r="F225" s="2" t="n">
        <v>158</v>
      </c>
      <c r="G225" s="2" t="s">
        <v>267</v>
      </c>
      <c r="H225" s="2" t="str">
        <f aca="false">IFERROR(__xludf.dummyfunction("IF(I366="""", """", REGEXEXTRACT(I366, ""Padrao/([^/]+)""))"),"Jardim Olhos DAgua")</f>
        <v>Jardim Olhos DAgua</v>
      </c>
    </row>
    <row r="226" customFormat="false" ht="15.75" hidden="true" customHeight="false" outlineLevel="0" collapsed="false">
      <c r="A226" s="2" t="n">
        <v>228752</v>
      </c>
      <c r="B226" s="2" t="s">
        <v>268</v>
      </c>
      <c r="C226" s="2" t="n">
        <v>3</v>
      </c>
      <c r="D226" s="2" t="n">
        <v>4</v>
      </c>
      <c r="E226" s="2" t="n">
        <v>2</v>
      </c>
      <c r="F226" s="2" t="n">
        <v>109</v>
      </c>
      <c r="G226" s="2" t="s">
        <v>269</v>
      </c>
      <c r="H226" s="2" t="str">
        <f aca="false">IFERROR(__xludf.dummyfunction("IF(I368="""", """", REGEXEXTRACT(I368, ""Padrao/([^/]+)""))"),"Plazas de Espana")</f>
        <v>Plazas de Espana</v>
      </c>
    </row>
    <row r="227" customFormat="false" ht="15.75" hidden="true" customHeight="false" outlineLevel="0" collapsed="false">
      <c r="A227" s="2" t="n">
        <v>224099</v>
      </c>
      <c r="B227" s="2" t="s">
        <v>240</v>
      </c>
      <c r="C227" s="2" t="n">
        <v>3</v>
      </c>
      <c r="D227" s="2" t="n">
        <v>5</v>
      </c>
      <c r="E227" s="2" t="n">
        <v>3</v>
      </c>
      <c r="F227" s="2" t="n">
        <v>178</v>
      </c>
      <c r="G227" s="2" t="s">
        <v>269</v>
      </c>
      <c r="H227" s="2" t="str">
        <f aca="false">IFERROR(__xludf.dummyfunction("IF(I369="""", """", REGEXEXTRACT(I369, ""Padrao/([^/]+)""))"),"Jardim Villarica")</f>
        <v>Jardim Villarica</v>
      </c>
    </row>
    <row r="228" customFormat="false" ht="15.75" hidden="true" customHeight="false" outlineLevel="0" collapsed="false">
      <c r="A228" s="2" t="n">
        <v>222374</v>
      </c>
      <c r="B228" s="2" t="s">
        <v>228</v>
      </c>
      <c r="C228" s="2" t="n">
        <v>3</v>
      </c>
      <c r="D228" s="2" t="n">
        <v>5</v>
      </c>
      <c r="E228" s="2" t="n">
        <v>2</v>
      </c>
      <c r="F228" s="2" t="n">
        <v>156</v>
      </c>
      <c r="G228" s="2" t="s">
        <v>269</v>
      </c>
      <c r="H228" s="2" t="str">
        <f aca="false">IFERROR(__xludf.dummyfunction("IF(I370="""", """", REGEXEXTRACT(I370, ""Padrao/([^/]+)""))"),"Jardim Botanico")</f>
        <v>Jardim Botanico</v>
      </c>
    </row>
    <row r="229" customFormat="false" ht="15.75" hidden="true" customHeight="false" outlineLevel="0" collapsed="false">
      <c r="A229" s="2" t="n">
        <v>217112</v>
      </c>
      <c r="B229" s="2" t="s">
        <v>139</v>
      </c>
      <c r="C229" s="2" t="n">
        <v>3</v>
      </c>
      <c r="D229" s="2" t="n">
        <v>6</v>
      </c>
      <c r="E229" s="2" t="n">
        <v>3</v>
      </c>
      <c r="F229" s="2" t="n">
        <v>154</v>
      </c>
      <c r="G229" s="2" t="s">
        <v>269</v>
      </c>
      <c r="H229" s="2" t="str">
        <f aca="false">IFERROR(__xludf.dummyfunction("IF(I371="""", """", REGEXEXTRACT(I371, ""Padrao/([^/]+)""))"),"Jardim Olhos DAgua")</f>
        <v>Jardim Olhos DAgua</v>
      </c>
    </row>
    <row r="230" customFormat="false" ht="15.75" hidden="true" customHeight="false" outlineLevel="0" collapsed="false">
      <c r="A230" s="2" t="n">
        <v>212234</v>
      </c>
      <c r="B230" s="2" t="s">
        <v>270</v>
      </c>
      <c r="C230" s="2" t="n">
        <v>3</v>
      </c>
      <c r="D230" s="2" t="n">
        <v>5</v>
      </c>
      <c r="E230" s="2" t="n">
        <v>4</v>
      </c>
      <c r="F230" s="2" t="n">
        <v>228</v>
      </c>
      <c r="G230" s="2" t="s">
        <v>269</v>
      </c>
      <c r="H230" s="2" t="str">
        <f aca="false">IFERROR(__xludf.dummyfunction("IF(I372="""", """", REGEXEXTRACT(I372, ""Padrao/([^/]+)""))"),"Jardim Iraja")</f>
        <v>Jardim Iraja</v>
      </c>
    </row>
    <row r="231" customFormat="false" ht="15.75" hidden="true" customHeight="false" outlineLevel="0" collapsed="false">
      <c r="A231" s="2" t="n">
        <v>209693</v>
      </c>
      <c r="B231" s="2" t="s">
        <v>95</v>
      </c>
      <c r="C231" s="2" t="n">
        <v>3</v>
      </c>
      <c r="D231" s="2" t="n">
        <v>4</v>
      </c>
      <c r="E231" s="2" t="n">
        <v>3</v>
      </c>
      <c r="F231" s="2" t="n">
        <v>155</v>
      </c>
      <c r="G231" s="2" t="s">
        <v>269</v>
      </c>
      <c r="H231" s="2" t="str">
        <f aca="false">IFERROR(__xludf.dummyfunction("IF(I373="""", """", REGEXEXTRACT(I373, ""Padrao/([^/]+)""))"),"Bosque das Juritis")</f>
        <v>Bosque das Juritis</v>
      </c>
    </row>
    <row r="232" customFormat="false" ht="15.75" hidden="true" customHeight="false" outlineLevel="0" collapsed="false">
      <c r="A232" s="2" t="n">
        <v>59390</v>
      </c>
      <c r="B232" s="2" t="s">
        <v>271</v>
      </c>
      <c r="C232" s="2" t="n">
        <v>4</v>
      </c>
      <c r="D232" s="2" t="n">
        <v>4</v>
      </c>
      <c r="E232" s="2" t="n">
        <v>4</v>
      </c>
      <c r="F232" s="2" t="n">
        <v>239</v>
      </c>
      <c r="G232" s="2" t="s">
        <v>269</v>
      </c>
      <c r="H232" s="2" t="str">
        <f aca="false">IFERROR(__xludf.dummyfunction("IF(I374="""", """", REGEXEXTRACT(I374, ""Padrao/([^/]+)""))"),"Jardim Iraja")</f>
        <v>Jardim Iraja</v>
      </c>
    </row>
    <row r="233" customFormat="false" ht="15.75" hidden="true" customHeight="false" outlineLevel="0" collapsed="false">
      <c r="A233" s="2" t="n">
        <v>209987</v>
      </c>
      <c r="B233" s="2" t="s">
        <v>272</v>
      </c>
      <c r="C233" s="2" t="n">
        <v>3</v>
      </c>
      <c r="D233" s="2" t="n">
        <v>5</v>
      </c>
      <c r="E233" s="2" t="n">
        <v>4</v>
      </c>
      <c r="F233" s="2" t="n">
        <v>195</v>
      </c>
      <c r="G233" s="2" t="s">
        <v>269</v>
      </c>
      <c r="H233" s="2" t="str">
        <f aca="false">IFERROR(__xludf.dummyfunction("IF(I441="""", """", REGEXEXTRACT(I441, ""Padrao/([^/]+)""))"),"Residencial Alto do Ipe")</f>
        <v>Residencial Alto do Ipe</v>
      </c>
    </row>
    <row r="234" customFormat="false" ht="15.75" hidden="true" customHeight="false" outlineLevel="0" collapsed="false">
      <c r="A234" s="2" t="n">
        <v>201020</v>
      </c>
      <c r="B234" s="2" t="s">
        <v>148</v>
      </c>
      <c r="C234" s="2" t="n">
        <v>3</v>
      </c>
      <c r="D234" s="2" t="n">
        <v>5</v>
      </c>
      <c r="E234" s="2" t="n">
        <v>3</v>
      </c>
      <c r="F234" s="2" t="n">
        <v>194</v>
      </c>
      <c r="G234" s="2" t="s">
        <v>273</v>
      </c>
      <c r="H234" s="2" t="str">
        <f aca="false">IFERROR(__xludf.dummyfunction("IF(I376="""", """", REGEXEXTRACT(I376, ""Padrao/([^/]+)""))"),"Jardim Botanico")</f>
        <v>Jardim Botanico</v>
      </c>
    </row>
    <row r="235" customFormat="false" ht="15.75" hidden="true" customHeight="false" outlineLevel="0" collapsed="false">
      <c r="A235" s="2" t="n">
        <v>245132</v>
      </c>
      <c r="B235" s="2" t="s">
        <v>179</v>
      </c>
      <c r="C235" s="2" t="n">
        <v>3</v>
      </c>
      <c r="D235" s="2" t="n">
        <v>5</v>
      </c>
      <c r="E235" s="2" t="n">
        <v>2</v>
      </c>
      <c r="F235" s="2" t="n">
        <v>158</v>
      </c>
      <c r="G235" s="2" t="s">
        <v>274</v>
      </c>
      <c r="H235" s="2" t="str">
        <f aca="false">IFERROR(__xludf.dummyfunction("IF(I378="""", """", REGEXEXTRACT(I378, ""Padrao/([^/]+)""))"),"Jardim Botanico")</f>
        <v>Jardim Botanico</v>
      </c>
    </row>
    <row r="236" customFormat="false" ht="15.75" hidden="true" customHeight="false" outlineLevel="0" collapsed="false">
      <c r="A236" s="2" t="n">
        <v>210725</v>
      </c>
      <c r="B236" s="2" t="s">
        <v>264</v>
      </c>
      <c r="C236" s="2" t="n">
        <v>3</v>
      </c>
      <c r="D236" s="2" t="n">
        <v>4</v>
      </c>
      <c r="E236" s="2" t="n">
        <v>3</v>
      </c>
      <c r="F236" s="2" t="n">
        <v>168</v>
      </c>
      <c r="G236" s="2" t="s">
        <v>274</v>
      </c>
      <c r="H236" s="2" t="str">
        <f aca="false">IFERROR(__xludf.dummyfunction("IF(I379="""", """", REGEXEXTRACT(I379, ""Padrao/([^/]+)""))"),"Residencial Alto do Ipe")</f>
        <v>Residencial Alto do Ipe</v>
      </c>
    </row>
    <row r="237" customFormat="false" ht="15.75" hidden="true" customHeight="false" outlineLevel="0" collapsed="false">
      <c r="A237" s="2" t="n">
        <v>224624</v>
      </c>
      <c r="B237" s="2" t="s">
        <v>275</v>
      </c>
      <c r="C237" s="2" t="n">
        <v>3</v>
      </c>
      <c r="D237" s="2" t="n">
        <v>4</v>
      </c>
      <c r="E237" s="2" t="n">
        <v>2</v>
      </c>
      <c r="F237" s="2" t="n">
        <v>156</v>
      </c>
      <c r="G237" s="2" t="s">
        <v>276</v>
      </c>
      <c r="H237" s="2" t="str">
        <f aca="false">IFERROR(__xludf.dummyfunction("IF(I380="""", """", REGEXEXTRACT(I380, ""Padrao/([^/]+)""))"),"Jardim Botanico")</f>
        <v>Jardim Botanico</v>
      </c>
    </row>
    <row r="238" customFormat="false" ht="15.75" hidden="true" customHeight="false" outlineLevel="0" collapsed="false">
      <c r="A238" s="2" t="n">
        <v>215162</v>
      </c>
      <c r="B238" s="2" t="s">
        <v>165</v>
      </c>
      <c r="C238" s="2" t="n">
        <v>3</v>
      </c>
      <c r="D238" s="2" t="n">
        <v>4</v>
      </c>
      <c r="E238" s="2" t="n">
        <v>3</v>
      </c>
      <c r="F238" s="2" t="n">
        <v>158</v>
      </c>
      <c r="G238" s="2" t="s">
        <v>277</v>
      </c>
      <c r="H238" s="2" t="str">
        <f aca="false">IFERROR(__xludf.dummyfunction("IF(I394="""", """", REGEXEXTRACT(I394, ""Padrao/([^/]+)""))"),"Jardim Olhos DAgua")</f>
        <v>Jardim Olhos DAgua</v>
      </c>
    </row>
    <row r="239" customFormat="false" ht="15.75" hidden="true" customHeight="false" outlineLevel="0" collapsed="false">
      <c r="A239" s="2" t="n">
        <v>198827</v>
      </c>
      <c r="B239" s="2" t="s">
        <v>278</v>
      </c>
      <c r="C239" s="2" t="n">
        <v>3</v>
      </c>
      <c r="D239" s="2" t="n">
        <v>4</v>
      </c>
      <c r="E239" s="2" t="n">
        <v>3</v>
      </c>
      <c r="F239" s="2" t="n">
        <v>183</v>
      </c>
      <c r="G239" s="2" t="s">
        <v>277</v>
      </c>
      <c r="H239" s="2" t="str">
        <f aca="false">IFERROR(__xludf.dummyfunction("IF(I395="""", """", REGEXEXTRACT(I395, ""Padrao/([^/]+)""))"),"Jardim Botanico")</f>
        <v>Jardim Botanico</v>
      </c>
    </row>
    <row r="240" customFormat="false" ht="15.75" hidden="true" customHeight="false" outlineLevel="0" collapsed="false">
      <c r="A240" s="2" t="n">
        <v>181682</v>
      </c>
      <c r="B240" s="2" t="s">
        <v>279</v>
      </c>
      <c r="C240" s="2" t="n">
        <v>3</v>
      </c>
      <c r="D240" s="2" t="n">
        <v>4</v>
      </c>
      <c r="E240" s="2" t="n">
        <v>2</v>
      </c>
      <c r="F240" s="2" t="n">
        <v>171</v>
      </c>
      <c r="G240" s="2" t="s">
        <v>277</v>
      </c>
      <c r="H240" s="2" t="str">
        <f aca="false">IFERROR(__xludf.dummyfunction("IF(I396="""", """", REGEXEXTRACT(I396, ""Padrao/([^/]+)""))"),"Nova Alianca")</f>
        <v>Nova Alianca</v>
      </c>
    </row>
    <row r="241" customFormat="false" ht="15.75" hidden="true" customHeight="false" outlineLevel="0" collapsed="false">
      <c r="A241" s="2" t="n">
        <v>144347</v>
      </c>
      <c r="B241" s="2" t="s">
        <v>280</v>
      </c>
      <c r="C241" s="2" t="n">
        <v>4</v>
      </c>
      <c r="D241" s="2" t="n">
        <v>4</v>
      </c>
      <c r="E241" s="2" t="n">
        <v>4</v>
      </c>
      <c r="F241" s="2" t="n">
        <v>238</v>
      </c>
      <c r="G241" s="2" t="s">
        <v>277</v>
      </c>
      <c r="H241" s="2" t="str">
        <f aca="false">IFERROR(__xludf.dummyfunction("IF(I397="""", """", REGEXEXTRACT(I397, ""Padrao/([^/]+)""))"),"Jardim Iraja")</f>
        <v>Jardim Iraja</v>
      </c>
    </row>
    <row r="242" customFormat="false" ht="15.75" hidden="true" customHeight="false" outlineLevel="0" collapsed="false">
      <c r="A242" s="2" t="n">
        <v>86264</v>
      </c>
      <c r="B242" s="2" t="s">
        <v>281</v>
      </c>
      <c r="C242" s="2" t="n">
        <v>3</v>
      </c>
      <c r="D242" s="2" t="n">
        <v>5</v>
      </c>
      <c r="E242" s="2" t="n">
        <v>3</v>
      </c>
      <c r="F242" s="2" t="n">
        <v>320</v>
      </c>
      <c r="G242" s="2" t="s">
        <v>277</v>
      </c>
      <c r="H242" s="2" t="str">
        <f aca="false">IFERROR(__xludf.dummyfunction("IF(I398="""", """", REGEXEXTRACT(I398, ""Padrao/([^/]+)""))"),"Jardim Canada")</f>
        <v>Jardim Canada</v>
      </c>
    </row>
    <row r="243" customFormat="false" ht="15.75" hidden="true" customHeight="false" outlineLevel="0" collapsed="false">
      <c r="A243" s="2" t="n">
        <v>124661</v>
      </c>
      <c r="B243" s="2" t="s">
        <v>282</v>
      </c>
      <c r="C243" s="2" t="n">
        <v>4</v>
      </c>
      <c r="D243" s="2" t="n">
        <v>5</v>
      </c>
      <c r="E243" s="2" t="n">
        <v>4</v>
      </c>
      <c r="F243" s="2" t="n">
        <v>442</v>
      </c>
      <c r="G243" s="2" t="s">
        <v>277</v>
      </c>
      <c r="H243" s="2" t="str">
        <f aca="false">IFERROR(__xludf.dummyfunction("IF(I503="""", """", REGEXEXTRACT(I503, ""Padrao/([^/]+)""))"),"Centro")</f>
        <v>Centro</v>
      </c>
    </row>
    <row r="244" customFormat="false" ht="15.75" hidden="true" customHeight="false" outlineLevel="0" collapsed="false">
      <c r="A244" s="2" t="n">
        <v>115970</v>
      </c>
      <c r="B244" s="2" t="s">
        <v>283</v>
      </c>
      <c r="C244" s="2" t="n">
        <v>4</v>
      </c>
      <c r="D244" s="2" t="n">
        <v>6</v>
      </c>
      <c r="E244" s="2" t="n">
        <v>4</v>
      </c>
      <c r="F244" s="2" t="n">
        <v>336</v>
      </c>
      <c r="G244" s="2" t="s">
        <v>277</v>
      </c>
      <c r="H244" s="2" t="str">
        <f aca="false">IFERROR(__xludf.dummyfunction("IF(I504="""", """", REGEXEXTRACT(I504, ""Padrao/([^/]+)""))"),"Jardim Iraja")</f>
        <v>Jardim Iraja</v>
      </c>
    </row>
    <row r="245" customFormat="false" ht="15.75" hidden="true" customHeight="false" outlineLevel="0" collapsed="false">
      <c r="A245" s="2" t="n">
        <v>201023</v>
      </c>
      <c r="B245" s="2" t="s">
        <v>148</v>
      </c>
      <c r="C245" s="2" t="n">
        <v>3</v>
      </c>
      <c r="D245" s="2" t="n">
        <v>5</v>
      </c>
      <c r="E245" s="2" t="n">
        <v>3</v>
      </c>
      <c r="F245" s="2" t="n">
        <v>194</v>
      </c>
      <c r="G245" s="2" t="s">
        <v>284</v>
      </c>
      <c r="H245" s="2" t="str">
        <f aca="false">IFERROR(__xludf.dummyfunction("IF(I399="""", """", REGEXEXTRACT(I399, ""Padrao/([^/]+)""))"),"Jardim Botanico")</f>
        <v>Jardim Botanico</v>
      </c>
    </row>
    <row r="246" customFormat="false" ht="15.75" hidden="true" customHeight="false" outlineLevel="0" collapsed="false">
      <c r="A246" s="2" t="n">
        <v>214907</v>
      </c>
      <c r="B246" s="2" t="s">
        <v>230</v>
      </c>
      <c r="C246" s="2" t="n">
        <v>3</v>
      </c>
      <c r="D246" s="2" t="n">
        <v>5</v>
      </c>
      <c r="E246" s="2" t="n">
        <v>2</v>
      </c>
      <c r="F246" s="2" t="n">
        <v>166</v>
      </c>
      <c r="G246" s="2" t="s">
        <v>285</v>
      </c>
      <c r="H246" s="2" t="str">
        <f aca="false">IFERROR(__xludf.dummyfunction("IF(I400="""", """", REGEXEXTRACT(I400, ""Padrao/([^/]+)""))"),"Jardim Olhos DAgua")</f>
        <v>Jardim Olhos DAgua</v>
      </c>
    </row>
    <row r="247" customFormat="false" ht="15.75" hidden="true" customHeight="false" outlineLevel="0" collapsed="false">
      <c r="A247" s="2" t="n">
        <v>214613</v>
      </c>
      <c r="B247" s="2" t="s">
        <v>286</v>
      </c>
      <c r="C247" s="2" t="n">
        <v>3</v>
      </c>
      <c r="D247" s="2" t="n">
        <v>5</v>
      </c>
      <c r="E247" s="2" t="n">
        <v>3</v>
      </c>
      <c r="F247" s="2" t="n">
        <v>154</v>
      </c>
      <c r="G247" s="2" t="s">
        <v>287</v>
      </c>
      <c r="H247" s="2" t="str">
        <f aca="false">IFERROR(__xludf.dummyfunction("IF(I408="""", """", REGEXEXTRACT(I408, ""Padrao/([^/]+)""))"),"Jardim Olhos DAgua")</f>
        <v>Jardim Olhos DAgua</v>
      </c>
    </row>
    <row r="248" customFormat="false" ht="15.75" hidden="true" customHeight="false" outlineLevel="0" collapsed="false">
      <c r="A248" s="2" t="n">
        <v>143750</v>
      </c>
      <c r="B248" s="2" t="s">
        <v>288</v>
      </c>
      <c r="C248" s="2" t="n">
        <v>4</v>
      </c>
      <c r="D248" s="2" t="n">
        <v>4</v>
      </c>
      <c r="E248" s="2" t="n">
        <v>4</v>
      </c>
      <c r="F248" s="2" t="n">
        <v>378</v>
      </c>
      <c r="G248" s="2" t="s">
        <v>287</v>
      </c>
      <c r="H248" s="2" t="str">
        <f aca="false">IFERROR(__xludf.dummyfunction("IF(I409="""", """", REGEXEXTRACT(I409, ""Padrao/([^/]+)""))"),"Centro")</f>
        <v>Centro</v>
      </c>
    </row>
    <row r="249" customFormat="false" ht="15.75" hidden="true" customHeight="false" outlineLevel="0" collapsed="false">
      <c r="A249" s="2" t="n">
        <v>134297</v>
      </c>
      <c r="B249" s="2" t="s">
        <v>289</v>
      </c>
      <c r="C249" s="2" t="n">
        <v>3</v>
      </c>
      <c r="D249" s="2" t="n">
        <v>5</v>
      </c>
      <c r="E249" s="2" t="n">
        <v>2</v>
      </c>
      <c r="F249" s="2" t="n">
        <v>134</v>
      </c>
      <c r="G249" s="2" t="s">
        <v>287</v>
      </c>
      <c r="H249" s="2" t="str">
        <f aca="false">IFERROR(__xludf.dummyfunction("IF(I410="""", """", REGEXEXTRACT(I410, ""Padrao/([^/]+)""))"),"Jardim Olhos DAgua")</f>
        <v>Jardim Olhos DAgua</v>
      </c>
    </row>
    <row r="250" customFormat="false" ht="15.75" hidden="true" customHeight="false" outlineLevel="0" collapsed="false">
      <c r="A250" s="2" t="n">
        <v>211685</v>
      </c>
      <c r="B250" s="2" t="s">
        <v>290</v>
      </c>
      <c r="C250" s="2" t="n">
        <v>3</v>
      </c>
      <c r="D250" s="2" t="n">
        <v>5</v>
      </c>
      <c r="E250" s="2" t="n">
        <v>2</v>
      </c>
      <c r="F250" s="2" t="n">
        <v>166</v>
      </c>
      <c r="G250" s="2" t="s">
        <v>291</v>
      </c>
      <c r="H250" s="2" t="str">
        <f aca="false">IFERROR(__xludf.dummyfunction("IF(I411="""", """", REGEXEXTRACT(I411, ""Padrao/([^/]+)""))"),"Jardim Olhos DAgua")</f>
        <v>Jardim Olhos DAgua</v>
      </c>
    </row>
    <row r="251" customFormat="false" ht="15.75" hidden="true" customHeight="false" outlineLevel="0" collapsed="false">
      <c r="A251" s="2" t="n">
        <v>113585</v>
      </c>
      <c r="B251" s="2" t="s">
        <v>292</v>
      </c>
      <c r="C251" s="2" t="n">
        <v>9</v>
      </c>
      <c r="D251" s="2" t="n">
        <v>9</v>
      </c>
      <c r="E251" s="2" t="n">
        <v>9</v>
      </c>
      <c r="F251" s="2" t="n">
        <v>389</v>
      </c>
      <c r="G251" s="2" t="s">
        <v>293</v>
      </c>
      <c r="H251" s="2" t="str">
        <f aca="false">IFERROR(__xludf.dummyfunction("IF(I412="""", """", REGEXEXTRACT(I412, ""Padrao/([^/]+)""))"),"Parque Industrial Lagoinha")</f>
        <v>Parque Industrial Lagoinha</v>
      </c>
    </row>
    <row r="252" customFormat="false" ht="15.75" hidden="true" customHeight="false" outlineLevel="0" collapsed="false">
      <c r="A252" s="2" t="n">
        <v>170330</v>
      </c>
      <c r="B252" s="2" t="s">
        <v>294</v>
      </c>
      <c r="C252" s="2" t="n">
        <v>3</v>
      </c>
      <c r="D252" s="2" t="n">
        <v>4</v>
      </c>
      <c r="E252" s="2" t="n">
        <v>2</v>
      </c>
      <c r="F252" s="2" t="n">
        <v>197</v>
      </c>
      <c r="G252" s="2" t="s">
        <v>295</v>
      </c>
      <c r="H252" s="2" t="str">
        <f aca="false">IFERROR(__xludf.dummyfunction("IF(I413="""", """", REGEXEXTRACT(I413, ""Padrao/([^/]+)""))"),"Jardim Olhos DAgua")</f>
        <v>Jardim Olhos DAgua</v>
      </c>
    </row>
    <row r="253" customFormat="false" ht="15.75" hidden="true" customHeight="false" outlineLevel="0" collapsed="false">
      <c r="A253" s="2" t="n">
        <v>166520</v>
      </c>
      <c r="B253" s="2" t="s">
        <v>296</v>
      </c>
      <c r="C253" s="2" t="n">
        <v>4</v>
      </c>
      <c r="D253" s="2" t="n">
        <v>6</v>
      </c>
      <c r="E253" s="2" t="n">
        <v>3</v>
      </c>
      <c r="F253" s="2" t="n">
        <v>197</v>
      </c>
      <c r="G253" s="2" t="s">
        <v>295</v>
      </c>
      <c r="H253" s="2" t="str">
        <f aca="false">IFERROR(__xludf.dummyfunction("IF(I414="""", """", REGEXEXTRACT(I414, ""Padrao/([^/]+)""))"),"Jardim Olhos DAgua")</f>
        <v>Jardim Olhos DAgua</v>
      </c>
    </row>
    <row r="254" customFormat="false" ht="15.75" hidden="true" customHeight="false" outlineLevel="0" collapsed="false">
      <c r="A254" s="2" t="n">
        <v>191042</v>
      </c>
      <c r="B254" s="2" t="s">
        <v>170</v>
      </c>
      <c r="C254" s="2" t="n">
        <v>3</v>
      </c>
      <c r="D254" s="2" t="n">
        <v>4</v>
      </c>
      <c r="E254" s="2" t="n">
        <v>3</v>
      </c>
      <c r="F254" s="2" t="n">
        <v>158</v>
      </c>
      <c r="G254" s="2" t="s">
        <v>297</v>
      </c>
      <c r="H254" s="2" t="str">
        <f aca="false">IFERROR(__xludf.dummyfunction("IF(I419="""", """", REGEXEXTRACT(I419, ""Padrao/([^/]+)""))"),"Jardim Olhos DAgua")</f>
        <v>Jardim Olhos DAgua</v>
      </c>
    </row>
    <row r="255" customFormat="false" ht="15.75" hidden="true" customHeight="false" outlineLevel="0" collapsed="false">
      <c r="A255" s="2" t="n">
        <v>219395</v>
      </c>
      <c r="B255" s="2" t="s">
        <v>244</v>
      </c>
      <c r="C255" s="2" t="n">
        <v>3</v>
      </c>
      <c r="D255" s="2" t="n">
        <v>6</v>
      </c>
      <c r="E255" s="2" t="n">
        <v>3</v>
      </c>
      <c r="F255" s="2" t="n">
        <v>170</v>
      </c>
      <c r="G255" s="2" t="s">
        <v>298</v>
      </c>
      <c r="H255" s="2" t="str">
        <f aca="false">IFERROR(__xludf.dummyfunction("IF(I484="""", """", REGEXEXTRACT(I484, ""Padrao/([^/]+)""))"),"Vila do Golf")</f>
        <v>Vila do Golf</v>
      </c>
    </row>
    <row r="256" customFormat="false" ht="15.75" hidden="true" customHeight="false" outlineLevel="0" collapsed="false">
      <c r="A256" s="2" t="n">
        <v>244697</v>
      </c>
      <c r="B256" s="2" t="s">
        <v>228</v>
      </c>
      <c r="C256" s="2" t="n">
        <v>3</v>
      </c>
      <c r="D256" s="2" t="n">
        <v>5</v>
      </c>
      <c r="E256" s="2" t="n">
        <v>2</v>
      </c>
      <c r="F256" s="2" t="n">
        <v>156</v>
      </c>
      <c r="G256" s="2" t="s">
        <v>299</v>
      </c>
      <c r="H256" s="2" t="str">
        <f aca="false">IFERROR(__xludf.dummyfunction("IF(I417="""", """", REGEXEXTRACT(I417, ""Padrao/([^/]+)""))"),"Jardim Botanico")</f>
        <v>Jardim Botanico</v>
      </c>
    </row>
    <row r="257" customFormat="false" ht="15.75" hidden="true" customHeight="false" outlineLevel="0" collapsed="false">
      <c r="A257" s="2" t="n">
        <v>185339</v>
      </c>
      <c r="B257" s="2" t="s">
        <v>300</v>
      </c>
      <c r="C257" s="2" t="n">
        <v>3</v>
      </c>
      <c r="D257" s="2" t="n">
        <v>5</v>
      </c>
      <c r="E257" s="2" t="n">
        <v>3</v>
      </c>
      <c r="F257" s="2" t="n">
        <v>214</v>
      </c>
      <c r="G257" s="2" t="s">
        <v>299</v>
      </c>
      <c r="H257" s="2" t="str">
        <f aca="false">IFERROR(__xludf.dummyfunction("IF(I418="""", """", REGEXEXTRACT(I418, ""Padrao/([^/]+)""))"),"Jardim Sao Luiz")</f>
        <v>Jardim Sao Luiz</v>
      </c>
    </row>
    <row r="258" customFormat="false" ht="15.75" hidden="true" customHeight="false" outlineLevel="0" collapsed="false">
      <c r="A258" s="2" t="n">
        <v>238286</v>
      </c>
      <c r="B258" s="2" t="s">
        <v>301</v>
      </c>
      <c r="C258" s="2" t="n">
        <v>3</v>
      </c>
      <c r="D258" s="2" t="n">
        <v>4</v>
      </c>
      <c r="E258" s="2" t="n">
        <v>4</v>
      </c>
      <c r="F258" s="2" t="n">
        <v>195</v>
      </c>
      <c r="G258" s="2" t="s">
        <v>302</v>
      </c>
      <c r="H258" s="2" t="str">
        <f aca="false">IFERROR(__xludf.dummyfunction("IF(I430="""", """", REGEXEXTRACT(I430, ""Padrao/([^/]+)""))"),"Residencial Alto do Ipe")</f>
        <v>Residencial Alto do Ipe</v>
      </c>
    </row>
    <row r="259" customFormat="false" ht="15.75" hidden="true" customHeight="false" outlineLevel="0" collapsed="false">
      <c r="A259" s="2" t="n">
        <v>235889</v>
      </c>
      <c r="B259" s="2" t="s">
        <v>303</v>
      </c>
      <c r="C259" s="2" t="n">
        <v>3</v>
      </c>
      <c r="D259" s="2" t="n">
        <v>4</v>
      </c>
      <c r="E259" s="2" t="n">
        <v>1</v>
      </c>
      <c r="F259" s="2" t="n">
        <v>80</v>
      </c>
      <c r="G259" s="2" t="s">
        <v>302</v>
      </c>
      <c r="H259" s="2" t="str">
        <f aca="false">IFERROR(__xludf.dummyfunction("IF(I431="""", """", REGEXEXTRACT(I431, ""Padrao/([^/]+)""))"),"Bonfim Paulista")</f>
        <v>Bonfim Paulista</v>
      </c>
    </row>
    <row r="260" customFormat="false" ht="15.75" hidden="true" customHeight="false" outlineLevel="0" collapsed="false">
      <c r="A260" s="2" t="n">
        <v>226820</v>
      </c>
      <c r="B260" s="2" t="s">
        <v>304</v>
      </c>
      <c r="C260" s="2" t="n">
        <v>3</v>
      </c>
      <c r="D260" s="2" t="n">
        <v>4</v>
      </c>
      <c r="E260" s="2" t="n">
        <v>2</v>
      </c>
      <c r="F260" s="2" t="n">
        <v>124</v>
      </c>
      <c r="G260" s="2" t="s">
        <v>302</v>
      </c>
      <c r="H260" s="2" t="str">
        <f aca="false">IFERROR(__xludf.dummyfunction("IF(I432="""", """", REGEXEXTRACT(I432, ""Padrao/([^/]+)""))"),"Bonfim Paulista")</f>
        <v>Bonfim Paulista</v>
      </c>
    </row>
    <row r="261" customFormat="false" ht="15.75" hidden="true" customHeight="false" outlineLevel="0" collapsed="false">
      <c r="A261" s="2" t="n">
        <v>189578</v>
      </c>
      <c r="B261" s="2" t="s">
        <v>305</v>
      </c>
      <c r="C261" s="2" t="n">
        <v>4</v>
      </c>
      <c r="D261" s="2" t="n">
        <v>3</v>
      </c>
      <c r="E261" s="2" t="n">
        <v>4</v>
      </c>
      <c r="F261" s="2" t="n">
        <v>229</v>
      </c>
      <c r="G261" s="2" t="s">
        <v>302</v>
      </c>
      <c r="H261" s="2" t="str">
        <f aca="false">IFERROR(__xludf.dummyfunction("IF(I433="""", """", REGEXEXTRACT(I433, ""Padrao/([^/]+)""))"),"Jardim Iraja")</f>
        <v>Jardim Iraja</v>
      </c>
    </row>
    <row r="262" customFormat="false" ht="15.75" hidden="true" customHeight="false" outlineLevel="0" collapsed="false">
      <c r="A262" s="2" t="n">
        <v>175190</v>
      </c>
      <c r="B262" s="2" t="s">
        <v>61</v>
      </c>
      <c r="C262" s="2" t="n">
        <v>3</v>
      </c>
      <c r="D262" s="2" t="n">
        <v>5</v>
      </c>
      <c r="E262" s="2" t="n">
        <v>2</v>
      </c>
      <c r="F262" s="2" t="n">
        <v>151</v>
      </c>
      <c r="G262" s="2" t="s">
        <v>302</v>
      </c>
      <c r="H262" s="2" t="str">
        <f aca="false">IFERROR(__xludf.dummyfunction("IF(I434="""", """", REGEXEXTRACT(I434, ""Padrao/([^/]+)""))"),"Jardim Olhos DAgua")</f>
        <v>Jardim Olhos DAgua</v>
      </c>
    </row>
    <row r="263" customFormat="false" ht="15.75" hidden="true" customHeight="false" outlineLevel="0" collapsed="false">
      <c r="A263" s="2" t="n">
        <v>225398</v>
      </c>
      <c r="B263" s="2" t="s">
        <v>306</v>
      </c>
      <c r="C263" s="2" t="n">
        <v>3</v>
      </c>
      <c r="D263" s="2" t="n">
        <v>5</v>
      </c>
      <c r="E263" s="2" t="n">
        <v>3</v>
      </c>
      <c r="F263" s="2" t="n">
        <v>179</v>
      </c>
      <c r="G263" s="2" t="s">
        <v>302</v>
      </c>
      <c r="H263" s="2" t="str">
        <f aca="false">IFERROR(__xludf.dummyfunction("IF(I488="""", """", REGEXEXTRACT(I488, ""Padrao/([^/]+)""))"),"Jardim Botanico")</f>
        <v>Jardim Botanico</v>
      </c>
    </row>
    <row r="264" customFormat="false" ht="15.75" hidden="true" customHeight="false" outlineLevel="0" collapsed="false">
      <c r="A264" s="2" t="n">
        <v>170327</v>
      </c>
      <c r="B264" s="2" t="s">
        <v>294</v>
      </c>
      <c r="C264" s="2" t="n">
        <v>4</v>
      </c>
      <c r="D264" s="2" t="n">
        <v>6</v>
      </c>
      <c r="E264" s="2" t="n">
        <v>3</v>
      </c>
      <c r="F264" s="2" t="n">
        <v>197</v>
      </c>
      <c r="G264" s="2" t="s">
        <v>307</v>
      </c>
      <c r="H264" s="2" t="str">
        <f aca="false">IFERROR(__xludf.dummyfunction("IF(I435="""", """", REGEXEXTRACT(I435, ""Padrao/([^/]+)""))"),"Jardim Olhos DAgua")</f>
        <v>Jardim Olhos DAgua</v>
      </c>
    </row>
    <row r="265" customFormat="false" ht="15.75" hidden="true" customHeight="false" outlineLevel="0" collapsed="false">
      <c r="A265" s="2" t="n">
        <v>186365</v>
      </c>
      <c r="B265" s="2" t="s">
        <v>308</v>
      </c>
      <c r="C265" s="2" t="n">
        <v>3</v>
      </c>
      <c r="D265" s="2" t="n">
        <v>4</v>
      </c>
      <c r="E265" s="2" t="n">
        <v>3</v>
      </c>
      <c r="F265" s="2" t="n">
        <v>218</v>
      </c>
      <c r="G265" s="2" t="s">
        <v>309</v>
      </c>
      <c r="H265" s="2" t="str">
        <f aca="false">IFERROR(__xludf.dummyfunction("IF(I436="""", """", REGEXEXTRACT(I436, ""Padrao/([^/]+)""))"),"Bosque das Juritis")</f>
        <v>Bosque das Juritis</v>
      </c>
    </row>
    <row r="266" customFormat="false" ht="15.75" hidden="true" customHeight="false" outlineLevel="0" collapsed="false">
      <c r="A266" s="2" t="n">
        <v>213608</v>
      </c>
      <c r="B266" s="2" t="s">
        <v>310</v>
      </c>
      <c r="C266" s="2" t="n">
        <v>3</v>
      </c>
      <c r="D266" s="2" t="n">
        <v>5</v>
      </c>
      <c r="E266" s="2" t="n">
        <v>3</v>
      </c>
      <c r="F266" s="2" t="n">
        <v>183</v>
      </c>
      <c r="G266" s="2" t="s">
        <v>311</v>
      </c>
      <c r="H266" s="2" t="str">
        <f aca="false">IFERROR(__xludf.dummyfunction("IF(I437="""", """", REGEXEXTRACT(I437, ""Padrao/([^/]+)""))"),"Jardim Ilhas do Sul")</f>
        <v>Jardim Ilhas do Sul</v>
      </c>
    </row>
    <row r="267" customFormat="false" ht="15.75" hidden="true" customHeight="false" outlineLevel="0" collapsed="false">
      <c r="A267" s="2" t="n">
        <v>233156</v>
      </c>
      <c r="B267" s="2" t="s">
        <v>312</v>
      </c>
      <c r="C267" s="2" t="n">
        <v>3</v>
      </c>
      <c r="D267" s="2" t="n">
        <v>5</v>
      </c>
      <c r="E267" s="2" t="n">
        <v>3</v>
      </c>
      <c r="F267" s="2" t="n">
        <v>191</v>
      </c>
      <c r="G267" s="2" t="s">
        <v>313</v>
      </c>
      <c r="H267" s="2" t="str">
        <f aca="false">IFERROR(__xludf.dummyfunction("IF(I438="""", """", REGEXEXTRACT(I438, ""Padrao/([^/]+)""))"),"Vila do Golf")</f>
        <v>Vila do Golf</v>
      </c>
    </row>
    <row r="268" customFormat="false" ht="15.75" hidden="true" customHeight="false" outlineLevel="0" collapsed="false">
      <c r="A268" s="2" t="n">
        <v>213611</v>
      </c>
      <c r="B268" s="2" t="s">
        <v>310</v>
      </c>
      <c r="C268" s="2" t="n">
        <v>3</v>
      </c>
      <c r="D268" s="2" t="n">
        <v>5</v>
      </c>
      <c r="E268" s="2" t="n">
        <v>3</v>
      </c>
      <c r="F268" s="2" t="n">
        <v>183</v>
      </c>
      <c r="G268" s="2" t="s">
        <v>314</v>
      </c>
      <c r="H268" s="2" t="str">
        <f aca="false">IFERROR(__xludf.dummyfunction("IF(I439="""", """", REGEXEXTRACT(I439, ""Padrao/([^/]+)""))"),"Jardim Ilhas do Sul")</f>
        <v>Jardim Ilhas do Sul</v>
      </c>
    </row>
    <row r="269" customFormat="false" ht="15.75" hidden="true" customHeight="false" outlineLevel="0" collapsed="false">
      <c r="A269" s="2" t="n">
        <v>228185</v>
      </c>
      <c r="B269" s="2" t="s">
        <v>315</v>
      </c>
      <c r="C269" s="2" t="n">
        <v>3</v>
      </c>
      <c r="D269" s="2" t="n">
        <v>5</v>
      </c>
      <c r="E269" s="2" t="n">
        <v>3</v>
      </c>
      <c r="F269" s="2" t="n">
        <v>218</v>
      </c>
      <c r="G269" s="2" t="s">
        <v>316</v>
      </c>
      <c r="H269" s="2" t="str">
        <f aca="false">IFERROR(__xludf.dummyfunction("IF(I444="""", """", REGEXEXTRACT(I444, ""Padrao/([^/]+)""))"),"Bosque das Juritis")</f>
        <v>Bosque das Juritis</v>
      </c>
    </row>
    <row r="270" customFormat="false" ht="15.75" hidden="true" customHeight="false" outlineLevel="0" collapsed="false">
      <c r="A270" s="2" t="n">
        <v>226088</v>
      </c>
      <c r="B270" s="2" t="s">
        <v>233</v>
      </c>
      <c r="C270" s="2" t="n">
        <v>3</v>
      </c>
      <c r="D270" s="2" t="n">
        <v>4</v>
      </c>
      <c r="E270" s="2" t="n">
        <v>4</v>
      </c>
      <c r="F270" s="2" t="n">
        <v>195</v>
      </c>
      <c r="G270" s="2" t="s">
        <v>317</v>
      </c>
      <c r="H270" s="2" t="str">
        <f aca="false">IFERROR(__xludf.dummyfunction("IF(I442="""", """", REGEXEXTRACT(I442, ""Padrao/([^/]+)""))"),"Residencial Alto do Ipe")</f>
        <v>Residencial Alto do Ipe</v>
      </c>
    </row>
    <row r="271" customFormat="false" ht="15.75" hidden="true" customHeight="false" outlineLevel="0" collapsed="false">
      <c r="A271" s="2" t="n">
        <v>179024</v>
      </c>
      <c r="B271" s="2" t="s">
        <v>237</v>
      </c>
      <c r="C271" s="2" t="n">
        <v>3</v>
      </c>
      <c r="D271" s="2" t="n">
        <v>5</v>
      </c>
      <c r="E271" s="2" t="n">
        <v>3</v>
      </c>
      <c r="F271" s="2" t="n">
        <v>183</v>
      </c>
      <c r="G271" s="2" t="s">
        <v>317</v>
      </c>
      <c r="H271" s="2" t="str">
        <f aca="false">IFERROR(__xludf.dummyfunction("IF(I443="""", """", REGEXEXTRACT(I443, ""Padrao/([^/]+)""))"),"Jardim Botanico")</f>
        <v>Jardim Botanico</v>
      </c>
    </row>
    <row r="272" customFormat="false" ht="15.75" hidden="true" customHeight="false" outlineLevel="0" collapsed="false">
      <c r="A272" s="2" t="n">
        <v>198920</v>
      </c>
      <c r="B272" s="2" t="s">
        <v>318</v>
      </c>
      <c r="C272" s="2" t="n">
        <v>3</v>
      </c>
      <c r="D272" s="2" t="n">
        <v>4</v>
      </c>
      <c r="E272" s="2" t="n">
        <v>4</v>
      </c>
      <c r="F272" s="2" t="n">
        <v>195</v>
      </c>
      <c r="G272" s="2" t="s">
        <v>317</v>
      </c>
      <c r="H272" s="2" t="str">
        <f aca="false">IFERROR(__xludf.dummyfunction("IF(I445="""", """", REGEXEXTRACT(I445, ""Padrao/([^/]+)""))"),"Residencial Alto do Ipe")</f>
        <v>Residencial Alto do Ipe</v>
      </c>
    </row>
    <row r="273" customFormat="false" ht="15.75" hidden="true" customHeight="false" outlineLevel="0" collapsed="false">
      <c r="A273" s="2" t="n">
        <v>237785</v>
      </c>
      <c r="B273" s="2" t="s">
        <v>319</v>
      </c>
      <c r="C273" s="2" t="n">
        <v>3</v>
      </c>
      <c r="D273" s="2" t="n">
        <v>5</v>
      </c>
      <c r="E273" s="2" t="n">
        <v>3</v>
      </c>
      <c r="F273" s="2" t="n">
        <v>179</v>
      </c>
      <c r="G273" s="2" t="s">
        <v>320</v>
      </c>
      <c r="H273" s="2" t="str">
        <f aca="false">IFERROR(__xludf.dummyfunction("IF(I446="""", """", REGEXEXTRACT(I446, ""Padrao/([^/]+)""))"),"Jardim Botanico")</f>
        <v>Jardim Botanico</v>
      </c>
    </row>
    <row r="274" customFormat="false" ht="15.75" hidden="true" customHeight="false" outlineLevel="0" collapsed="false">
      <c r="A274" s="2" t="n">
        <v>220745</v>
      </c>
      <c r="B274" s="2" t="s">
        <v>321</v>
      </c>
      <c r="C274" s="2" t="n">
        <v>3</v>
      </c>
      <c r="D274" s="2" t="n">
        <v>5</v>
      </c>
      <c r="E274" s="2" t="n">
        <v>4</v>
      </c>
      <c r="F274" s="2" t="n">
        <v>227</v>
      </c>
      <c r="G274" s="2" t="s">
        <v>320</v>
      </c>
      <c r="H274" s="2" t="str">
        <f aca="false">IFERROR(__xludf.dummyfunction("IF(I448="""", """", REGEXEXTRACT(I448, ""Padrao/([^/]+)""))"),"Jardim Ilhas do Sul")</f>
        <v>Jardim Ilhas do Sul</v>
      </c>
    </row>
    <row r="275" customFormat="false" ht="15.75" hidden="true" customHeight="false" outlineLevel="0" collapsed="false">
      <c r="A275" s="2" t="n">
        <v>170318</v>
      </c>
      <c r="B275" s="2" t="s">
        <v>61</v>
      </c>
      <c r="C275" s="2" t="n">
        <v>3</v>
      </c>
      <c r="D275" s="2" t="n">
        <v>5</v>
      </c>
      <c r="E275" s="2" t="n">
        <v>2</v>
      </c>
      <c r="F275" s="2" t="n">
        <v>151</v>
      </c>
      <c r="G275" s="2" t="s">
        <v>322</v>
      </c>
      <c r="H275" s="2" t="str">
        <f aca="false">IFERROR(__xludf.dummyfunction("IF(I447="""", """", REGEXEXTRACT(I447, ""Padrao/([^/]+)""))"),"Jardim Olhos DAgua")</f>
        <v>Jardim Olhos DAgua</v>
      </c>
    </row>
    <row r="276" customFormat="false" ht="15.75" hidden="true" customHeight="false" outlineLevel="0" collapsed="false">
      <c r="A276" s="2" t="n">
        <v>239516</v>
      </c>
      <c r="B276" s="2" t="s">
        <v>323</v>
      </c>
      <c r="C276" s="2" t="n">
        <v>3</v>
      </c>
      <c r="D276" s="2" t="n">
        <v>5</v>
      </c>
      <c r="E276" s="2" t="n">
        <v>4</v>
      </c>
      <c r="F276" s="2" t="n">
        <v>227</v>
      </c>
      <c r="G276" s="2" t="s">
        <v>324</v>
      </c>
      <c r="H276" s="2" t="str">
        <f aca="false">IFERROR(__xludf.dummyfunction("IF(I461="""", """", REGEXEXTRACT(I461, ""Padrao/([^/]+)""))"),"Jardim Ilhas do Sul")</f>
        <v>Jardim Ilhas do Sul</v>
      </c>
    </row>
    <row r="277" customFormat="false" ht="15.75" hidden="true" customHeight="false" outlineLevel="0" collapsed="false">
      <c r="A277" s="2" t="n">
        <v>238283</v>
      </c>
      <c r="B277" s="2" t="s">
        <v>325</v>
      </c>
      <c r="C277" s="2" t="n">
        <v>4</v>
      </c>
      <c r="D277" s="2" t="n">
        <v>3</v>
      </c>
      <c r="E277" s="2" t="n">
        <v>4</v>
      </c>
      <c r="F277" s="2" t="n">
        <v>195</v>
      </c>
      <c r="G277" s="2" t="s">
        <v>324</v>
      </c>
      <c r="H277" s="2" t="str">
        <f aca="false">IFERROR(__xludf.dummyfunction("IF(I462="""", """", REGEXEXTRACT(I462, ""Padrao/([^/]+)""))"),"Residencial Alto do Ipe")</f>
        <v>Residencial Alto do Ipe</v>
      </c>
    </row>
    <row r="278" customFormat="false" ht="15.75" hidden="true" customHeight="false" outlineLevel="0" collapsed="false">
      <c r="A278" s="2" t="n">
        <v>202757</v>
      </c>
      <c r="B278" s="2" t="s">
        <v>326</v>
      </c>
      <c r="C278" s="2" t="n">
        <v>3</v>
      </c>
      <c r="D278" s="2" t="n">
        <v>5</v>
      </c>
      <c r="E278" s="2" t="n">
        <v>4</v>
      </c>
      <c r="F278" s="2" t="n">
        <v>237</v>
      </c>
      <c r="G278" s="2" t="s">
        <v>324</v>
      </c>
      <c r="H278" s="2" t="str">
        <f aca="false">IFERROR(__xludf.dummyfunction("IF(I463="""", """", REGEXEXTRACT(I463, ""Padrao/([^/]+)""))"),"Jardim Ilhas do Sul")</f>
        <v>Jardim Ilhas do Sul</v>
      </c>
    </row>
    <row r="279" customFormat="false" ht="15.75" hidden="true" customHeight="false" outlineLevel="0" collapsed="false">
      <c r="A279" s="2" t="n">
        <v>192110</v>
      </c>
      <c r="B279" s="2" t="s">
        <v>327</v>
      </c>
      <c r="C279" s="2" t="n">
        <v>4</v>
      </c>
      <c r="D279" s="2" t="n">
        <v>6</v>
      </c>
      <c r="E279" s="2" t="n">
        <v>4</v>
      </c>
      <c r="F279" s="2" t="n">
        <v>237</v>
      </c>
      <c r="G279" s="2" t="s">
        <v>324</v>
      </c>
      <c r="H279" s="2" t="str">
        <f aca="false">IFERROR(__xludf.dummyfunction("IF(I464="""", """", REGEXEXTRACT(I464, ""Padrao/([^/]+)""))"),"Jardim Ilhas do Sul")</f>
        <v>Jardim Ilhas do Sul</v>
      </c>
    </row>
    <row r="280" customFormat="false" ht="15.75" hidden="true" customHeight="false" outlineLevel="0" collapsed="false">
      <c r="A280" s="2" t="n">
        <v>115967</v>
      </c>
      <c r="B280" s="2" t="s">
        <v>328</v>
      </c>
      <c r="C280" s="2" t="n">
        <v>3</v>
      </c>
      <c r="D280" s="2" t="n">
        <v>5</v>
      </c>
      <c r="E280" s="2" t="n">
        <v>3</v>
      </c>
      <c r="F280" s="2" t="n">
        <v>167</v>
      </c>
      <c r="G280" s="2" t="s">
        <v>324</v>
      </c>
      <c r="H280" s="2" t="str">
        <f aca="false">IFERROR(__xludf.dummyfunction("IF(I465="""", """", REGEXEXTRACT(I465, ""Padrao/([^/]+)""))"),"Jardim Botanico")</f>
        <v>Jardim Botanico</v>
      </c>
    </row>
    <row r="281" customFormat="false" ht="15.75" hidden="true" customHeight="false" outlineLevel="0" collapsed="false">
      <c r="A281" s="2" t="n">
        <v>207779</v>
      </c>
      <c r="B281" s="2" t="s">
        <v>329</v>
      </c>
      <c r="C281" s="2" t="n">
        <v>4</v>
      </c>
      <c r="D281" s="2" t="n">
        <v>6</v>
      </c>
      <c r="E281" s="2" t="n">
        <v>4</v>
      </c>
      <c r="F281" s="2" t="n">
        <v>237</v>
      </c>
      <c r="G281" s="2" t="s">
        <v>324</v>
      </c>
      <c r="H281" s="2" t="str">
        <f aca="false">IFERROR(__xludf.dummyfunction("IF(I492="""", """", REGEXEXTRACT(I492, ""Padrao/([^/]+)""))"),"Jardim Ilhas do Sul")</f>
        <v>Jardim Ilhas do Sul</v>
      </c>
    </row>
    <row r="282" customFormat="false" ht="15.75" hidden="true" customHeight="false" outlineLevel="0" collapsed="false">
      <c r="A282" s="2" t="n">
        <v>192101</v>
      </c>
      <c r="B282" s="2" t="s">
        <v>330</v>
      </c>
      <c r="C282" s="2" t="n">
        <v>4</v>
      </c>
      <c r="D282" s="2" t="n">
        <v>6</v>
      </c>
      <c r="E282" s="2" t="n">
        <v>4</v>
      </c>
      <c r="F282" s="2" t="n">
        <v>237</v>
      </c>
      <c r="G282" s="2" t="s">
        <v>324</v>
      </c>
      <c r="H282" s="2" t="str">
        <f aca="false">IFERROR(__xludf.dummyfunction("IF(I493="""", """", REGEXEXTRACT(I493, ""Padrao/([^/]+)""))"),"Jardim Ilhas do Sul")</f>
        <v>Jardim Ilhas do Sul</v>
      </c>
    </row>
    <row r="283" customFormat="false" ht="15.75" hidden="true" customHeight="false" outlineLevel="0" collapsed="false">
      <c r="A283" s="2" t="n">
        <v>242087</v>
      </c>
      <c r="B283" s="2" t="s">
        <v>331</v>
      </c>
      <c r="C283" s="2" t="n">
        <v>3</v>
      </c>
      <c r="D283" s="2" t="n">
        <v>5</v>
      </c>
      <c r="E283" s="2" t="n">
        <v>3</v>
      </c>
      <c r="F283" s="2" t="n">
        <v>185</v>
      </c>
      <c r="G283" s="2" t="s">
        <v>332</v>
      </c>
      <c r="H283" s="2" t="str">
        <f aca="false">IFERROR(__xludf.dummyfunction("IF(I466="""", """", REGEXEXTRACT(I466, ""Padrao/([^/]+)""))"),"Vila do Golf")</f>
        <v>Vila do Golf</v>
      </c>
    </row>
    <row r="284" customFormat="false" ht="15.75" hidden="true" customHeight="false" outlineLevel="0" collapsed="false">
      <c r="A284" s="2" t="n">
        <v>228734</v>
      </c>
      <c r="B284" s="2" t="s">
        <v>333</v>
      </c>
      <c r="C284" s="2" t="n">
        <v>3</v>
      </c>
      <c r="D284" s="2" t="n">
        <v>5</v>
      </c>
      <c r="E284" s="2" t="n">
        <v>4</v>
      </c>
      <c r="F284" s="2" t="n">
        <v>257</v>
      </c>
      <c r="G284" s="2" t="s">
        <v>334</v>
      </c>
      <c r="H284" s="2" t="str">
        <f aca="false">IFERROR(__xludf.dummyfunction("IF(I467="""", """", REGEXEXTRACT(I467, ""Padrao/([^/]+)""))"),"Vila do Golf")</f>
        <v>Vila do Golf</v>
      </c>
    </row>
    <row r="285" customFormat="false" ht="15.75" hidden="true" customHeight="false" outlineLevel="0" collapsed="false">
      <c r="A285" s="2" t="n">
        <v>214811</v>
      </c>
      <c r="B285" s="2" t="s">
        <v>335</v>
      </c>
      <c r="C285" s="2" t="n">
        <v>4</v>
      </c>
      <c r="D285" s="2" t="n">
        <v>5</v>
      </c>
      <c r="E285" s="2" t="n">
        <v>3</v>
      </c>
      <c r="F285" s="2" t="n">
        <v>239</v>
      </c>
      <c r="G285" s="2" t="s">
        <v>336</v>
      </c>
      <c r="H285" s="2" t="str">
        <f aca="false">IFERROR(__xludf.dummyfunction("IF(I468="""", """", REGEXEXTRACT(I468, ""Padrao/([^/]+)""))"),"Jardim Botanico")</f>
        <v>Jardim Botanico</v>
      </c>
    </row>
    <row r="286" customFormat="false" ht="15.75" hidden="true" customHeight="false" outlineLevel="0" collapsed="false">
      <c r="A286" s="2" t="n">
        <v>242090</v>
      </c>
      <c r="B286" s="2" t="s">
        <v>331</v>
      </c>
      <c r="C286" s="2" t="n">
        <v>3</v>
      </c>
      <c r="D286" s="2" t="n">
        <v>5</v>
      </c>
      <c r="E286" s="2" t="n">
        <v>3</v>
      </c>
      <c r="F286" s="2" t="n">
        <v>185</v>
      </c>
      <c r="G286" s="2" t="s">
        <v>337</v>
      </c>
      <c r="H286" s="2" t="str">
        <f aca="false">IFERROR(__xludf.dummyfunction("IF(I469="""", """", REGEXEXTRACT(I469, ""Padrao/([^/]+)""))"),"Vila do Golf")</f>
        <v>Vila do Golf</v>
      </c>
    </row>
    <row r="287" customFormat="false" ht="15.75" hidden="true" customHeight="false" outlineLevel="0" collapsed="false">
      <c r="A287" s="2" t="n">
        <v>231809</v>
      </c>
      <c r="B287" s="2" t="s">
        <v>321</v>
      </c>
      <c r="C287" s="2" t="n">
        <v>4</v>
      </c>
      <c r="D287" s="2" t="n">
        <v>6</v>
      </c>
      <c r="E287" s="2" t="n">
        <v>4</v>
      </c>
      <c r="F287" s="2" t="n">
        <v>227</v>
      </c>
      <c r="G287" s="2" t="s">
        <v>338</v>
      </c>
      <c r="H287" s="2" t="str">
        <f aca="false">IFERROR(__xludf.dummyfunction("IF(I471="""", """", REGEXEXTRACT(I471, ""Padrao/([^/]+)""))"),"Jardim Ilhas do Sul")</f>
        <v>Jardim Ilhas do Sul</v>
      </c>
    </row>
    <row r="288" customFormat="false" ht="15.75" hidden="true" customHeight="false" outlineLevel="0" collapsed="false">
      <c r="A288" s="2" t="n">
        <v>228092</v>
      </c>
      <c r="B288" s="2" t="s">
        <v>321</v>
      </c>
      <c r="C288" s="2" t="n">
        <v>3</v>
      </c>
      <c r="D288" s="2" t="n">
        <v>6</v>
      </c>
      <c r="E288" s="2" t="n">
        <v>4</v>
      </c>
      <c r="F288" s="2" t="n">
        <v>227</v>
      </c>
      <c r="G288" s="2" t="s">
        <v>338</v>
      </c>
      <c r="H288" s="2" t="str">
        <f aca="false">IFERROR(__xludf.dummyfunction("IF(I472="""", """", REGEXEXTRACT(I472, ""Padrao/([^/]+)""))"),"Jardim Ilhas do Sul")</f>
        <v>Jardim Ilhas do Sul</v>
      </c>
    </row>
    <row r="289" customFormat="false" ht="15.75" hidden="true" customHeight="false" outlineLevel="0" collapsed="false">
      <c r="A289" s="2" t="n">
        <v>228086</v>
      </c>
      <c r="B289" s="2" t="s">
        <v>323</v>
      </c>
      <c r="C289" s="2" t="n">
        <v>4</v>
      </c>
      <c r="D289" s="2" t="n">
        <v>6</v>
      </c>
      <c r="E289" s="2" t="n">
        <v>4</v>
      </c>
      <c r="F289" s="2" t="n">
        <v>227</v>
      </c>
      <c r="G289" s="2" t="s">
        <v>338</v>
      </c>
      <c r="H289" s="2" t="str">
        <f aca="false">IFERROR(__xludf.dummyfunction("IF(I473="""", """", REGEXEXTRACT(I473, ""Padrao/([^/]+)""))"),"Jardim Ilhas do Sul")</f>
        <v>Jardim Ilhas do Sul</v>
      </c>
    </row>
    <row r="290" customFormat="false" ht="15.75" hidden="true" customHeight="false" outlineLevel="0" collapsed="false">
      <c r="A290" s="2" t="n">
        <v>228044</v>
      </c>
      <c r="B290" s="2" t="s">
        <v>321</v>
      </c>
      <c r="C290" s="2" t="n">
        <v>3</v>
      </c>
      <c r="D290" s="2" t="n">
        <v>6</v>
      </c>
      <c r="E290" s="2" t="n">
        <v>4</v>
      </c>
      <c r="F290" s="2" t="n">
        <v>227</v>
      </c>
      <c r="G290" s="2" t="s">
        <v>338</v>
      </c>
      <c r="H290" s="2" t="str">
        <f aca="false">IFERROR(__xludf.dummyfunction("IF(I474="""", """", REGEXEXTRACT(I474, ""Padrao/([^/]+)""))"),"Jardim Ilhas do Sul")</f>
        <v>Jardim Ilhas do Sul</v>
      </c>
    </row>
    <row r="291" customFormat="false" ht="15.75" hidden="true" customHeight="false" outlineLevel="0" collapsed="false">
      <c r="A291" s="2" t="n">
        <v>228038</v>
      </c>
      <c r="B291" s="2" t="s">
        <v>323</v>
      </c>
      <c r="C291" s="2" t="n">
        <v>4</v>
      </c>
      <c r="D291" s="2" t="n">
        <v>6</v>
      </c>
      <c r="E291" s="2" t="n">
        <v>4</v>
      </c>
      <c r="F291" s="2" t="n">
        <v>227</v>
      </c>
      <c r="G291" s="2" t="s">
        <v>338</v>
      </c>
      <c r="H291" s="2" t="str">
        <f aca="false">IFERROR(__xludf.dummyfunction("IF(I475="""", """", REGEXEXTRACT(I475, ""Padrao/([^/]+)""))"),"Jardim Ilhas do Sul")</f>
        <v>Jardim Ilhas do Sul</v>
      </c>
    </row>
    <row r="292" customFormat="false" ht="15.75" hidden="true" customHeight="false" outlineLevel="0" collapsed="false">
      <c r="A292" s="2" t="n">
        <v>228035</v>
      </c>
      <c r="B292" s="2" t="s">
        <v>321</v>
      </c>
      <c r="C292" s="2" t="n">
        <v>3</v>
      </c>
      <c r="D292" s="2" t="n">
        <v>6</v>
      </c>
      <c r="E292" s="2" t="n">
        <v>4</v>
      </c>
      <c r="F292" s="2" t="n">
        <v>227</v>
      </c>
      <c r="G292" s="2" t="s">
        <v>338</v>
      </c>
      <c r="H292" s="2" t="str">
        <f aca="false">IFERROR(__xludf.dummyfunction("IF(I476="""", """", REGEXEXTRACT(I476, ""Padrao/([^/]+)""))"),"Jardim Ilhas do Sul")</f>
        <v>Jardim Ilhas do Sul</v>
      </c>
    </row>
    <row r="293" customFormat="false" ht="15.75" hidden="true" customHeight="false" outlineLevel="0" collapsed="false">
      <c r="A293" s="2" t="n">
        <v>228029</v>
      </c>
      <c r="B293" s="2" t="s">
        <v>323</v>
      </c>
      <c r="C293" s="2" t="n">
        <v>4</v>
      </c>
      <c r="D293" s="2" t="n">
        <v>6</v>
      </c>
      <c r="E293" s="2" t="n">
        <v>4</v>
      </c>
      <c r="F293" s="2" t="n">
        <v>227</v>
      </c>
      <c r="G293" s="2" t="s">
        <v>338</v>
      </c>
      <c r="H293" s="2" t="str">
        <f aca="false">IFERROR(__xludf.dummyfunction("IF(I477="""", """", REGEXEXTRACT(I477, ""Padrao/([^/]+)""))"),"Jardim Ilhas do Sul")</f>
        <v>Jardim Ilhas do Sul</v>
      </c>
    </row>
    <row r="294" customFormat="false" ht="15.75" hidden="true" customHeight="false" outlineLevel="0" collapsed="false">
      <c r="A294" s="2" t="n">
        <v>228023</v>
      </c>
      <c r="B294" s="2" t="s">
        <v>321</v>
      </c>
      <c r="C294" s="2" t="n">
        <v>3</v>
      </c>
      <c r="D294" s="2" t="n">
        <v>6</v>
      </c>
      <c r="E294" s="2" t="n">
        <v>4</v>
      </c>
      <c r="F294" s="2" t="n">
        <v>227</v>
      </c>
      <c r="G294" s="2" t="s">
        <v>338</v>
      </c>
      <c r="H294" s="2" t="str">
        <f aca="false">IFERROR(__xludf.dummyfunction("IF(I478="""", """", REGEXEXTRACT(I478, ""Padrao/([^/]+)""))"),"Jardim Ilhas do Sul")</f>
        <v>Jardim Ilhas do Sul</v>
      </c>
    </row>
    <row r="295" customFormat="false" ht="15.75" hidden="true" customHeight="false" outlineLevel="0" collapsed="false">
      <c r="A295" s="2" t="n">
        <v>228014</v>
      </c>
      <c r="B295" s="2" t="s">
        <v>323</v>
      </c>
      <c r="C295" s="2" t="n">
        <v>4</v>
      </c>
      <c r="D295" s="2" t="n">
        <v>6</v>
      </c>
      <c r="E295" s="2" t="n">
        <v>4</v>
      </c>
      <c r="F295" s="2" t="n">
        <v>227</v>
      </c>
      <c r="G295" s="2" t="s">
        <v>338</v>
      </c>
      <c r="H295" s="2" t="str">
        <f aca="false">IFERROR(__xludf.dummyfunction("IF(I479="""", """", REGEXEXTRACT(I479, ""Padrao/([^/]+)""))"),"Jardim Ilhas do Sul")</f>
        <v>Jardim Ilhas do Sul</v>
      </c>
    </row>
    <row r="296" customFormat="false" ht="15.75" hidden="true" customHeight="false" outlineLevel="0" collapsed="false">
      <c r="A296" s="2" t="n">
        <v>212177</v>
      </c>
      <c r="B296" s="2" t="s">
        <v>339</v>
      </c>
      <c r="C296" s="2" t="n">
        <v>4</v>
      </c>
      <c r="D296" s="2" t="n">
        <v>6</v>
      </c>
      <c r="E296" s="2" t="n">
        <v>4</v>
      </c>
      <c r="F296" s="2" t="n">
        <v>278</v>
      </c>
      <c r="G296" s="2" t="s">
        <v>338</v>
      </c>
      <c r="H296" s="2" t="str">
        <f aca="false">IFERROR(__xludf.dummyfunction("IF(I480="""", """", REGEXEXTRACT(I480, ""Padrao/([^/]+)""))"),"Ribeirania")</f>
        <v>Ribeirania</v>
      </c>
    </row>
    <row r="297" customFormat="false" ht="15.75" hidden="true" customHeight="false" outlineLevel="0" collapsed="false">
      <c r="A297" s="2" t="n">
        <v>221678</v>
      </c>
      <c r="B297" s="2" t="s">
        <v>200</v>
      </c>
      <c r="C297" s="2" t="n">
        <v>3</v>
      </c>
      <c r="D297" s="2" t="n">
        <v>5</v>
      </c>
      <c r="E297" s="2" t="n">
        <v>3</v>
      </c>
      <c r="F297" s="2" t="n">
        <v>218</v>
      </c>
      <c r="G297" s="2" t="s">
        <v>340</v>
      </c>
      <c r="H297" s="2" t="str">
        <f aca="false">IFERROR(__xludf.dummyfunction("IF(I481="""", """", REGEXEXTRACT(I481, ""Padrao/([^/]+)""))"),"Bosque das Juritis")</f>
        <v>Bosque das Juritis</v>
      </c>
    </row>
    <row r="298" customFormat="false" ht="15.75" hidden="true" customHeight="false" outlineLevel="0" collapsed="false">
      <c r="A298" s="2" t="n">
        <v>225134</v>
      </c>
      <c r="B298" s="2" t="s">
        <v>341</v>
      </c>
      <c r="C298" s="2" t="n">
        <v>3</v>
      </c>
      <c r="D298" s="2" t="n">
        <v>4</v>
      </c>
      <c r="E298" s="2" t="n">
        <v>3</v>
      </c>
      <c r="F298" s="2" t="n">
        <v>191</v>
      </c>
      <c r="G298" s="2" t="s">
        <v>342</v>
      </c>
      <c r="H298" s="2" t="str">
        <f aca="false">IFERROR(__xludf.dummyfunction("IF(I494="""", """", REGEXEXTRACT(I494, ""Padrao/([^/]+)""))"),"Vila do Golf")</f>
        <v>Vila do Golf</v>
      </c>
    </row>
    <row r="299" customFormat="false" ht="15.75" hidden="true" customHeight="false" outlineLevel="0" collapsed="false">
      <c r="A299" s="2" t="n">
        <v>242093</v>
      </c>
      <c r="B299" s="2" t="s">
        <v>331</v>
      </c>
      <c r="C299" s="2" t="n">
        <v>3</v>
      </c>
      <c r="D299" s="2" t="n">
        <v>5</v>
      </c>
      <c r="E299" s="2" t="n">
        <v>3</v>
      </c>
      <c r="F299" s="2" t="n">
        <v>185</v>
      </c>
      <c r="G299" s="2" t="s">
        <v>343</v>
      </c>
      <c r="H299" s="2" t="str">
        <f aca="false">IFERROR(__xludf.dummyfunction("IF(I485="""", """", REGEXEXTRACT(I485, ""Padrao/([^/]+)""))"),"Vila do Golf")</f>
        <v>Vila do Golf</v>
      </c>
    </row>
    <row r="300" customFormat="false" ht="15.75" hidden="true" customHeight="false" outlineLevel="0" collapsed="false">
      <c r="A300" s="2" t="n">
        <v>232268</v>
      </c>
      <c r="B300" s="2" t="s">
        <v>344</v>
      </c>
      <c r="C300" s="2" t="n">
        <v>3</v>
      </c>
      <c r="D300" s="2" t="n">
        <v>5</v>
      </c>
      <c r="E300" s="2" t="n">
        <v>2</v>
      </c>
      <c r="F300" s="2" t="n">
        <v>227</v>
      </c>
      <c r="G300" s="2" t="s">
        <v>345</v>
      </c>
      <c r="H300" s="2" t="str">
        <f aca="false">IFERROR(__xludf.dummyfunction("IF(I486="""", """", REGEXEXTRACT(I486, ""Padrao/([^/]+)""))"),"Jardim Ilhas do Sul")</f>
        <v>Jardim Ilhas do Sul</v>
      </c>
    </row>
    <row r="301" customFormat="false" ht="15.75" hidden="true" customHeight="false" outlineLevel="0" collapsed="false">
      <c r="A301" s="2" t="n">
        <v>232265</v>
      </c>
      <c r="B301" s="2" t="s">
        <v>346</v>
      </c>
      <c r="C301" s="2" t="n">
        <v>3</v>
      </c>
      <c r="D301" s="2" t="n">
        <v>4</v>
      </c>
      <c r="E301" s="2" t="n">
        <v>1</v>
      </c>
      <c r="F301" s="2" t="n">
        <v>227</v>
      </c>
      <c r="G301" s="2" t="s">
        <v>345</v>
      </c>
      <c r="H301" s="2" t="str">
        <f aca="false">IFERROR(__xludf.dummyfunction("IF(I487="""", """", REGEXEXTRACT(I487, ""Padrao/([^/]+)""))"),"Jardim Ilhas do Sul")</f>
        <v>Jardim Ilhas do Sul</v>
      </c>
    </row>
    <row r="302" customFormat="false" ht="15.75" hidden="true" customHeight="false" outlineLevel="0" collapsed="false">
      <c r="A302" s="2" t="n">
        <v>234704</v>
      </c>
      <c r="B302" s="2" t="s">
        <v>347</v>
      </c>
      <c r="C302" s="2" t="n">
        <v>4</v>
      </c>
      <c r="D302" s="2" t="n">
        <v>5</v>
      </c>
      <c r="E302" s="2" t="n">
        <v>3</v>
      </c>
      <c r="F302" s="2" t="n">
        <v>218</v>
      </c>
      <c r="G302" s="2" t="s">
        <v>348</v>
      </c>
      <c r="H302" s="2" t="str">
        <f aca="false">IFERROR(__xludf.dummyfunction("IF(I495="""", """", REGEXEXTRACT(I495, ""Padrao/([^/]+)""))"),"Bosque das Juritis")</f>
        <v>Bosque das Juritis</v>
      </c>
    </row>
    <row r="303" customFormat="false" ht="15.75" hidden="true" customHeight="false" outlineLevel="0" collapsed="false">
      <c r="A303" s="2" t="n">
        <v>236663</v>
      </c>
      <c r="B303" s="2" t="s">
        <v>349</v>
      </c>
      <c r="C303" s="2" t="n">
        <v>4</v>
      </c>
      <c r="D303" s="2" t="n">
        <v>6</v>
      </c>
      <c r="E303" s="2" t="n">
        <v>4</v>
      </c>
      <c r="F303" s="2" t="n">
        <v>246</v>
      </c>
      <c r="G303" s="2" t="s">
        <v>350</v>
      </c>
      <c r="H303" s="2" t="str">
        <f aca="false">IFERROR(__xludf.dummyfunction("IF(I496="""", """", REGEXEXTRACT(I496, ""Padrao/([^/]+)""))"),"Jardim Botanico")</f>
        <v>Jardim Botanico</v>
      </c>
    </row>
    <row r="304" customFormat="false" ht="15.75" hidden="true" customHeight="false" outlineLevel="0" collapsed="false">
      <c r="A304" s="2" t="n">
        <v>215591</v>
      </c>
      <c r="B304" s="2" t="s">
        <v>351</v>
      </c>
      <c r="C304" s="2" t="n">
        <v>4</v>
      </c>
      <c r="D304" s="2" t="n">
        <v>4</v>
      </c>
      <c r="E304" s="2" t="n">
        <v>3</v>
      </c>
      <c r="F304" s="2" t="n">
        <v>204</v>
      </c>
      <c r="G304" s="2" t="s">
        <v>352</v>
      </c>
      <c r="H304" s="2" t="str">
        <f aca="false">IFERROR(__xludf.dummyfunction("IF(I497="""", """", REGEXEXTRACT(I497, ""Padrao/([^/]+)""))"),"Jardim Olhos DAgua")</f>
        <v>Jardim Olhos DAgua</v>
      </c>
    </row>
    <row r="305" customFormat="false" ht="15.75" hidden="true" customHeight="false" outlineLevel="0" collapsed="false">
      <c r="A305" s="2" t="n">
        <v>231455</v>
      </c>
      <c r="B305" s="2" t="s">
        <v>353</v>
      </c>
      <c r="C305" s="2" t="n">
        <v>3</v>
      </c>
      <c r="D305" s="2" t="n">
        <v>5</v>
      </c>
      <c r="E305" s="2" t="n">
        <v>4</v>
      </c>
      <c r="F305" s="2" t="n">
        <v>227</v>
      </c>
      <c r="G305" s="2" t="s">
        <v>354</v>
      </c>
      <c r="H305" s="2" t="str">
        <f aca="false">IFERROR(__xludf.dummyfunction("IF(I499="""", """", REGEXEXTRACT(I499, ""Padrao/([^/]+)""))"),"Jardim Ilhas do Sul")</f>
        <v>Jardim Ilhas do Sul</v>
      </c>
    </row>
    <row r="306" customFormat="false" ht="15.75" hidden="true" customHeight="false" outlineLevel="0" collapsed="false">
      <c r="A306" s="2" t="n">
        <v>218006</v>
      </c>
      <c r="B306" s="2" t="s">
        <v>355</v>
      </c>
      <c r="C306" s="2" t="n">
        <v>3</v>
      </c>
      <c r="D306" s="2" t="n">
        <v>4</v>
      </c>
      <c r="E306" s="2" t="n">
        <v>3</v>
      </c>
      <c r="F306" s="2" t="n">
        <v>204</v>
      </c>
      <c r="G306" s="2" t="s">
        <v>356</v>
      </c>
      <c r="H306" s="2" t="str">
        <f aca="false">IFERROR(__xludf.dummyfunction("IF(I501="""", """", REGEXEXTRACT(I501, ""Padrao/([^/]+)""))"),"Jardim Ilhas do Sul")</f>
        <v>Jardim Ilhas do Sul</v>
      </c>
    </row>
    <row r="307" customFormat="false" ht="15.75" hidden="true" customHeight="false" outlineLevel="0" collapsed="false">
      <c r="A307" s="2" t="n">
        <v>240458</v>
      </c>
      <c r="B307" s="2" t="s">
        <v>357</v>
      </c>
      <c r="C307" s="2" t="n">
        <v>3</v>
      </c>
      <c r="D307" s="2" t="n">
        <v>4</v>
      </c>
      <c r="E307" s="2" t="n">
        <v>3</v>
      </c>
      <c r="F307" s="2" t="n">
        <v>197</v>
      </c>
      <c r="G307" s="2" t="s">
        <v>358</v>
      </c>
      <c r="H307" s="2" t="str">
        <f aca="false">IFERROR(__xludf.dummyfunction("IF(I502="""", """", REGEXEXTRACT(I502, ""Padrao/([^/]+)""))"),"Jardim Olhos DAgua")</f>
        <v>Jardim Olhos DAgua</v>
      </c>
    </row>
    <row r="308" customFormat="false" ht="15.75" hidden="true" customHeight="false" outlineLevel="0" collapsed="false">
      <c r="A308" s="2" t="n">
        <v>245108</v>
      </c>
      <c r="B308" s="2" t="s">
        <v>359</v>
      </c>
      <c r="C308" s="2" t="n">
        <v>2</v>
      </c>
      <c r="D308" s="2" t="n">
        <v>1</v>
      </c>
      <c r="E308" s="2" t="n">
        <v>1</v>
      </c>
      <c r="F308" s="2" t="n">
        <v>50</v>
      </c>
      <c r="G308" s="2" t="s">
        <v>360</v>
      </c>
      <c r="H308" s="2" t="str">
        <f aca="false">IFERROR(__xludf.dummyfunction("IF(I508="""", """", REGEXEXTRACT(I508, ""Padrao/([^/]+)""))"),"Jardim Heitor Rigon")</f>
        <v>Jardim Heitor Rigon</v>
      </c>
    </row>
    <row r="309" customFormat="false" ht="15.75" hidden="true" customHeight="false" outlineLevel="0" collapsed="false">
      <c r="A309" s="2" t="n">
        <v>206156</v>
      </c>
      <c r="B309" s="2" t="s">
        <v>361</v>
      </c>
      <c r="C309" s="2" t="n">
        <v>2</v>
      </c>
      <c r="D309" s="2" t="n">
        <v>1</v>
      </c>
      <c r="E309" s="2" t="n">
        <v>1</v>
      </c>
      <c r="F309" s="2" t="n">
        <v>42</v>
      </c>
      <c r="G309" s="2" t="s">
        <v>360</v>
      </c>
      <c r="H309" s="2" t="str">
        <f aca="false">IFERROR(__xludf.dummyfunction("IF(I509="""", """", REGEXEXTRACT(I509, ""Padrao/([^/]+)""))"),"Jardim Jose Wilson Toni")</f>
        <v>Jardim Jose Wilson Toni</v>
      </c>
    </row>
    <row r="310" customFormat="false" ht="15.75" hidden="true" customHeight="false" outlineLevel="0" collapsed="false">
      <c r="A310" s="2" t="n">
        <v>176885</v>
      </c>
      <c r="B310" s="2" t="s">
        <v>362</v>
      </c>
      <c r="C310" s="2" t="n">
        <v>2</v>
      </c>
      <c r="D310" s="2" t="n">
        <v>1</v>
      </c>
      <c r="E310" s="2" t="n">
        <v>1</v>
      </c>
      <c r="F310" s="2" t="n">
        <v>45</v>
      </c>
      <c r="G310" s="2" t="s">
        <v>360</v>
      </c>
      <c r="H310" s="2" t="str">
        <f aca="false">IFERROR(__xludf.dummyfunction("IF(I510="""", """", REGEXEXTRACT(I510, ""Padrao/([^/]+)""))"),"Nova Alianca")</f>
        <v>Nova Alianca</v>
      </c>
    </row>
    <row r="311" customFormat="false" ht="15.75" hidden="true" customHeight="false" outlineLevel="0" collapsed="false">
      <c r="A311" s="2" t="n">
        <v>174905</v>
      </c>
      <c r="B311" s="2" t="s">
        <v>363</v>
      </c>
      <c r="C311" s="2" t="n">
        <v>2</v>
      </c>
      <c r="D311" s="2" t="n">
        <v>1</v>
      </c>
      <c r="E311" s="2" t="n">
        <v>1</v>
      </c>
      <c r="F311" s="2" t="n">
        <v>42</v>
      </c>
      <c r="G311" s="2" t="s">
        <v>360</v>
      </c>
      <c r="H311" s="2" t="str">
        <f aca="false">IFERROR(__xludf.dummyfunction("IF(I511="""", """", REGEXEXTRACT(I511, ""Padrao/([^/]+)""))"),"Residencial das Americas")</f>
        <v>Residencial das Americas</v>
      </c>
    </row>
    <row r="312" customFormat="false" ht="15.75" hidden="true" customHeight="false" outlineLevel="0" collapsed="false">
      <c r="A312" s="2" t="n">
        <v>162569</v>
      </c>
      <c r="B312" s="2" t="s">
        <v>364</v>
      </c>
      <c r="C312" s="2" t="n">
        <v>2</v>
      </c>
      <c r="D312" s="2" t="n">
        <v>1</v>
      </c>
      <c r="E312" s="2" t="n">
        <v>1</v>
      </c>
      <c r="F312" s="2" t="n">
        <v>42</v>
      </c>
      <c r="G312" s="2" t="s">
        <v>360</v>
      </c>
      <c r="H312" s="2" t="str">
        <f aca="false">IFERROR(__xludf.dummyfunction("IF(I512="""", """", REGEXEXTRACT(I512, ""Padrao/([^/]+)""))"),"Jardim Jose Wilson Toni")</f>
        <v>Jardim Jose Wilson Toni</v>
      </c>
    </row>
    <row r="313" customFormat="false" ht="15.75" hidden="true" customHeight="false" outlineLevel="0" collapsed="false">
      <c r="A313" s="2" t="n">
        <v>150809</v>
      </c>
      <c r="B313" s="2" t="s">
        <v>365</v>
      </c>
      <c r="C313" s="2" t="n">
        <v>2</v>
      </c>
      <c r="D313" s="2" t="n">
        <v>1</v>
      </c>
      <c r="E313" s="2" t="n">
        <v>1</v>
      </c>
      <c r="F313" s="2" t="n">
        <v>48</v>
      </c>
      <c r="G313" s="2" t="s">
        <v>360</v>
      </c>
      <c r="H313" s="2" t="str">
        <f aca="false">IFERROR(__xludf.dummyfunction("IF(I513="""", """", REGEXEXTRACT(I513, ""Padrao/([^/]+)""))"),"Quintino Facci II")</f>
        <v>Quintino Facci II</v>
      </c>
    </row>
    <row r="314" customFormat="false" ht="15.75" hidden="true" customHeight="false" outlineLevel="0" collapsed="false">
      <c r="A314" s="2" t="n">
        <v>150086</v>
      </c>
      <c r="B314" s="2" t="s">
        <v>366</v>
      </c>
      <c r="C314" s="2" t="n">
        <v>2</v>
      </c>
      <c r="D314" s="2" t="n">
        <v>1</v>
      </c>
      <c r="E314" s="2" t="n">
        <v>1</v>
      </c>
      <c r="F314" s="2" t="n">
        <v>42</v>
      </c>
      <c r="G314" s="2" t="s">
        <v>360</v>
      </c>
      <c r="H314" s="2" t="str">
        <f aca="false">IFERROR(__xludf.dummyfunction("IF(I514="""", """", REGEXEXTRACT(I514, ""Padrao/([^/]+)""))"),"Jardim Javari")</f>
        <v>Jardim Javari</v>
      </c>
    </row>
    <row r="315" customFormat="false" ht="15.75" hidden="true" customHeight="false" outlineLevel="0" collapsed="false">
      <c r="A315" s="2" t="n">
        <v>104546</v>
      </c>
      <c r="B315" s="2" t="s">
        <v>367</v>
      </c>
      <c r="C315" s="2" t="n">
        <v>2</v>
      </c>
      <c r="D315" s="2" t="n">
        <v>1</v>
      </c>
      <c r="E315" s="2" t="n">
        <v>1</v>
      </c>
      <c r="F315" s="2" t="n">
        <v>43</v>
      </c>
      <c r="G315" s="2" t="s">
        <v>360</v>
      </c>
      <c r="H315" s="2" t="str">
        <f aca="false">IFERROR(__xludf.dummyfunction("IF(I536="""", """", REGEXEXTRACT(I536, ""Padrao/([^/]+)""))"),"Residencial das Americas")</f>
        <v>Residencial das Americas</v>
      </c>
    </row>
    <row r="316" customFormat="false" ht="15.75" hidden="true" customHeight="false" outlineLevel="0" collapsed="false">
      <c r="A316" s="2" t="n">
        <v>158822</v>
      </c>
      <c r="B316" s="2" t="s">
        <v>368</v>
      </c>
      <c r="C316" s="2" t="n">
        <v>2</v>
      </c>
      <c r="D316" s="2" t="n">
        <v>1</v>
      </c>
      <c r="E316" s="2" t="n">
        <v>1</v>
      </c>
      <c r="F316" s="2" t="n">
        <v>50</v>
      </c>
      <c r="G316" s="2" t="s">
        <v>369</v>
      </c>
      <c r="H316" s="2" t="str">
        <f aca="false">IFERROR(__xludf.dummyfunction("IF(I515="""", """", REGEXEXTRACT(I515, ""Padrao/([^/]+)""))"),"Jardim Heitor Rigon")</f>
        <v>Jardim Heitor Rigon</v>
      </c>
    </row>
    <row r="317" customFormat="false" ht="15.75" hidden="true" customHeight="false" outlineLevel="0" collapsed="false">
      <c r="A317" s="2" t="n">
        <v>123884</v>
      </c>
      <c r="B317" s="2" t="s">
        <v>370</v>
      </c>
      <c r="C317" s="2" t="n">
        <v>2</v>
      </c>
      <c r="D317" s="2" t="n">
        <v>1</v>
      </c>
      <c r="E317" s="2" t="n">
        <v>1</v>
      </c>
      <c r="F317" s="2" t="n">
        <v>41</v>
      </c>
      <c r="G317" s="2" t="s">
        <v>371</v>
      </c>
      <c r="H317" s="2" t="str">
        <f aca="false">IFERROR(__xludf.dummyfunction("IF(I537="""", """", REGEXEXTRACT(I537, ""Padrao/([^/]+)""))"),"Jardim Joao Rossi")</f>
        <v>Jardim Joao Rossi</v>
      </c>
    </row>
    <row r="318" customFormat="false" ht="15.75" hidden="true" customHeight="false" outlineLevel="0" collapsed="false">
      <c r="A318" s="2" t="n">
        <v>214574</v>
      </c>
      <c r="B318" s="2" t="s">
        <v>372</v>
      </c>
      <c r="C318" s="2" t="n">
        <v>1</v>
      </c>
      <c r="D318" s="2" t="n">
        <v>1</v>
      </c>
      <c r="E318" s="2" t="n">
        <v>1</v>
      </c>
      <c r="F318" s="2" t="n">
        <v>55</v>
      </c>
      <c r="G318" s="2" t="s">
        <v>373</v>
      </c>
      <c r="H318" s="2" t="str">
        <f aca="false">IFERROR(__xludf.dummyfunction("IF(I516="""", """", REGEXEXTRACT(I516, ""Padrao/([^/]+)""))"),"Jardim Castelo Branco")</f>
        <v>Jardim Castelo Branco</v>
      </c>
    </row>
    <row r="319" customFormat="false" ht="15.75" hidden="true" customHeight="false" outlineLevel="0" collapsed="false">
      <c r="A319" s="2" t="n">
        <v>214571</v>
      </c>
      <c r="B319" s="2" t="s">
        <v>372</v>
      </c>
      <c r="C319" s="2" t="n">
        <v>1</v>
      </c>
      <c r="D319" s="2" t="n">
        <v>1</v>
      </c>
      <c r="E319" s="2" t="n">
        <v>1</v>
      </c>
      <c r="F319" s="2" t="n">
        <v>55</v>
      </c>
      <c r="G319" s="2" t="s">
        <v>373</v>
      </c>
      <c r="H319" s="2" t="str">
        <f aca="false">IFERROR(__xludf.dummyfunction("IF(I517="""", """", REGEXEXTRACT(I517, ""Padrao/([^/]+)""))"),"Jardim Castelo Branco")</f>
        <v>Jardim Castelo Branco</v>
      </c>
    </row>
    <row r="320" customFormat="false" ht="15.75" hidden="true" customHeight="false" outlineLevel="0" collapsed="false">
      <c r="A320" s="2" t="n">
        <v>214568</v>
      </c>
      <c r="B320" s="2" t="s">
        <v>374</v>
      </c>
      <c r="C320" s="2" t="n">
        <v>1</v>
      </c>
      <c r="D320" s="2" t="n">
        <v>1</v>
      </c>
      <c r="E320" s="2" t="n">
        <v>1</v>
      </c>
      <c r="F320" s="2" t="n">
        <v>49</v>
      </c>
      <c r="G320" s="2" t="s">
        <v>373</v>
      </c>
      <c r="H320" s="2" t="str">
        <f aca="false">IFERROR(__xludf.dummyfunction("IF(I518="""", """", REGEXEXTRACT(I518, ""Padrao/([^/]+)""))"),"Jardim Castelo Branco")</f>
        <v>Jardim Castelo Branco</v>
      </c>
    </row>
    <row r="321" customFormat="false" ht="15.75" hidden="true" customHeight="false" outlineLevel="0" collapsed="false">
      <c r="A321" s="2" t="n">
        <v>214565</v>
      </c>
      <c r="B321" s="2" t="s">
        <v>375</v>
      </c>
      <c r="C321" s="2" t="n">
        <v>1</v>
      </c>
      <c r="D321" s="2" t="n">
        <v>1</v>
      </c>
      <c r="E321" s="2" t="n">
        <v>1</v>
      </c>
      <c r="F321" s="2" t="n">
        <v>72</v>
      </c>
      <c r="G321" s="2" t="s">
        <v>373</v>
      </c>
      <c r="H321" s="2" t="str">
        <f aca="false">IFERROR(__xludf.dummyfunction("IF(I519="""", """", REGEXEXTRACT(I519, ""Padrao/([^/]+)""))"),"Jardim Castelo Branco")</f>
        <v>Jardim Castelo Branco</v>
      </c>
    </row>
    <row r="322" customFormat="false" ht="15.75" hidden="true" customHeight="false" outlineLevel="0" collapsed="false">
      <c r="A322" s="2" t="n">
        <v>192176</v>
      </c>
      <c r="B322" s="2" t="s">
        <v>376</v>
      </c>
      <c r="C322" s="2" t="n">
        <v>2</v>
      </c>
      <c r="D322" s="2" t="n">
        <v>1</v>
      </c>
      <c r="E322" s="2" t="n">
        <v>1</v>
      </c>
      <c r="F322" s="2" t="n">
        <v>74</v>
      </c>
      <c r="G322" s="2" t="s">
        <v>373</v>
      </c>
      <c r="H322" s="2" t="str">
        <f aca="false">IFERROR(__xludf.dummyfunction("IF(I520="""", """", REGEXEXTRACT(I520, ""Padrao/([^/]+)""))"),"Jardim Joao Rossi")</f>
        <v>Jardim Joao Rossi</v>
      </c>
    </row>
    <row r="323" customFormat="false" ht="15.75" hidden="true" customHeight="false" outlineLevel="0" collapsed="false">
      <c r="A323" s="2" t="n">
        <v>150971</v>
      </c>
      <c r="B323" s="2" t="s">
        <v>377</v>
      </c>
      <c r="C323" s="2" t="n">
        <v>2</v>
      </c>
      <c r="D323" s="2" t="n">
        <v>1</v>
      </c>
      <c r="E323" s="2" t="n">
        <v>1</v>
      </c>
      <c r="F323" s="2" t="n">
        <v>41</v>
      </c>
      <c r="G323" s="2" t="s">
        <v>373</v>
      </c>
      <c r="H323" s="2" t="str">
        <f aca="false">IFERROR(__xludf.dummyfunction("IF(I521="""", """", REGEXEXTRACT(I521, ""Padrao/([^/]+)""))"),"Jardim Joao Rossi")</f>
        <v>Jardim Joao Rossi</v>
      </c>
    </row>
    <row r="324" customFormat="false" ht="15.75" hidden="true" customHeight="false" outlineLevel="0" collapsed="false">
      <c r="A324" s="2" t="n">
        <v>129893</v>
      </c>
      <c r="B324" s="2" t="s">
        <v>378</v>
      </c>
      <c r="C324" s="2" t="n">
        <v>2</v>
      </c>
      <c r="D324" s="2" t="n">
        <v>1</v>
      </c>
      <c r="E324" s="2" t="n">
        <v>1</v>
      </c>
      <c r="F324" s="2" t="n">
        <v>45</v>
      </c>
      <c r="G324" s="2" t="s">
        <v>379</v>
      </c>
      <c r="H324" s="2" t="str">
        <f aca="false">IFERROR(__xludf.dummyfunction("IF(I522="""", """", REGEXEXTRACT(I522, ""Padrao/([^/]+)""))"),"Jardim Joao Rossi")</f>
        <v>Jardim Joao Rossi</v>
      </c>
    </row>
    <row r="325" customFormat="false" ht="15.75" hidden="true" customHeight="false" outlineLevel="0" collapsed="false">
      <c r="A325" s="2" t="n">
        <v>230804</v>
      </c>
      <c r="B325" s="2" t="s">
        <v>380</v>
      </c>
      <c r="C325" s="2" t="n">
        <v>1</v>
      </c>
      <c r="D325" s="2" t="n">
        <v>1</v>
      </c>
      <c r="E325" s="2" t="n">
        <v>1</v>
      </c>
      <c r="F325" s="2" t="n">
        <v>31</v>
      </c>
      <c r="G325" s="2" t="s">
        <v>381</v>
      </c>
      <c r="H325" s="2" t="str">
        <f aca="false">IFERROR(__xludf.dummyfunction("IF(I525="""", """", REGEXEXTRACT(I525, ""Padrao/([^/]+)""))"),"Vila Virginia")</f>
        <v>Vila Virginia</v>
      </c>
    </row>
    <row r="326" customFormat="false" ht="15.75" hidden="true" customHeight="false" outlineLevel="0" collapsed="false">
      <c r="A326" s="2" t="n">
        <v>184886</v>
      </c>
      <c r="B326" s="2" t="s">
        <v>382</v>
      </c>
      <c r="C326" s="2" t="n">
        <v>2</v>
      </c>
      <c r="D326" s="2" t="n">
        <v>1</v>
      </c>
      <c r="E326" s="2" t="n">
        <v>1</v>
      </c>
      <c r="F326" s="2" t="n">
        <v>42</v>
      </c>
      <c r="G326" s="2" t="s">
        <v>381</v>
      </c>
      <c r="H326" s="2" t="str">
        <f aca="false">IFERROR(__xludf.dummyfunction("IF(I526="""", """", REGEXEXTRACT(I526, ""Padrao/([^/]+)""))"),"Nova Alianca")</f>
        <v>Nova Alianca</v>
      </c>
    </row>
    <row r="327" customFormat="false" ht="15.75" hidden="true" customHeight="false" outlineLevel="0" collapsed="false">
      <c r="A327" s="2" t="n">
        <v>176099</v>
      </c>
      <c r="B327" s="2" t="s">
        <v>383</v>
      </c>
      <c r="C327" s="2" t="n">
        <v>2</v>
      </c>
      <c r="D327" s="2" t="n">
        <v>1</v>
      </c>
      <c r="E327" s="2" t="n">
        <v>1</v>
      </c>
      <c r="F327" s="2" t="n">
        <v>42</v>
      </c>
      <c r="G327" s="2" t="s">
        <v>381</v>
      </c>
      <c r="H327" s="2" t="str">
        <f aca="false">IFERROR(__xludf.dummyfunction("IF(I527="""", """", REGEXEXTRACT(I527, ""Padrao/([^/]+)""))"),"Jardim Javari")</f>
        <v>Jardim Javari</v>
      </c>
    </row>
    <row r="328" customFormat="false" ht="15.75" hidden="true" customHeight="false" outlineLevel="0" collapsed="false">
      <c r="A328" s="2" t="n">
        <v>133472</v>
      </c>
      <c r="B328" s="2" t="s">
        <v>162</v>
      </c>
      <c r="C328" s="2" t="n">
        <v>2</v>
      </c>
      <c r="D328" s="2" t="n">
        <v>1</v>
      </c>
      <c r="E328" s="2" t="n">
        <v>1</v>
      </c>
      <c r="F328" s="2" t="n">
        <v>42</v>
      </c>
      <c r="G328" s="2" t="s">
        <v>381</v>
      </c>
      <c r="H328" s="2" t="str">
        <f aca="false">IFERROR(__xludf.dummyfunction("IF(I528="""", """", REGEXEXTRACT(I528, ""Padrao/([^/]+)""))"),"Jardim Joao Rossi")</f>
        <v>Jardim Joao Rossi</v>
      </c>
    </row>
    <row r="329" customFormat="false" ht="15.75" hidden="true" customHeight="false" outlineLevel="0" collapsed="false">
      <c r="A329" s="2" t="n">
        <v>105224</v>
      </c>
      <c r="B329" s="2" t="s">
        <v>384</v>
      </c>
      <c r="C329" s="2" t="n">
        <v>2</v>
      </c>
      <c r="D329" s="2" t="n">
        <v>1</v>
      </c>
      <c r="E329" s="2" t="n">
        <v>1</v>
      </c>
      <c r="F329" s="2" t="n">
        <v>40</v>
      </c>
      <c r="G329" s="2" t="s">
        <v>381</v>
      </c>
      <c r="H329" s="2" t="str">
        <f aca="false">IFERROR(__xludf.dummyfunction("IF(I529="""", """", REGEXEXTRACT(I529, ""Padrao/([^/]+)""))"),"Residencial das Americas")</f>
        <v>Residencial das Americas</v>
      </c>
    </row>
    <row r="330" customFormat="false" ht="15.75" hidden="true" customHeight="false" outlineLevel="0" collapsed="false">
      <c r="A330" s="2" t="n">
        <v>242120</v>
      </c>
      <c r="B330" s="2" t="s">
        <v>385</v>
      </c>
      <c r="C330" s="2" t="n">
        <v>2</v>
      </c>
      <c r="D330" s="2" t="n">
        <v>1</v>
      </c>
      <c r="E330" s="2" t="n">
        <v>1</v>
      </c>
      <c r="F330" s="2" t="n">
        <v>42</v>
      </c>
      <c r="G330" s="2" t="s">
        <v>381</v>
      </c>
      <c r="H330" s="2" t="str">
        <f aca="false">IFERROR(__xludf.dummyfunction("IF(I531="""", """", REGEXEXTRACT(I531, ""Padrao/([^/]+)""))"),"Jardim Zara")</f>
        <v>Jardim Zara</v>
      </c>
    </row>
    <row r="331" customFormat="false" ht="15.75" hidden="true" customHeight="false" outlineLevel="0" collapsed="false">
      <c r="A331" s="2" t="n">
        <v>187730</v>
      </c>
      <c r="B331" s="2" t="s">
        <v>386</v>
      </c>
      <c r="C331" s="2" t="n">
        <v>2</v>
      </c>
      <c r="D331" s="2" t="n">
        <v>1</v>
      </c>
      <c r="E331" s="2" t="n">
        <v>1</v>
      </c>
      <c r="F331" s="2" t="n">
        <v>48</v>
      </c>
      <c r="G331" s="2" t="s">
        <v>381</v>
      </c>
      <c r="H331" s="2" t="str">
        <f aca="false">IFERROR(__xludf.dummyfunction("IF(I532="""", """", REGEXEXTRACT(I532, ""Padrao/([^/]+)""))"),"Quintino Facci II")</f>
        <v>Quintino Facci II</v>
      </c>
    </row>
    <row r="332" customFormat="false" ht="15.75" hidden="true" customHeight="false" outlineLevel="0" collapsed="false">
      <c r="A332" s="2" t="n">
        <v>107537</v>
      </c>
      <c r="B332" s="2" t="s">
        <v>378</v>
      </c>
      <c r="C332" s="2" t="n">
        <v>2</v>
      </c>
      <c r="D332" s="2" t="n">
        <v>1</v>
      </c>
      <c r="E332" s="2" t="n">
        <v>1</v>
      </c>
      <c r="F332" s="2" t="n">
        <v>63</v>
      </c>
      <c r="G332" s="2" t="s">
        <v>387</v>
      </c>
      <c r="H332" s="2" t="str">
        <f aca="false">IFERROR(__xludf.dummyfunction("IF(I530="""", """", REGEXEXTRACT(I530, ""Padrao/([^/]+)""))"),"Jardim Joao Rossi")</f>
        <v>Jardim Joao Rossi</v>
      </c>
    </row>
    <row r="333" customFormat="false" ht="15.75" hidden="true" customHeight="false" outlineLevel="0" collapsed="false">
      <c r="A333" s="2" t="n">
        <v>219623</v>
      </c>
      <c r="B333" s="2" t="s">
        <v>388</v>
      </c>
      <c r="C333" s="2" t="n">
        <v>2</v>
      </c>
      <c r="D333" s="2" t="n">
        <v>1</v>
      </c>
      <c r="E333" s="2" t="n">
        <v>1</v>
      </c>
      <c r="F333" s="2" t="n">
        <v>39</v>
      </c>
      <c r="G333" s="2" t="s">
        <v>389</v>
      </c>
      <c r="H333" s="2" t="str">
        <f aca="false">IFERROR(__xludf.dummyfunction("IF(I82="""", """", REGEXEXTRACT(I82, ""Padrao/([^/]+)""))"),"Residencial das Americas")</f>
        <v>Residencial das Americas</v>
      </c>
    </row>
    <row r="334" customFormat="false" ht="15.75" hidden="true" customHeight="false" outlineLevel="0" collapsed="false">
      <c r="A334" s="2" t="n">
        <v>227555</v>
      </c>
      <c r="B334" s="2" t="s">
        <v>390</v>
      </c>
      <c r="C334" s="2" t="n">
        <v>2</v>
      </c>
      <c r="D334" s="2" t="n">
        <v>2</v>
      </c>
      <c r="E334" s="2" t="n">
        <v>1</v>
      </c>
      <c r="F334" s="2" t="n">
        <v>44</v>
      </c>
      <c r="G334" s="2" t="s">
        <v>389</v>
      </c>
      <c r="H334" s="2" t="str">
        <f aca="false">IFERROR(__xludf.dummyfunction("IF(I538="""", """", REGEXEXTRACT(I538, ""Padrao/([^/]+)""))"),"Jardim Eugenio Mendes Lopes")</f>
        <v>Jardim Eugenio Mendes Lopes</v>
      </c>
    </row>
    <row r="335" customFormat="false" ht="15.75" hidden="true" customHeight="false" outlineLevel="0" collapsed="false">
      <c r="A335" s="2" t="n">
        <v>195914</v>
      </c>
      <c r="B335" s="2" t="s">
        <v>391</v>
      </c>
      <c r="C335" s="2" t="n">
        <v>2</v>
      </c>
      <c r="D335" s="2" t="n">
        <v>1</v>
      </c>
      <c r="E335" s="2" t="n">
        <v>1</v>
      </c>
      <c r="F335" s="2" t="n">
        <v>39</v>
      </c>
      <c r="G335" s="2" t="s">
        <v>392</v>
      </c>
      <c r="H335" s="2" t="str">
        <f aca="false">IFERROR(__xludf.dummyfunction("IF(I533="""", """", REGEXEXTRACT(I533, ""Padrao/([^/]+)""))"),"Residencial das Americas")</f>
        <v>Residencial das Americas</v>
      </c>
    </row>
    <row r="336" customFormat="false" ht="15.75" hidden="true" customHeight="false" outlineLevel="0" collapsed="false">
      <c r="A336" s="2" t="n">
        <v>230963</v>
      </c>
      <c r="B336" s="2" t="s">
        <v>393</v>
      </c>
      <c r="C336" s="2" t="n">
        <v>2</v>
      </c>
      <c r="D336" s="2" t="n">
        <v>1</v>
      </c>
      <c r="E336" s="2" t="n">
        <v>1</v>
      </c>
      <c r="F336" s="2" t="n">
        <v>43</v>
      </c>
      <c r="G336" s="2" t="s">
        <v>394</v>
      </c>
      <c r="H336" s="2" t="str">
        <f aca="false">IFERROR(__xludf.dummyfunction("IF(I83="""", """", REGEXEXTRACT(I83, ""Padrao/([^/]+)""))"),"Jardim Heitor Rigon")</f>
        <v>Jardim Heitor Rigon</v>
      </c>
    </row>
    <row r="337" customFormat="false" ht="15.75" hidden="true" customHeight="false" outlineLevel="0" collapsed="false">
      <c r="A337" s="2" t="n">
        <v>245486</v>
      </c>
      <c r="B337" s="2" t="s">
        <v>395</v>
      </c>
      <c r="C337" s="2" t="n">
        <v>2</v>
      </c>
      <c r="D337" s="2" t="n">
        <v>1</v>
      </c>
      <c r="E337" s="2" t="n">
        <v>1</v>
      </c>
      <c r="F337" s="2" t="n">
        <v>42</v>
      </c>
      <c r="G337" s="2" t="s">
        <v>394</v>
      </c>
      <c r="H337" s="2" t="str">
        <f aca="false">IFERROR(__xludf.dummyfunction("IF(I539="""", """", REGEXEXTRACT(I539, ""Padrao/([^/]+)""))"),"Jardim Joao Rossi")</f>
        <v>Jardim Joao Rossi</v>
      </c>
    </row>
    <row r="338" customFormat="false" ht="15.75" hidden="true" customHeight="false" outlineLevel="0" collapsed="false">
      <c r="A338" s="2" t="n">
        <v>245045</v>
      </c>
      <c r="B338" s="2" t="s">
        <v>396</v>
      </c>
      <c r="C338" s="2" t="n">
        <v>2</v>
      </c>
      <c r="D338" s="2" t="n">
        <v>1</v>
      </c>
      <c r="E338" s="2" t="n">
        <v>1</v>
      </c>
      <c r="F338" s="2" t="n">
        <v>48</v>
      </c>
      <c r="G338" s="2" t="s">
        <v>394</v>
      </c>
      <c r="H338" s="2" t="str">
        <f aca="false">IFERROR(__xludf.dummyfunction("IF(I540="""", """", REGEXEXTRACT(I540, ""Padrao/([^/]+)""))"),"Jardim Heitor Rigon")</f>
        <v>Jardim Heitor Rigon</v>
      </c>
    </row>
    <row r="339" customFormat="false" ht="15.75" hidden="true" customHeight="false" outlineLevel="0" collapsed="false">
      <c r="A339" s="2" t="n">
        <v>236381</v>
      </c>
      <c r="B339" s="2" t="s">
        <v>397</v>
      </c>
      <c r="C339" s="2" t="n">
        <v>2</v>
      </c>
      <c r="D339" s="2" t="n">
        <v>1</v>
      </c>
      <c r="E339" s="2" t="n">
        <v>1</v>
      </c>
      <c r="F339" s="2" t="n">
        <v>48</v>
      </c>
      <c r="G339" s="2" t="s">
        <v>394</v>
      </c>
      <c r="H339" s="2" t="str">
        <f aca="false">IFERROR(__xludf.dummyfunction("IF(I541="""", """", REGEXEXTRACT(I541, ""Padrao/([^/]+)""))"),"Jardim Heitor Rigon")</f>
        <v>Jardim Heitor Rigon</v>
      </c>
    </row>
    <row r="340" customFormat="false" ht="15.75" hidden="true" customHeight="false" outlineLevel="0" collapsed="false">
      <c r="A340" s="2" t="n">
        <v>231203</v>
      </c>
      <c r="B340" s="2" t="s">
        <v>398</v>
      </c>
      <c r="C340" s="2" t="n">
        <v>2</v>
      </c>
      <c r="D340" s="2" t="n">
        <v>1</v>
      </c>
      <c r="E340" s="2" t="n">
        <v>1</v>
      </c>
      <c r="F340" s="2" t="n">
        <v>43</v>
      </c>
      <c r="G340" s="2" t="s">
        <v>394</v>
      </c>
      <c r="H340" s="2" t="str">
        <f aca="false">IFERROR(__xludf.dummyfunction("IF(I542="""", """", REGEXEXTRACT(I542, ""Padrao/([^/]+)""))"),"Jardim Heitor Rigon")</f>
        <v>Jardim Heitor Rigon</v>
      </c>
    </row>
    <row r="341" customFormat="false" ht="15.75" hidden="true" customHeight="false" outlineLevel="0" collapsed="false">
      <c r="A341" s="2" t="n">
        <v>231176</v>
      </c>
      <c r="B341" s="2" t="s">
        <v>399</v>
      </c>
      <c r="C341" s="2" t="n">
        <v>2</v>
      </c>
      <c r="D341" s="2" t="n">
        <v>1</v>
      </c>
      <c r="E341" s="2" t="n">
        <v>1</v>
      </c>
      <c r="F341" s="2" t="n">
        <v>41</v>
      </c>
      <c r="G341" s="2" t="s">
        <v>394</v>
      </c>
      <c r="H341" s="2" t="str">
        <f aca="false">IFERROR(__xludf.dummyfunction("IF(I543="""", """", REGEXEXTRACT(I543, ""Padrao/([^/]+)""))"),"Jardim Joao Rossi")</f>
        <v>Jardim Joao Rossi</v>
      </c>
    </row>
    <row r="342" customFormat="false" ht="15.75" hidden="true" customHeight="false" outlineLevel="0" collapsed="false">
      <c r="A342" s="2" t="n">
        <v>222149</v>
      </c>
      <c r="B342" s="2" t="s">
        <v>400</v>
      </c>
      <c r="C342" s="2" t="n">
        <v>1</v>
      </c>
      <c r="D342" s="2" t="n">
        <v>1</v>
      </c>
      <c r="E342" s="2" t="n">
        <v>1</v>
      </c>
      <c r="F342" s="2" t="n">
        <v>45</v>
      </c>
      <c r="G342" s="2" t="s">
        <v>394</v>
      </c>
      <c r="H342" s="2" t="str">
        <f aca="false">IFERROR(__xludf.dummyfunction("IF(I544="""", """", REGEXEXTRACT(I544, ""Padrao/([^/]+)""))"),"Centro")</f>
        <v>Centro</v>
      </c>
    </row>
    <row r="343" customFormat="false" ht="15.75" hidden="true" customHeight="false" outlineLevel="0" collapsed="false">
      <c r="A343" s="2" t="n">
        <v>215543</v>
      </c>
      <c r="B343" s="2" t="s">
        <v>401</v>
      </c>
      <c r="C343" s="2" t="n">
        <v>2</v>
      </c>
      <c r="D343" s="2" t="n">
        <v>1</v>
      </c>
      <c r="E343" s="2" t="n">
        <v>1</v>
      </c>
      <c r="F343" s="2" t="n">
        <v>44</v>
      </c>
      <c r="G343" s="2" t="s">
        <v>394</v>
      </c>
      <c r="H343" s="2" t="str">
        <f aca="false">IFERROR(__xludf.dummyfunction("IF(I545="""", """", REGEXEXTRACT(I545, ""Padrao/([^/]+)""))"),"Jardim Herculano Fernandes")</f>
        <v>Jardim Herculano Fernandes</v>
      </c>
    </row>
    <row r="344" customFormat="false" ht="15.75" hidden="true" customHeight="false" outlineLevel="0" collapsed="false">
      <c r="A344" s="2" t="n">
        <v>197162</v>
      </c>
      <c r="B344" s="2" t="s">
        <v>402</v>
      </c>
      <c r="C344" s="2" t="n">
        <v>2</v>
      </c>
      <c r="D344" s="2" t="n">
        <v>1</v>
      </c>
      <c r="E344" s="2" t="n">
        <v>1</v>
      </c>
      <c r="F344" s="2" t="n">
        <v>62</v>
      </c>
      <c r="G344" s="2" t="s">
        <v>394</v>
      </c>
      <c r="H344" s="2" t="str">
        <f aca="false">IFERROR(__xludf.dummyfunction("IF(I546="""", """", REGEXEXTRACT(I546, ""Padrao/([^/]+)""))"),"Vila Virginia")</f>
        <v>Vila Virginia</v>
      </c>
    </row>
    <row r="345" customFormat="false" ht="15.75" hidden="true" customHeight="false" outlineLevel="0" collapsed="false">
      <c r="A345" s="2" t="n">
        <v>190163</v>
      </c>
      <c r="B345" s="2" t="s">
        <v>403</v>
      </c>
      <c r="C345" s="2" t="n">
        <v>2</v>
      </c>
      <c r="D345" s="2" t="n">
        <v>1</v>
      </c>
      <c r="E345" s="2" t="n">
        <v>1</v>
      </c>
      <c r="F345" s="2" t="n">
        <v>47</v>
      </c>
      <c r="G345" s="2" t="s">
        <v>394</v>
      </c>
      <c r="H345" s="2" t="str">
        <f aca="false">IFERROR(__xludf.dummyfunction("IF(I547="""", """", REGEXEXTRACT(I547, ""Padrao/([^/]+)""))"),"Conjunto Habitacional Jardim das Palmeiras")</f>
        <v>Conjunto Habitacional Jardim das Palmeiras</v>
      </c>
    </row>
    <row r="346" customFormat="false" ht="15.75" hidden="true" customHeight="false" outlineLevel="0" collapsed="false">
      <c r="A346" s="2" t="n">
        <v>163445</v>
      </c>
      <c r="B346" s="2" t="s">
        <v>404</v>
      </c>
      <c r="C346" s="2" t="n">
        <v>2</v>
      </c>
      <c r="D346" s="2" t="n">
        <v>1</v>
      </c>
      <c r="E346" s="2" t="n">
        <v>1</v>
      </c>
      <c r="F346" s="2" t="n">
        <v>40</v>
      </c>
      <c r="G346" s="2" t="s">
        <v>405</v>
      </c>
      <c r="H346" s="2" t="str">
        <f aca="false">IFERROR(__xludf.dummyfunction("IF(I65="""", """", REGEXEXTRACT(I65, ""Padrao/([^/]+)""))"),"Parque dos Pinus")</f>
        <v>Parque dos Pinus</v>
      </c>
    </row>
    <row r="347" customFormat="false" ht="15.75" hidden="true" customHeight="false" outlineLevel="0" collapsed="false">
      <c r="A347" s="2" t="n">
        <v>223070</v>
      </c>
      <c r="B347" s="2" t="s">
        <v>406</v>
      </c>
      <c r="C347" s="2" t="n">
        <v>2</v>
      </c>
      <c r="D347" s="2" t="n">
        <v>1</v>
      </c>
      <c r="E347" s="2" t="n">
        <v>1</v>
      </c>
      <c r="F347" s="2" t="n">
        <v>44</v>
      </c>
      <c r="G347" s="2" t="s">
        <v>407</v>
      </c>
      <c r="H347" s="2" t="str">
        <f aca="false">IFERROR(__xludf.dummyfunction("IF(I154="""", """", REGEXEXTRACT(I154, ""Padrao/([^/]+)""))"),"Geraldo Correia de Carvalho")</f>
        <v>Geraldo Correia de Carvalho</v>
      </c>
    </row>
    <row r="348" customFormat="false" ht="15.75" hidden="true" customHeight="false" outlineLevel="0" collapsed="false">
      <c r="A348" s="2" t="n">
        <v>216842</v>
      </c>
      <c r="B348" s="2" t="s">
        <v>408</v>
      </c>
      <c r="C348" s="2" t="n">
        <v>2</v>
      </c>
      <c r="D348" s="2" t="n">
        <v>1</v>
      </c>
      <c r="E348" s="2" t="n">
        <v>1</v>
      </c>
      <c r="F348" s="2" t="n">
        <v>40</v>
      </c>
      <c r="G348" s="2" t="s">
        <v>407</v>
      </c>
      <c r="H348" s="2" t="str">
        <f aca="false">IFERROR(__xludf.dummyfunction("IF(I339="""", """", REGEXEXTRACT(I339, ""Padrao/([^/]+)""))"),"Reserva Real")</f>
        <v>Reserva Real</v>
      </c>
    </row>
    <row r="349" customFormat="false" ht="15.75" hidden="true" customHeight="false" outlineLevel="0" collapsed="false">
      <c r="A349" s="2" t="n">
        <v>202475</v>
      </c>
      <c r="B349" s="2" t="s">
        <v>409</v>
      </c>
      <c r="C349" s="2" t="n">
        <v>2</v>
      </c>
      <c r="D349" s="2" t="n">
        <v>1</v>
      </c>
      <c r="E349" s="2" t="n">
        <v>1</v>
      </c>
      <c r="F349" s="2" t="n">
        <v>42</v>
      </c>
      <c r="G349" s="2" t="s">
        <v>410</v>
      </c>
      <c r="H349" s="2" t="str">
        <f aca="false">IFERROR(__xludf.dummyfunction("IF(I84="""", """", REGEXEXTRACT(I84, ""Padrao/([^/]+)""))"),"Ipiranga")</f>
        <v>Ipiranga</v>
      </c>
    </row>
    <row r="350" customFormat="false" ht="15.75" hidden="true" customHeight="false" outlineLevel="0" collapsed="false">
      <c r="A350" s="2" t="n">
        <v>238052</v>
      </c>
      <c r="B350" s="2" t="s">
        <v>411</v>
      </c>
      <c r="C350" s="2" t="n">
        <v>2</v>
      </c>
      <c r="D350" s="2" t="n">
        <v>1</v>
      </c>
      <c r="E350" s="2" t="n">
        <v>1</v>
      </c>
      <c r="F350" s="2" t="n">
        <v>48</v>
      </c>
      <c r="G350" s="2" t="s">
        <v>412</v>
      </c>
      <c r="H350" s="2" t="str">
        <f aca="false">IFERROR(__xludf.dummyfunction("IF(I8="""", """", REGEXEXTRACT(I8, ""Padrao/([^/]+)""))"),"Parque Sao Sebastiao")</f>
        <v>Parque Sao Sebastiao</v>
      </c>
    </row>
    <row r="351" customFormat="false" ht="15.75" hidden="true" customHeight="false" outlineLevel="0" collapsed="false">
      <c r="A351" s="2" t="n">
        <v>130730</v>
      </c>
      <c r="B351" s="2" t="s">
        <v>413</v>
      </c>
      <c r="C351" s="2" t="n">
        <v>2</v>
      </c>
      <c r="D351" s="2" t="n">
        <v>1</v>
      </c>
      <c r="E351" s="2" t="n">
        <v>1</v>
      </c>
      <c r="F351" s="2" t="n">
        <v>42</v>
      </c>
      <c r="G351" s="2" t="s">
        <v>414</v>
      </c>
      <c r="H351" s="2" t="str">
        <f aca="false">IFERROR(__xludf.dummyfunction("IF(I5="""", """", REGEXEXTRACT(I5, ""Padrao/([^/]+)""))"),"Jardim Heitor Rigon")</f>
        <v>Jardim Heitor Rigon</v>
      </c>
    </row>
    <row r="352" customFormat="false" ht="15.75" hidden="true" customHeight="false" outlineLevel="0" collapsed="false">
      <c r="A352" s="2" t="n">
        <v>210416</v>
      </c>
      <c r="B352" s="2" t="s">
        <v>415</v>
      </c>
      <c r="C352" s="2" t="n">
        <v>2</v>
      </c>
      <c r="D352" s="2" t="n">
        <v>1</v>
      </c>
      <c r="E352" s="2" t="n">
        <v>1</v>
      </c>
      <c r="F352" s="2" t="n">
        <v>43</v>
      </c>
      <c r="G352" s="2" t="s">
        <v>414</v>
      </c>
      <c r="H352" s="2" t="str">
        <f aca="false">IFERROR(__xludf.dummyfunction("IF(I7="""", """", REGEXEXTRACT(I7, ""Padrao/([^/]+)""))"),"Jardim Heitor Rigon")</f>
        <v>Jardim Heitor Rigon</v>
      </c>
    </row>
    <row r="353" customFormat="false" ht="15.75" hidden="true" customHeight="false" outlineLevel="0" collapsed="false">
      <c r="A353" s="2" t="n">
        <v>205916</v>
      </c>
      <c r="B353" s="2" t="s">
        <v>416</v>
      </c>
      <c r="C353" s="2" t="n">
        <v>2</v>
      </c>
      <c r="D353" s="2" t="n">
        <v>1</v>
      </c>
      <c r="E353" s="2" t="n">
        <v>1</v>
      </c>
      <c r="F353" s="2" t="n">
        <v>39</v>
      </c>
      <c r="G353" s="2" t="s">
        <v>414</v>
      </c>
      <c r="H353" s="2" t="str">
        <f aca="false">IFERROR(__xludf.dummyfunction("IF(I9="""", """", REGEXEXTRACT(I9, ""Padrao/([^/]+)""))"),"Residencial das Americas")</f>
        <v>Residencial das Americas</v>
      </c>
    </row>
    <row r="354" customFormat="false" ht="15.75" hidden="true" customHeight="false" outlineLevel="0" collapsed="false">
      <c r="A354" s="2" t="n">
        <v>221180</v>
      </c>
      <c r="B354" s="2" t="s">
        <v>417</v>
      </c>
      <c r="C354" s="2" t="n">
        <v>2</v>
      </c>
      <c r="D354" s="2" t="n">
        <v>1</v>
      </c>
      <c r="E354" s="2" t="n">
        <v>1</v>
      </c>
      <c r="F354" s="2" t="n">
        <v>42</v>
      </c>
      <c r="G354" s="2" t="s">
        <v>414</v>
      </c>
      <c r="H354" s="2" t="str">
        <f aca="false">IFERROR(__xludf.dummyfunction("IF(I10="""", """", REGEXEXTRACT(I10, ""Padrao/([^/]+)""))"),"Jardim Jose Wilson Toni")</f>
        <v>Jardim Jose Wilson Toni</v>
      </c>
    </row>
    <row r="355" customFormat="false" ht="15.75" hidden="true" customHeight="false" outlineLevel="0" collapsed="false">
      <c r="A355" s="2" t="n">
        <v>201353</v>
      </c>
      <c r="B355" s="2" t="s">
        <v>418</v>
      </c>
      <c r="C355" s="2" t="n">
        <v>2</v>
      </c>
      <c r="D355" s="2" t="n">
        <v>1</v>
      </c>
      <c r="E355" s="2" t="n">
        <v>1</v>
      </c>
      <c r="F355" s="2" t="n">
        <v>42</v>
      </c>
      <c r="G355" s="2" t="s">
        <v>414</v>
      </c>
      <c r="H355" s="2" t="str">
        <f aca="false">IFERROR(__xludf.dummyfunction("IF(I18="""", """", REGEXEXTRACT(I18, ""Padrao/([^/]+)""))"),"Valentina Figueiredo")</f>
        <v>Valentina Figueiredo</v>
      </c>
    </row>
    <row r="356" customFormat="false" ht="15.75" hidden="true" customHeight="false" outlineLevel="0" collapsed="false">
      <c r="A356" s="2" t="n">
        <v>222506</v>
      </c>
      <c r="B356" s="2" t="s">
        <v>419</v>
      </c>
      <c r="C356" s="2" t="n">
        <v>2</v>
      </c>
      <c r="D356" s="2" t="n">
        <v>1</v>
      </c>
      <c r="E356" s="2" t="n">
        <v>1</v>
      </c>
      <c r="F356" s="2" t="n">
        <v>42</v>
      </c>
      <c r="G356" s="2" t="s">
        <v>414</v>
      </c>
      <c r="H356" s="2" t="str">
        <f aca="false">IFERROR(__xludf.dummyfunction("IF(I127="""", """", REGEXEXTRACT(I127, ""Padrao/([^/]+)""))"),"Valentina Figueiredo")</f>
        <v>Valentina Figueiredo</v>
      </c>
    </row>
    <row r="357" customFormat="false" ht="15.75" hidden="true" customHeight="false" outlineLevel="0" collapsed="false">
      <c r="A357" s="2" t="n">
        <v>201302</v>
      </c>
      <c r="B357" s="2" t="s">
        <v>420</v>
      </c>
      <c r="C357" s="2" t="n">
        <v>2</v>
      </c>
      <c r="D357" s="2" t="n">
        <v>1</v>
      </c>
      <c r="E357" s="2" t="n">
        <v>1</v>
      </c>
      <c r="F357" s="2" t="n">
        <v>40</v>
      </c>
      <c r="G357" s="2" t="s">
        <v>414</v>
      </c>
      <c r="H357" s="2" t="str">
        <f aca="false">IFERROR(__xludf.dummyfunction("IF(I156="""", """", REGEXEXTRACT(I156, ""Padrao/([^/]+)""))"),"Jardim Ouro Branco")</f>
        <v>Jardim Ouro Branco</v>
      </c>
    </row>
    <row r="358" customFormat="false" ht="15.75" hidden="true" customHeight="false" outlineLevel="0" collapsed="false">
      <c r="A358" s="2" t="n">
        <v>228299</v>
      </c>
      <c r="B358" s="2" t="s">
        <v>421</v>
      </c>
      <c r="C358" s="2" t="n">
        <v>2</v>
      </c>
      <c r="D358" s="2" t="n">
        <v>1</v>
      </c>
      <c r="E358" s="2" t="n">
        <v>1</v>
      </c>
      <c r="F358" s="2" t="n">
        <v>41</v>
      </c>
      <c r="G358" s="2" t="s">
        <v>422</v>
      </c>
      <c r="H358" s="2" t="str">
        <f aca="false">IFERROR(__xludf.dummyfunction("IF(I147="""", """", REGEXEXTRACT(I147, ""Padrao/([^/]+)""))"),"Conjunto Habitacional Silvio Passalacqua")</f>
        <v>Conjunto Habitacional Silvio Passalacqua</v>
      </c>
    </row>
    <row r="359" customFormat="false" ht="15.75" hidden="true" customHeight="false" outlineLevel="0" collapsed="false">
      <c r="A359" s="2" t="n">
        <v>151295</v>
      </c>
      <c r="B359" s="2" t="s">
        <v>423</v>
      </c>
      <c r="C359" s="2" t="n">
        <v>2</v>
      </c>
      <c r="D359" s="2" t="n">
        <v>1</v>
      </c>
      <c r="E359" s="2" t="n">
        <v>1</v>
      </c>
      <c r="F359" s="2" t="n">
        <v>46</v>
      </c>
      <c r="G359" s="2" t="s">
        <v>422</v>
      </c>
      <c r="H359" s="2" t="str">
        <f aca="false">IFERROR(__xludf.dummyfunction("IF(I155="""", """", REGEXEXTRACT(I155, ""Padrao/([^/]+)""))"),"Ipiranga")</f>
        <v>Ipiranga</v>
      </c>
    </row>
    <row r="360" customFormat="false" ht="15.75" hidden="true" customHeight="false" outlineLevel="0" collapsed="false">
      <c r="A360" s="2" t="n">
        <v>83258</v>
      </c>
      <c r="B360" s="2" t="s">
        <v>424</v>
      </c>
      <c r="C360" s="2" t="n">
        <v>1</v>
      </c>
      <c r="D360" s="2" t="n">
        <v>1</v>
      </c>
      <c r="E360" s="2" t="n">
        <v>1</v>
      </c>
      <c r="F360" s="2" t="n">
        <v>49</v>
      </c>
      <c r="G360" s="2" t="s">
        <v>425</v>
      </c>
      <c r="H360" s="2" t="str">
        <f aca="false">IFERROR(__xludf.dummyfunction("IF(I87="""", """", REGEXEXTRACT(I87, ""Padrao/([^/]+)""))"),"Jardim Macedo")</f>
        <v>Jardim Macedo</v>
      </c>
    </row>
    <row r="361" customFormat="false" ht="15.75" hidden="true" customHeight="false" outlineLevel="0" collapsed="false">
      <c r="A361" s="2" t="n">
        <v>201677</v>
      </c>
      <c r="B361" s="2" t="s">
        <v>426</v>
      </c>
      <c r="C361" s="2" t="n">
        <v>2</v>
      </c>
      <c r="D361" s="2" t="n">
        <v>1</v>
      </c>
      <c r="E361" s="2" t="n">
        <v>1</v>
      </c>
      <c r="F361" s="2" t="n">
        <v>44</v>
      </c>
      <c r="G361" s="2" t="s">
        <v>425</v>
      </c>
      <c r="H361" s="2" t="str">
        <f aca="false">IFERROR(__xludf.dummyfunction("IF(I148="""", """", REGEXEXTRACT(I148, ""Padrao/([^/]+)""))"),"Jardim California")</f>
        <v>Jardim California</v>
      </c>
    </row>
    <row r="362" customFormat="false" ht="15.75" hidden="true" customHeight="false" outlineLevel="0" collapsed="false">
      <c r="A362" s="2" t="n">
        <v>201014</v>
      </c>
      <c r="B362" s="2" t="s">
        <v>427</v>
      </c>
      <c r="C362" s="2" t="n">
        <v>2</v>
      </c>
      <c r="D362" s="2" t="n">
        <v>1</v>
      </c>
      <c r="E362" s="2" t="n">
        <v>1</v>
      </c>
      <c r="F362" s="2" t="n">
        <v>42</v>
      </c>
      <c r="G362" s="2" t="s">
        <v>428</v>
      </c>
      <c r="H362" s="2" t="str">
        <f aca="false">IFERROR(__xludf.dummyfunction("IF(I11="""", """", REGEXEXTRACT(I11, ""Padrao/([^/]+)""))"),"Jardim Florestan Fernandes")</f>
        <v>Jardim Florestan Fernandes</v>
      </c>
    </row>
    <row r="363" customFormat="false" ht="15.75" hidden="true" customHeight="false" outlineLevel="0" collapsed="false">
      <c r="A363" s="2" t="n">
        <v>226037</v>
      </c>
      <c r="B363" s="2" t="s">
        <v>429</v>
      </c>
      <c r="C363" s="2" t="n">
        <v>2</v>
      </c>
      <c r="D363" s="2" t="n">
        <v>1</v>
      </c>
      <c r="E363" s="2" t="n">
        <v>1</v>
      </c>
      <c r="F363" s="2" t="n">
        <v>43</v>
      </c>
      <c r="G363" s="2" t="s">
        <v>428</v>
      </c>
      <c r="H363" s="2" t="str">
        <f aca="false">IFERROR(__xludf.dummyfunction("IF(I157="""", """", REGEXEXTRACT(I157, ""Padrao/([^/]+)""))"),"Reserva Macauba")</f>
        <v>Reserva Macauba</v>
      </c>
    </row>
    <row r="364" customFormat="false" ht="15.75" hidden="true" customHeight="false" outlineLevel="0" collapsed="false">
      <c r="A364" s="2" t="n">
        <v>243020</v>
      </c>
      <c r="B364" s="2" t="s">
        <v>430</v>
      </c>
      <c r="C364" s="2" t="n">
        <v>2</v>
      </c>
      <c r="D364" s="2" t="n">
        <v>1</v>
      </c>
      <c r="E364" s="2" t="n">
        <v>1</v>
      </c>
      <c r="F364" s="2" t="n">
        <v>41</v>
      </c>
      <c r="G364" s="2" t="s">
        <v>428</v>
      </c>
      <c r="H364" s="2" t="str">
        <f aca="false">IFERROR(__xludf.dummyfunction("IF(I297="""", """", REGEXEXTRACT(I297, ""Padrao/([^/]+)""))"),"Reserva Real")</f>
        <v>Reserva Real</v>
      </c>
    </row>
    <row r="365" customFormat="false" ht="15.75" hidden="true" customHeight="false" outlineLevel="0" collapsed="false">
      <c r="A365" s="2" t="n">
        <v>244172</v>
      </c>
      <c r="B365" s="2" t="s">
        <v>431</v>
      </c>
      <c r="C365" s="2" t="n">
        <v>2</v>
      </c>
      <c r="D365" s="2" t="n">
        <v>1</v>
      </c>
      <c r="E365" s="2" t="n">
        <v>1</v>
      </c>
      <c r="F365" s="2" t="n">
        <v>42</v>
      </c>
      <c r="G365" s="2" t="s">
        <v>432</v>
      </c>
      <c r="H365" s="2" t="str">
        <f aca="false">IFERROR(__xludf.dummyfunction("IF(I12="""", """", REGEXEXTRACT(I12, ""Padrao/([^/]+)""))"),"Recanto das Palmeiras")</f>
        <v>Recanto das Palmeiras</v>
      </c>
    </row>
    <row r="366" customFormat="false" ht="15.75" hidden="true" customHeight="false" outlineLevel="0" collapsed="false">
      <c r="A366" s="2" t="n">
        <v>216002</v>
      </c>
      <c r="B366" s="2" t="s">
        <v>433</v>
      </c>
      <c r="C366" s="2" t="n">
        <v>2</v>
      </c>
      <c r="D366" s="2" t="n">
        <v>1</v>
      </c>
      <c r="E366" s="2" t="n">
        <v>1</v>
      </c>
      <c r="F366" s="2" t="n">
        <v>41</v>
      </c>
      <c r="G366" s="2" t="s">
        <v>432</v>
      </c>
      <c r="H366" s="2" t="str">
        <f aca="false">IFERROR(__xludf.dummyfunction("IF(I13="""", """", REGEXEXTRACT(I13, ""Padrao/([^/]+)""))"),"Reserva Real")</f>
        <v>Reserva Real</v>
      </c>
    </row>
    <row r="367" customFormat="false" ht="15.75" hidden="true" customHeight="false" outlineLevel="0" collapsed="false">
      <c r="A367" s="2" t="n">
        <v>230474</v>
      </c>
      <c r="B367" s="2" t="s">
        <v>434</v>
      </c>
      <c r="C367" s="2" t="n">
        <v>2</v>
      </c>
      <c r="D367" s="2" t="n">
        <v>1</v>
      </c>
      <c r="E367" s="2" t="n">
        <v>1</v>
      </c>
      <c r="F367" s="2" t="n">
        <v>41</v>
      </c>
      <c r="G367" s="2" t="s">
        <v>435</v>
      </c>
      <c r="H367" s="2" t="str">
        <f aca="false">IFERROR(__xludf.dummyfunction("IF(I14="""", """", REGEXEXTRACT(I14, ""Padrao/([^/]+)""))"),"Reserva Real")</f>
        <v>Reserva Real</v>
      </c>
    </row>
    <row r="368" customFormat="false" ht="15.75" hidden="true" customHeight="false" outlineLevel="0" collapsed="false">
      <c r="A368" s="2" t="n">
        <v>201161</v>
      </c>
      <c r="B368" s="2" t="s">
        <v>436</v>
      </c>
      <c r="C368" s="2" t="n">
        <v>1</v>
      </c>
      <c r="D368" s="2" t="n">
        <v>1</v>
      </c>
      <c r="E368" s="2" t="n">
        <v>1</v>
      </c>
      <c r="F368" s="2" t="n">
        <v>34</v>
      </c>
      <c r="G368" s="2" t="s">
        <v>435</v>
      </c>
      <c r="H368" s="2" t="str">
        <f aca="false">IFERROR(__xludf.dummyfunction("IF(I15="""", """", REGEXEXTRACT(I15, ""Padrao/([^/]+)""))"),"Vila Monte Alegre")</f>
        <v>Vila Monte Alegre</v>
      </c>
    </row>
    <row r="369" customFormat="false" ht="15.75" hidden="true" customHeight="false" outlineLevel="0" collapsed="false">
      <c r="A369" s="2" t="n">
        <v>170090</v>
      </c>
      <c r="B369" s="2" t="s">
        <v>437</v>
      </c>
      <c r="C369" s="2" t="n">
        <v>2</v>
      </c>
      <c r="D369" s="2" t="n">
        <v>1</v>
      </c>
      <c r="E369" s="2" t="n">
        <v>1</v>
      </c>
      <c r="F369" s="2" t="n">
        <v>65</v>
      </c>
      <c r="G369" s="2" t="s">
        <v>435</v>
      </c>
      <c r="H369" s="2" t="str">
        <f aca="false">IFERROR(__xludf.dummyfunction("IF(I16="""", """", REGEXEXTRACT(I16, ""Padrao/([^/]+)""))"),"Jamil Seme Cury")</f>
        <v>Jamil Seme Cury</v>
      </c>
    </row>
    <row r="370" customFormat="false" ht="15.75" hidden="true" customHeight="false" outlineLevel="0" collapsed="false">
      <c r="A370" s="2" t="n">
        <v>235241</v>
      </c>
      <c r="B370" s="2" t="s">
        <v>421</v>
      </c>
      <c r="C370" s="2" t="n">
        <v>2</v>
      </c>
      <c r="D370" s="2" t="n">
        <v>1</v>
      </c>
      <c r="E370" s="2" t="n">
        <v>1</v>
      </c>
      <c r="F370" s="2" t="n">
        <v>41</v>
      </c>
      <c r="G370" s="2" t="s">
        <v>435</v>
      </c>
      <c r="H370" s="2" t="str">
        <f aca="false">IFERROR(__xludf.dummyfunction("IF(I85="""", """", REGEXEXTRACT(I85, ""Padrao/([^/]+)""))"),"Conjunto Habitacional Silvio Passalacqua")</f>
        <v>Conjunto Habitacional Silvio Passalacqua</v>
      </c>
    </row>
    <row r="371" customFormat="false" ht="15.75" hidden="true" customHeight="false" outlineLevel="0" collapsed="false">
      <c r="A371" s="2" t="n">
        <v>219830</v>
      </c>
      <c r="B371" s="2" t="s">
        <v>438</v>
      </c>
      <c r="C371" s="2" t="n">
        <v>2</v>
      </c>
      <c r="D371" s="2" t="n">
        <v>1</v>
      </c>
      <c r="E371" s="2" t="n">
        <v>1</v>
      </c>
      <c r="F371" s="2" t="n">
        <v>43</v>
      </c>
      <c r="G371" s="2" t="s">
        <v>435</v>
      </c>
      <c r="H371" s="2" t="str">
        <f aca="false">IFERROR(__xludf.dummyfunction("IF(I86="""", """", REGEXEXTRACT(I86, ""Padrao/([^/]+)""))"),"Jardim Heitor Rigon")</f>
        <v>Jardim Heitor Rigon</v>
      </c>
    </row>
    <row r="372" customFormat="false" ht="15.75" hidden="true" customHeight="false" outlineLevel="0" collapsed="false">
      <c r="A372" s="2" t="n">
        <v>208166</v>
      </c>
      <c r="B372" s="2" t="s">
        <v>439</v>
      </c>
      <c r="C372" s="2" t="n">
        <v>2</v>
      </c>
      <c r="D372" s="2" t="n">
        <v>1</v>
      </c>
      <c r="E372" s="2" t="n">
        <v>1</v>
      </c>
      <c r="F372" s="2" t="n">
        <v>41</v>
      </c>
      <c r="G372" s="2" t="s">
        <v>435</v>
      </c>
      <c r="H372" s="2" t="str">
        <f aca="false">IFERROR(__xludf.dummyfunction("IF(I89="""", """", REGEXEXTRACT(I89, ""Padrao/([^/]+)""))"),"Reserva Real")</f>
        <v>Reserva Real</v>
      </c>
    </row>
    <row r="373" customFormat="false" ht="15.75" hidden="true" customHeight="false" outlineLevel="0" collapsed="false">
      <c r="A373" s="2" t="n">
        <v>149717</v>
      </c>
      <c r="B373" s="2" t="s">
        <v>440</v>
      </c>
      <c r="C373" s="2" t="n">
        <v>1</v>
      </c>
      <c r="D373" s="2" t="n">
        <v>1</v>
      </c>
      <c r="E373" s="2" t="n">
        <v>1</v>
      </c>
      <c r="F373" s="2" t="n">
        <v>52</v>
      </c>
      <c r="G373" s="2" t="s">
        <v>435</v>
      </c>
      <c r="H373" s="2" t="str">
        <f aca="false">IFERROR(__xludf.dummyfunction("IF(I356="""", """", REGEXEXTRACT(I356, ""Padrao/([^/]+)""))"),"Vila Seixas")</f>
        <v>Vila Seixas</v>
      </c>
    </row>
    <row r="374" customFormat="false" ht="15.75" hidden="true" customHeight="false" outlineLevel="0" collapsed="false">
      <c r="A374" s="2" t="n">
        <v>229325</v>
      </c>
      <c r="B374" s="2" t="s">
        <v>441</v>
      </c>
      <c r="C374" s="2" t="n">
        <v>2</v>
      </c>
      <c r="D374" s="2" t="n">
        <v>1</v>
      </c>
      <c r="E374" s="2" t="n">
        <v>1</v>
      </c>
      <c r="F374" s="2" t="n">
        <v>41</v>
      </c>
      <c r="G374" s="2" t="s">
        <v>435</v>
      </c>
      <c r="H374" s="2" t="str">
        <f aca="false">IFERROR(__xludf.dummyfunction("IF(I383="""", """", REGEXEXTRACT(I383, ""Padrao/([^/]+)""))"),"Reserva Real")</f>
        <v>Reserva Real</v>
      </c>
    </row>
    <row r="375" customFormat="false" ht="15.75" hidden="true" customHeight="false" outlineLevel="0" collapsed="false">
      <c r="A375" s="2" t="n">
        <v>171029</v>
      </c>
      <c r="B375" s="2" t="s">
        <v>442</v>
      </c>
      <c r="C375" s="2" t="n">
        <v>2</v>
      </c>
      <c r="D375" s="2" t="n">
        <v>1</v>
      </c>
      <c r="E375" s="2" t="n">
        <v>1</v>
      </c>
      <c r="F375" s="2" t="n">
        <v>47</v>
      </c>
      <c r="G375" s="2" t="s">
        <v>443</v>
      </c>
      <c r="H375" s="2" t="str">
        <f aca="false">IFERROR(__xludf.dummyfunction("IF(I17="""", """", REGEXEXTRACT(I17, ""Padrao/([^/]+)""))"),"Campos Eliseos")</f>
        <v>Campos Eliseos</v>
      </c>
    </row>
    <row r="376" customFormat="false" ht="15.75" hidden="true" customHeight="false" outlineLevel="0" collapsed="false">
      <c r="A376" s="2" t="n">
        <v>163343</v>
      </c>
      <c r="B376" s="2" t="s">
        <v>444</v>
      </c>
      <c r="C376" s="2" t="n">
        <v>2</v>
      </c>
      <c r="D376" s="2" t="n">
        <v>1</v>
      </c>
      <c r="E376" s="2" t="n">
        <v>1</v>
      </c>
      <c r="F376" s="2" t="n">
        <v>42</v>
      </c>
      <c r="G376" s="2" t="s">
        <v>443</v>
      </c>
      <c r="H376" s="2" t="str">
        <f aca="false">IFERROR(__xludf.dummyfunction("IF(I128="""", """", REGEXEXTRACT(I128, ""Padrao/([^/]+)""))"),"Valentina Figueiredo")</f>
        <v>Valentina Figueiredo</v>
      </c>
    </row>
    <row r="377" customFormat="false" ht="15.75" hidden="true" customHeight="false" outlineLevel="0" collapsed="false">
      <c r="A377" s="2" t="n">
        <v>157112</v>
      </c>
      <c r="B377" s="2" t="s">
        <v>445</v>
      </c>
      <c r="C377" s="2" t="n">
        <v>1</v>
      </c>
      <c r="D377" s="2" t="n">
        <v>1</v>
      </c>
      <c r="E377" s="2" t="n">
        <v>1</v>
      </c>
      <c r="F377" s="2" t="n">
        <v>37</v>
      </c>
      <c r="G377" s="2" t="s">
        <v>446</v>
      </c>
      <c r="H377" s="2" t="str">
        <f aca="false">IFERROR(__xludf.dummyfunction("IF(I19="""", """", REGEXEXTRACT(I19, ""Padrao/([^/]+)""))"),"Centro")</f>
        <v>Centro</v>
      </c>
    </row>
    <row r="378" customFormat="false" ht="15.75" hidden="true" customHeight="false" outlineLevel="0" collapsed="false">
      <c r="A378" s="2" t="n">
        <v>122978</v>
      </c>
      <c r="B378" s="2" t="s">
        <v>447</v>
      </c>
      <c r="C378" s="2" t="n">
        <v>1</v>
      </c>
      <c r="D378" s="2" t="n">
        <v>1</v>
      </c>
      <c r="E378" s="2" t="n">
        <v>1</v>
      </c>
      <c r="F378" s="2" t="n">
        <v>51</v>
      </c>
      <c r="G378" s="2" t="s">
        <v>446</v>
      </c>
      <c r="H378" s="2" t="str">
        <f aca="false">IFERROR(__xludf.dummyfunction("IF(I20="""", """", REGEXEXTRACT(I20, ""Padrao/([^/]+)""))"),"Jardim Paulistano")</f>
        <v>Jardim Paulistano</v>
      </c>
    </row>
    <row r="379" customFormat="false" ht="15.75" hidden="true" customHeight="false" outlineLevel="0" collapsed="false">
      <c r="A379" s="2" t="n">
        <v>216524</v>
      </c>
      <c r="B379" s="2" t="s">
        <v>448</v>
      </c>
      <c r="C379" s="2" t="n">
        <v>2</v>
      </c>
      <c r="D379" s="2" t="n">
        <v>1</v>
      </c>
      <c r="E379" s="2" t="n">
        <v>1</v>
      </c>
      <c r="F379" s="2" t="n">
        <v>40</v>
      </c>
      <c r="G379" s="2" t="s">
        <v>446</v>
      </c>
      <c r="H379" s="2" t="str">
        <f aca="false">IFERROR(__xludf.dummyfunction("IF(I59="""", """", REGEXEXTRACT(I59, ""Padrao/([^/]+)""))"),"Jardim Ouro Branco")</f>
        <v>Jardim Ouro Branco</v>
      </c>
    </row>
    <row r="380" customFormat="false" ht="15.75" hidden="true" customHeight="false" outlineLevel="0" collapsed="false">
      <c r="A380" s="2" t="n">
        <v>172091</v>
      </c>
      <c r="B380" s="2" t="s">
        <v>449</v>
      </c>
      <c r="C380" s="2" t="n">
        <v>2</v>
      </c>
      <c r="D380" s="2" t="n">
        <v>1</v>
      </c>
      <c r="E380" s="2" t="n">
        <v>1</v>
      </c>
      <c r="F380" s="2" t="n">
        <v>48</v>
      </c>
      <c r="G380" s="2" t="s">
        <v>446</v>
      </c>
      <c r="H380" s="2" t="str">
        <f aca="false">IFERROR(__xludf.dummyfunction("IF(I80="""", """", REGEXEXTRACT(I80, ""Padrao/([^/]+)""))"),"Jardim Sao Fernando")</f>
        <v>Jardim Sao Fernando</v>
      </c>
    </row>
    <row r="381" customFormat="false" ht="15.75" hidden="true" customHeight="false" outlineLevel="0" collapsed="false">
      <c r="A381" s="2" t="n">
        <v>130712</v>
      </c>
      <c r="B381" s="2" t="s">
        <v>450</v>
      </c>
      <c r="C381" s="2" t="n">
        <v>2</v>
      </c>
      <c r="D381" s="2" t="n">
        <v>1</v>
      </c>
      <c r="E381" s="2" t="n">
        <v>1</v>
      </c>
      <c r="F381" s="2" t="n">
        <v>7</v>
      </c>
      <c r="G381" s="2" t="s">
        <v>446</v>
      </c>
      <c r="H381" s="2" t="str">
        <f aca="false">IFERROR(__xludf.dummyfunction("IF(I88="""", """", REGEXEXTRACT(I88, ""Padrao/([^/]+)""))"),"Ipiranga")</f>
        <v>Ipiranga</v>
      </c>
    </row>
    <row r="382" customFormat="false" ht="15.75" hidden="true" customHeight="false" outlineLevel="0" collapsed="false">
      <c r="A382" s="2" t="n">
        <v>99863</v>
      </c>
      <c r="B382" s="2" t="s">
        <v>451</v>
      </c>
      <c r="C382" s="2" t="n">
        <v>1</v>
      </c>
      <c r="D382" s="2" t="n">
        <v>1</v>
      </c>
      <c r="E382" s="2" t="n">
        <v>1</v>
      </c>
      <c r="F382" s="2" t="n">
        <v>41</v>
      </c>
      <c r="G382" s="2" t="s">
        <v>446</v>
      </c>
      <c r="H382" s="2" t="str">
        <f aca="false">IFERROR(__xludf.dummyfunction("IF(I149="""", """", REGEXEXTRACT(I149, ""Padrao/([^/]+)""))"),"Centro")</f>
        <v>Centro</v>
      </c>
    </row>
    <row r="383" customFormat="false" ht="15.75" hidden="true" customHeight="false" outlineLevel="0" collapsed="false">
      <c r="A383" s="2" t="n">
        <v>104543</v>
      </c>
      <c r="B383" s="2" t="s">
        <v>452</v>
      </c>
      <c r="C383" s="2" t="n">
        <v>2</v>
      </c>
      <c r="D383" s="2" t="n">
        <v>1</v>
      </c>
      <c r="E383" s="2" t="n">
        <v>1</v>
      </c>
      <c r="F383" s="2" t="n">
        <v>42</v>
      </c>
      <c r="G383" s="2" t="s">
        <v>446</v>
      </c>
      <c r="H383" s="2" t="str">
        <f aca="false">IFERROR(__xludf.dummyfunction("IF(I275="""", """", REGEXEXTRACT(I275, ""Padrao/([^/]+)""))"),"Jardim Itau")</f>
        <v>Jardim Itau</v>
      </c>
    </row>
    <row r="384" customFormat="false" ht="15.75" hidden="true" customHeight="false" outlineLevel="0" collapsed="false">
      <c r="A384" s="2" t="n">
        <v>219431</v>
      </c>
      <c r="B384" s="2" t="s">
        <v>453</v>
      </c>
      <c r="C384" s="2" t="n">
        <v>2</v>
      </c>
      <c r="D384" s="2" t="n">
        <v>1</v>
      </c>
      <c r="E384" s="2" t="n">
        <v>1</v>
      </c>
      <c r="F384" s="2" t="n">
        <v>42</v>
      </c>
      <c r="G384" s="2" t="s">
        <v>446</v>
      </c>
      <c r="H384" s="2" t="str">
        <f aca="false">IFERROR(__xludf.dummyfunction("IF(I281="""", """", REGEXEXTRACT(I281, ""Padrao/([^/]+)""))"),"Recanto das Palmeiras")</f>
        <v>Recanto das Palmeiras</v>
      </c>
    </row>
    <row r="385" customFormat="false" ht="15.75" hidden="true" customHeight="false" outlineLevel="0" collapsed="false">
      <c r="A385" s="2" t="n">
        <v>204398</v>
      </c>
      <c r="B385" s="2" t="s">
        <v>454</v>
      </c>
      <c r="C385" s="2" t="n">
        <v>2</v>
      </c>
      <c r="D385" s="2" t="n">
        <v>1</v>
      </c>
      <c r="E385" s="2" t="n">
        <v>1</v>
      </c>
      <c r="F385" s="2" t="n">
        <v>41</v>
      </c>
      <c r="G385" s="2" t="s">
        <v>446</v>
      </c>
      <c r="H385" s="2" t="str">
        <f aca="false">IFERROR(__xludf.dummyfunction("IF(I384="""", """", REGEXEXTRACT(I384, ""Padrao/([^/]+)""))"),"Reserva Real")</f>
        <v>Reserva Real</v>
      </c>
    </row>
    <row r="386" customFormat="false" ht="15.75" hidden="true" customHeight="false" outlineLevel="0" collapsed="false">
      <c r="A386" s="2" t="n">
        <v>168386</v>
      </c>
      <c r="B386" s="2" t="s">
        <v>455</v>
      </c>
      <c r="C386" s="2" t="n">
        <v>2</v>
      </c>
      <c r="D386" s="2" t="n">
        <v>1</v>
      </c>
      <c r="E386" s="2" t="n">
        <v>1</v>
      </c>
      <c r="F386" s="2" t="n">
        <v>40</v>
      </c>
      <c r="G386" s="2" t="s">
        <v>446</v>
      </c>
      <c r="H386" s="2" t="str">
        <f aca="false">IFERROR(__xludf.dummyfunction("IF(I421="""", """", REGEXEXTRACT(I421, ""Padrao/([^/]+)""))"),"Reserva Real")</f>
        <v>Reserva Real</v>
      </c>
    </row>
    <row r="387" customFormat="false" ht="15.75" hidden="true" customHeight="false" outlineLevel="0" collapsed="false">
      <c r="A387" s="2" t="n">
        <v>14915</v>
      </c>
      <c r="B387" s="2" t="s">
        <v>456</v>
      </c>
      <c r="C387" s="2" t="n">
        <v>2</v>
      </c>
      <c r="D387" s="2" t="n">
        <v>1</v>
      </c>
      <c r="E387" s="2" t="n">
        <v>1</v>
      </c>
      <c r="F387" s="2" t="n">
        <v>53</v>
      </c>
      <c r="G387" s="2" t="s">
        <v>446</v>
      </c>
      <c r="H387" s="2" t="str">
        <f aca="false">IFERROR(__xludf.dummyfunction("IF(I507="""", """", REGEXEXTRACT(I507, ""Padrao/([^/]+)""))"),"Jardim Anhanguera")</f>
        <v>Jardim Anhanguera</v>
      </c>
    </row>
    <row r="388" customFormat="false" ht="15.75" hidden="true" customHeight="false" outlineLevel="0" collapsed="false">
      <c r="A388" s="2" t="n">
        <v>98864</v>
      </c>
      <c r="B388" s="2" t="s">
        <v>457</v>
      </c>
      <c r="C388" s="2" t="n">
        <v>2</v>
      </c>
      <c r="D388" s="2" t="n">
        <v>1</v>
      </c>
      <c r="E388" s="2" t="n">
        <v>1</v>
      </c>
      <c r="F388" s="2" t="n">
        <v>42</v>
      </c>
      <c r="G388" s="2" t="s">
        <v>446</v>
      </c>
      <c r="H388" s="2" t="str">
        <f aca="false">IFERROR(__xludf.dummyfunction("IF(I524="""", """", REGEXEXTRACT(I524, ""Padrao/([^/]+)""))"),"Vila Virginia")</f>
        <v>Vila Virginia</v>
      </c>
    </row>
    <row r="389" customFormat="false" ht="15.75" hidden="true" customHeight="false" outlineLevel="0" collapsed="false">
      <c r="A389" s="2" t="n">
        <v>232007</v>
      </c>
      <c r="B389" s="2" t="s">
        <v>458</v>
      </c>
      <c r="C389" s="2" t="n">
        <v>2</v>
      </c>
      <c r="D389" s="2" t="n">
        <v>1</v>
      </c>
      <c r="E389" s="2" t="n">
        <v>1</v>
      </c>
      <c r="F389" s="2" t="n">
        <v>46</v>
      </c>
      <c r="G389" s="2" t="s">
        <v>459</v>
      </c>
      <c r="H389" s="2" t="str">
        <f aca="false">IFERROR(__xludf.dummyfunction("IF(I158="""", """", REGEXEXTRACT(I158, ""Padrao/([^/]+)""))"),"Parque Sao Sebastiao")</f>
        <v>Parque Sao Sebastiao</v>
      </c>
    </row>
    <row r="390" customFormat="false" ht="15.75" hidden="true" customHeight="false" outlineLevel="0" collapsed="false">
      <c r="A390" s="2" t="n">
        <v>236738</v>
      </c>
      <c r="B390" s="2" t="s">
        <v>460</v>
      </c>
      <c r="C390" s="2" t="n">
        <v>1</v>
      </c>
      <c r="D390" s="2" t="n">
        <v>1</v>
      </c>
      <c r="E390" s="2" t="n">
        <v>1</v>
      </c>
      <c r="F390" s="2" t="n">
        <v>37</v>
      </c>
      <c r="G390" s="2" t="s">
        <v>459</v>
      </c>
      <c r="H390" s="2" t="str">
        <f aca="false">IFERROR(__xludf.dummyfunction("IF(I340="""", """", REGEXEXTRACT(I340, ""Padrao/([^/]+)""))"),"City Ribeirao")</f>
        <v>City Ribeirao</v>
      </c>
    </row>
    <row r="391" customFormat="false" ht="15.75" hidden="true" customHeight="false" outlineLevel="0" collapsed="false">
      <c r="A391" s="2" t="n">
        <v>155732</v>
      </c>
      <c r="B391" s="2" t="s">
        <v>461</v>
      </c>
      <c r="C391" s="2" t="n">
        <v>2</v>
      </c>
      <c r="D391" s="2" t="n">
        <v>1</v>
      </c>
      <c r="E391" s="2" t="n">
        <v>1</v>
      </c>
      <c r="F391" s="2" t="n">
        <v>49</v>
      </c>
      <c r="G391" s="2" t="s">
        <v>462</v>
      </c>
      <c r="H391" s="2" t="str">
        <f aca="false">IFERROR(__xludf.dummyfunction("IF(I90="""", """", REGEXEXTRACT(I90, ""Padrao/([^/]+)""))"),"Jardim Sumare")</f>
        <v>Jardim Sumare</v>
      </c>
    </row>
    <row r="392" customFormat="false" ht="15.75" hidden="true" customHeight="false" outlineLevel="0" collapsed="false">
      <c r="A392" s="2" t="n">
        <v>214370</v>
      </c>
      <c r="B392" s="2" t="s">
        <v>463</v>
      </c>
      <c r="C392" s="2" t="n">
        <v>2</v>
      </c>
      <c r="D392" s="2" t="n">
        <v>1</v>
      </c>
      <c r="E392" s="2" t="n">
        <v>1</v>
      </c>
      <c r="F392" s="2" t="n">
        <v>43</v>
      </c>
      <c r="G392" s="2" t="s">
        <v>464</v>
      </c>
      <c r="H392" s="2" t="str">
        <f aca="false">IFERROR(__xludf.dummyfunction("IF(I3="""", """", REGEXEXTRACT(I3, ""Padrao/([^/]+)""))"),"Reserva Macauba")</f>
        <v>Reserva Macauba</v>
      </c>
    </row>
    <row r="393" customFormat="false" ht="15.75" hidden="true" customHeight="false" outlineLevel="0" collapsed="false">
      <c r="A393" s="2" t="n">
        <v>141767</v>
      </c>
      <c r="B393" s="2" t="s">
        <v>465</v>
      </c>
      <c r="C393" s="2" t="n">
        <v>2</v>
      </c>
      <c r="D393" s="2" t="n">
        <v>1</v>
      </c>
      <c r="E393" s="2" t="n">
        <v>1</v>
      </c>
      <c r="F393" s="2" t="n">
        <v>40</v>
      </c>
      <c r="G393" s="2" t="s">
        <v>464</v>
      </c>
      <c r="H393" s="2" t="str">
        <f aca="false">IFERROR(__xludf.dummyfunction("IF(I6="""", """", REGEXEXTRACT(I6, ""Padrao/([^/]+)""))"),"Parque dos Pinus")</f>
        <v>Parque dos Pinus</v>
      </c>
    </row>
    <row r="394" customFormat="false" ht="15.75" hidden="true" customHeight="false" outlineLevel="0" collapsed="false">
      <c r="A394" s="2" t="n">
        <v>231926</v>
      </c>
      <c r="B394" s="2" t="s">
        <v>466</v>
      </c>
      <c r="C394" s="2" t="n">
        <v>2</v>
      </c>
      <c r="D394" s="2" t="n">
        <v>1</v>
      </c>
      <c r="E394" s="2" t="n">
        <v>1</v>
      </c>
      <c r="F394" s="2" t="n">
        <v>47</v>
      </c>
      <c r="G394" s="2" t="s">
        <v>464</v>
      </c>
      <c r="H394" s="2" t="str">
        <f aca="false">IFERROR(__xludf.dummyfunction("IF(I21="""", """", REGEXEXTRACT(I21, ""Padrao/([^/]+)""))"),"Jardim Paulistano")</f>
        <v>Jardim Paulistano</v>
      </c>
    </row>
    <row r="395" customFormat="false" ht="15.75" hidden="true" customHeight="false" outlineLevel="0" collapsed="false">
      <c r="A395" s="2" t="n">
        <v>152066</v>
      </c>
      <c r="B395" s="2" t="s">
        <v>467</v>
      </c>
      <c r="C395" s="2" t="n">
        <v>2</v>
      </c>
      <c r="D395" s="2" t="n">
        <v>1</v>
      </c>
      <c r="E395" s="2" t="n">
        <v>1</v>
      </c>
      <c r="F395" s="2" t="n">
        <v>42</v>
      </c>
      <c r="G395" s="2" t="s">
        <v>464</v>
      </c>
      <c r="H395" s="2" t="str">
        <f aca="false">IFERROR(__xludf.dummyfunction("IF(I22="""", """", REGEXEXTRACT(I22, ""Padrao/([^/]+)""))"),"Jardim Zara")</f>
        <v>Jardim Zara</v>
      </c>
    </row>
    <row r="396" customFormat="false" ht="15.75" hidden="true" customHeight="false" outlineLevel="0" collapsed="false">
      <c r="A396" s="2" t="n">
        <v>238904</v>
      </c>
      <c r="B396" s="2" t="s">
        <v>468</v>
      </c>
      <c r="C396" s="2" t="n">
        <v>2</v>
      </c>
      <c r="D396" s="2" t="n">
        <v>1</v>
      </c>
      <c r="E396" s="2" t="n">
        <v>1</v>
      </c>
      <c r="F396" s="2" t="n">
        <v>41</v>
      </c>
      <c r="G396" s="2" t="s">
        <v>464</v>
      </c>
      <c r="H396" s="2" t="str">
        <f aca="false">IFERROR(__xludf.dummyfunction("IF(I159="""", """", REGEXEXTRACT(I159, ""Padrao/([^/]+)""))"),"Residencial Jequitiba")</f>
        <v>Residencial Jequitiba</v>
      </c>
    </row>
    <row r="397" customFormat="false" ht="15.75" hidden="true" customHeight="false" outlineLevel="0" collapsed="false">
      <c r="A397" s="2" t="n">
        <v>184286</v>
      </c>
      <c r="B397" s="2" t="s">
        <v>469</v>
      </c>
      <c r="C397" s="2" t="n">
        <v>2</v>
      </c>
      <c r="D397" s="2" t="n">
        <v>1</v>
      </c>
      <c r="E397" s="2" t="n">
        <v>1</v>
      </c>
      <c r="F397" s="2" t="n">
        <v>43</v>
      </c>
      <c r="G397" s="2" t="s">
        <v>470</v>
      </c>
      <c r="H397" s="2" t="str">
        <f aca="false">IFERROR(__xludf.dummyfunction("IF(I241="""", """", REGEXEXTRACT(I241, ""Padrao/([^/]+)""))"),"Valentina Figueiredo")</f>
        <v>Valentina Figueiredo</v>
      </c>
    </row>
    <row r="398" customFormat="false" ht="15.75" hidden="true" customHeight="false" outlineLevel="0" collapsed="false">
      <c r="A398" s="2" t="n">
        <v>192755</v>
      </c>
      <c r="B398" s="2" t="s">
        <v>471</v>
      </c>
      <c r="C398" s="2" t="n">
        <v>2</v>
      </c>
      <c r="D398" s="2" t="n">
        <v>1</v>
      </c>
      <c r="E398" s="2" t="n">
        <v>1</v>
      </c>
      <c r="F398" s="2" t="n">
        <v>41</v>
      </c>
      <c r="G398" s="2" t="s">
        <v>472</v>
      </c>
      <c r="H398" s="2" t="str">
        <f aca="false">IFERROR(__xludf.dummyfunction("IF(I4="""", """", REGEXEXTRACT(I4, ""Padrao/([^/]+)""))"),"Residencial Jequitiba")</f>
        <v>Residencial Jequitiba</v>
      </c>
    </row>
    <row r="399" customFormat="false" ht="15.75" hidden="true" customHeight="false" outlineLevel="0" collapsed="false">
      <c r="A399" s="2" t="n">
        <v>200132</v>
      </c>
      <c r="B399" s="2" t="s">
        <v>473</v>
      </c>
      <c r="C399" s="2" t="n">
        <v>2</v>
      </c>
      <c r="D399" s="2" t="n">
        <v>1</v>
      </c>
      <c r="E399" s="2" t="n">
        <v>1</v>
      </c>
      <c r="F399" s="2" t="n">
        <v>46</v>
      </c>
      <c r="G399" s="2" t="s">
        <v>474</v>
      </c>
      <c r="H399" s="2" t="str">
        <f aca="false">IFERROR(__xludf.dummyfunction("IF(I81="""", """", REGEXEXTRACT(I81, ""Padrao/([^/]+)""))"),"Ipiranga")</f>
        <v>Ipiranga</v>
      </c>
    </row>
    <row r="400" customFormat="false" ht="15.75" hidden="true" customHeight="false" outlineLevel="0" collapsed="false">
      <c r="A400" s="2" t="n">
        <v>219533</v>
      </c>
      <c r="B400" s="2" t="s">
        <v>475</v>
      </c>
      <c r="C400" s="2" t="n">
        <v>2</v>
      </c>
      <c r="D400" s="2" t="n">
        <v>1</v>
      </c>
      <c r="E400" s="2" t="n">
        <v>1</v>
      </c>
      <c r="F400" s="2" t="n">
        <v>42</v>
      </c>
      <c r="G400" s="2" t="s">
        <v>474</v>
      </c>
      <c r="H400" s="2" t="str">
        <f aca="false">IFERROR(__xludf.dummyfunction("IF(I298="""", """", REGEXEXTRACT(I298, ""Padrao/([^/]+)""))"),"Campos Eliseos")</f>
        <v>Campos Eliseos</v>
      </c>
    </row>
    <row r="401" customFormat="false" ht="15.75" hidden="true" customHeight="false" outlineLevel="0" collapsed="false">
      <c r="A401" s="2" t="n">
        <v>173525</v>
      </c>
      <c r="B401" s="2" t="s">
        <v>430</v>
      </c>
      <c r="C401" s="2" t="n">
        <v>2</v>
      </c>
      <c r="D401" s="2" t="n">
        <v>1</v>
      </c>
      <c r="E401" s="2" t="n">
        <v>1</v>
      </c>
      <c r="F401" s="2" t="n">
        <v>41</v>
      </c>
      <c r="G401" s="2" t="s">
        <v>474</v>
      </c>
      <c r="H401" s="2" t="str">
        <f aca="false">IFERROR(__xludf.dummyfunction("IF(I299="""", """", REGEXEXTRACT(I299, ""Padrao/([^/]+)""))"),"Reserva Real")</f>
        <v>Reserva Real</v>
      </c>
    </row>
    <row r="402" customFormat="false" ht="15.75" hidden="true" customHeight="false" outlineLevel="0" collapsed="false">
      <c r="A402" s="2" t="n">
        <v>234185</v>
      </c>
      <c r="B402" s="2" t="s">
        <v>476</v>
      </c>
      <c r="C402" s="2" t="n">
        <v>2</v>
      </c>
      <c r="D402" s="2" t="n">
        <v>1</v>
      </c>
      <c r="E402" s="2" t="n">
        <v>1</v>
      </c>
      <c r="F402" s="2" t="n">
        <v>42</v>
      </c>
      <c r="G402" s="2" t="s">
        <v>474</v>
      </c>
      <c r="H402" s="2" t="str">
        <f aca="false">IFERROR(__xludf.dummyfunction("IF(I338="""", """", REGEXEXTRACT(I338, ""Padrao/([^/]+)""))"),"Jardim Heitor Rigon")</f>
        <v>Jardim Heitor Rigon</v>
      </c>
    </row>
    <row r="403" customFormat="false" ht="15.75" hidden="true" customHeight="false" outlineLevel="0" collapsed="false">
      <c r="A403" s="2" t="n">
        <v>201719</v>
      </c>
      <c r="B403" s="2" t="s">
        <v>477</v>
      </c>
      <c r="C403" s="2" t="n">
        <v>2</v>
      </c>
      <c r="D403" s="2" t="n">
        <v>1</v>
      </c>
      <c r="E403" s="2" t="n">
        <v>1</v>
      </c>
      <c r="F403" s="2" t="n">
        <v>42</v>
      </c>
      <c r="G403" s="2" t="s">
        <v>474</v>
      </c>
      <c r="H403" s="2" t="str">
        <f aca="false">IFERROR(__xludf.dummyfunction("IF(I385="""", """", REGEXEXTRACT(I385, ""Padrao/([^/]+)""))"),"Jardim Florestan Fernandes")</f>
        <v>Jardim Florestan Fernandes</v>
      </c>
    </row>
    <row r="404" customFormat="false" ht="15.75" hidden="true" customHeight="false" outlineLevel="0" collapsed="false">
      <c r="A404" s="2" t="n">
        <v>177707</v>
      </c>
      <c r="B404" s="2" t="s">
        <v>478</v>
      </c>
      <c r="C404" s="2" t="n">
        <v>2</v>
      </c>
      <c r="D404" s="2" t="n">
        <v>1</v>
      </c>
      <c r="E404" s="2" t="n">
        <v>1</v>
      </c>
      <c r="F404" s="2" t="n">
        <v>42</v>
      </c>
      <c r="G404" s="2" t="s">
        <v>479</v>
      </c>
      <c r="H404" s="2" t="str">
        <f aca="false">IFERROR(__xludf.dummyfunction("IF(I79="""", """", REGEXEXTRACT(I79, ""Padrao/([^/]+)""))"),"Residencial Parque dos Servidores")</f>
        <v>Residencial Parque dos Servidores</v>
      </c>
    </row>
    <row r="405" customFormat="false" ht="15.75" hidden="true" customHeight="false" outlineLevel="0" collapsed="false">
      <c r="A405" s="2" t="n">
        <v>129248</v>
      </c>
      <c r="B405" s="2" t="s">
        <v>480</v>
      </c>
      <c r="C405" s="2" t="n">
        <v>1</v>
      </c>
      <c r="D405" s="2" t="n">
        <v>1</v>
      </c>
      <c r="E405" s="2" t="n">
        <v>1</v>
      </c>
      <c r="F405" s="2" t="n">
        <v>46</v>
      </c>
      <c r="G405" s="2" t="s">
        <v>479</v>
      </c>
      <c r="H405" s="2" t="str">
        <f aca="false">IFERROR(__xludf.dummyfunction("IF(I91="""", """", REGEXEXTRACT(I91, ""Padrao/([^/]+)""))"),"Ribeirania")</f>
        <v>Ribeirania</v>
      </c>
    </row>
    <row r="406" customFormat="false" ht="15.75" hidden="true" customHeight="false" outlineLevel="0" collapsed="false">
      <c r="A406" s="2" t="n">
        <v>140438</v>
      </c>
      <c r="B406" s="2" t="s">
        <v>481</v>
      </c>
      <c r="C406" s="2" t="n">
        <v>2</v>
      </c>
      <c r="D406" s="2" t="n">
        <v>1</v>
      </c>
      <c r="E406" s="2" t="n">
        <v>1</v>
      </c>
      <c r="F406" s="2" t="n">
        <v>40</v>
      </c>
      <c r="G406" s="2" t="s">
        <v>479</v>
      </c>
      <c r="H406" s="2" t="str">
        <f aca="false">IFERROR(__xludf.dummyfunction("IF(I160="""", """", REGEXEXTRACT(I160, ""Padrao/([^/]+)""))"),"Jardim Zara")</f>
        <v>Jardim Zara</v>
      </c>
    </row>
    <row r="407" customFormat="false" ht="15.75" hidden="true" customHeight="false" outlineLevel="0" collapsed="false">
      <c r="A407" s="2" t="n">
        <v>225689</v>
      </c>
      <c r="B407" s="2" t="s">
        <v>482</v>
      </c>
      <c r="C407" s="2" t="n">
        <v>2</v>
      </c>
      <c r="D407" s="2" t="n">
        <v>1</v>
      </c>
      <c r="E407" s="2" t="n">
        <v>1</v>
      </c>
      <c r="F407" s="2" t="n">
        <v>42</v>
      </c>
      <c r="G407" s="2" t="s">
        <v>483</v>
      </c>
      <c r="H407" s="2" t="str">
        <f aca="false">IFERROR(__xludf.dummyfunction("IF(I242="""", """", REGEXEXTRACT(I242, ""Padrao/([^/]+)""))"),"Jardim Santa Cecilia")</f>
        <v>Jardim Santa Cecilia</v>
      </c>
    </row>
    <row r="408" customFormat="false" ht="15.75" hidden="true" customHeight="false" outlineLevel="0" collapsed="false">
      <c r="A408" s="2" t="n">
        <v>133355</v>
      </c>
      <c r="B408" s="2" t="s">
        <v>484</v>
      </c>
      <c r="C408" s="2" t="n">
        <v>2</v>
      </c>
      <c r="D408" s="2" t="n">
        <v>1</v>
      </c>
      <c r="E408" s="2" t="n">
        <v>2</v>
      </c>
      <c r="F408" s="2" t="n">
        <v>42</v>
      </c>
      <c r="G408" s="2" t="s">
        <v>483</v>
      </c>
      <c r="H408" s="2" t="str">
        <f aca="false">IFERROR(__xludf.dummyfunction("IF(I243="""", """", REGEXEXTRACT(I243, ""Padrao/([^/]+)""))"),"Residencial Jequitiba")</f>
        <v>Residencial Jequitiba</v>
      </c>
    </row>
    <row r="409" customFormat="false" ht="15.75" hidden="true" customHeight="false" outlineLevel="0" collapsed="false">
      <c r="A409" s="2" t="n">
        <v>215573</v>
      </c>
      <c r="B409" s="2" t="s">
        <v>485</v>
      </c>
      <c r="C409" s="2" t="n">
        <v>2</v>
      </c>
      <c r="D409" s="2" t="n">
        <v>1</v>
      </c>
      <c r="E409" s="2" t="n">
        <v>1</v>
      </c>
      <c r="F409" s="2" t="n">
        <v>42</v>
      </c>
      <c r="G409" s="2" t="s">
        <v>483</v>
      </c>
      <c r="H409" s="2" t="str">
        <f aca="false">IFERROR(__xludf.dummyfunction("IF(I403="""", """", REGEXEXTRACT(I403, ""Padrao/([^/]+)""))"),"Parque Industrial Lagoinha")</f>
        <v>Parque Industrial Lagoinha</v>
      </c>
    </row>
    <row r="410" customFormat="false" ht="15.75" hidden="true" customHeight="false" outlineLevel="0" collapsed="false">
      <c r="A410" s="2" t="n">
        <v>95588</v>
      </c>
      <c r="B410" s="2" t="s">
        <v>486</v>
      </c>
      <c r="C410" s="2" t="n">
        <v>3</v>
      </c>
      <c r="D410" s="2" t="n">
        <v>1</v>
      </c>
      <c r="E410" s="2" t="n">
        <v>2</v>
      </c>
      <c r="F410" s="2" t="n">
        <v>61</v>
      </c>
      <c r="G410" s="2" t="s">
        <v>487</v>
      </c>
      <c r="H410" s="2" t="str">
        <f aca="false">IFERROR(__xludf.dummyfunction("IF(I429="""", """", REGEXEXTRACT(I429, ""Padrao/([^/]+)""))"),"Ipiranga")</f>
        <v>Ipiranga</v>
      </c>
    </row>
    <row r="411" customFormat="false" ht="15.75" hidden="true" customHeight="false" outlineLevel="0" collapsed="false">
      <c r="A411" s="2" t="n">
        <v>216308</v>
      </c>
      <c r="B411" s="2" t="s">
        <v>488</v>
      </c>
      <c r="C411" s="2" t="n">
        <v>2</v>
      </c>
      <c r="D411" s="2" t="n">
        <v>1</v>
      </c>
      <c r="E411" s="2" t="n">
        <v>1</v>
      </c>
      <c r="F411" s="2" t="n">
        <v>43</v>
      </c>
      <c r="G411" s="2" t="s">
        <v>489</v>
      </c>
      <c r="H411" s="2" t="str">
        <f aca="false">IFERROR(__xludf.dummyfunction("IF(I23="""", """", REGEXEXTRACT(I23, ""Padrao/([^/]+)""))"),"Jardim Interlagos")</f>
        <v>Jardim Interlagos</v>
      </c>
    </row>
    <row r="412" customFormat="false" ht="15.75" hidden="true" customHeight="false" outlineLevel="0" collapsed="false">
      <c r="A412" s="2" t="n">
        <v>181100</v>
      </c>
      <c r="B412" s="2" t="s">
        <v>490</v>
      </c>
      <c r="C412" s="2" t="n">
        <v>2</v>
      </c>
      <c r="D412" s="2" t="n">
        <v>2</v>
      </c>
      <c r="E412" s="2" t="n">
        <v>1</v>
      </c>
      <c r="F412" s="2" t="n">
        <v>58</v>
      </c>
      <c r="G412" s="2" t="s">
        <v>489</v>
      </c>
      <c r="H412" s="2" t="str">
        <f aca="false">IFERROR(__xludf.dummyfunction("IF(I423="""", """", REGEXEXTRACT(I423, ""Padrao/([^/]+)""))"),"Jardim Zara")</f>
        <v>Jardim Zara</v>
      </c>
    </row>
    <row r="413" customFormat="false" ht="15.75" hidden="true" customHeight="false" outlineLevel="0" collapsed="false">
      <c r="A413" s="2" t="n">
        <v>235439</v>
      </c>
      <c r="B413" s="2" t="s">
        <v>491</v>
      </c>
      <c r="C413" s="2" t="n">
        <v>2</v>
      </c>
      <c r="D413" s="2" t="n">
        <v>1</v>
      </c>
      <c r="E413" s="2" t="n">
        <v>1</v>
      </c>
      <c r="F413" s="2" t="n">
        <v>42</v>
      </c>
      <c r="G413" s="2" t="s">
        <v>492</v>
      </c>
      <c r="H413" s="2" t="str">
        <f aca="false">IFERROR(__xludf.dummyfunction("IF(I24="""", """", REGEXEXTRACT(I24, ""Padrao/([^/]+)""))"),"Jardim Heitor Rigon")</f>
        <v>Jardim Heitor Rigon</v>
      </c>
    </row>
    <row r="414" customFormat="false" ht="15.75" hidden="true" customHeight="false" outlineLevel="0" collapsed="false">
      <c r="A414" s="2" t="n">
        <v>236171</v>
      </c>
      <c r="B414" s="2" t="s">
        <v>493</v>
      </c>
      <c r="C414" s="2" t="n">
        <v>3</v>
      </c>
      <c r="D414" s="2" t="n">
        <v>5</v>
      </c>
      <c r="E414" s="2" t="n">
        <v>5</v>
      </c>
      <c r="F414" s="2" t="n">
        <v>195</v>
      </c>
      <c r="G414" s="2" t="s">
        <v>494</v>
      </c>
      <c r="H414" s="2" t="str">
        <f aca="false">IFERROR(__xludf.dummyfunction("IF(I505="""", """", REGEXEXTRACT(I505, ""Padrao/([^/]+)""))"),"Residencial Alto do Ipe")</f>
        <v>Residencial Alto do Ipe</v>
      </c>
    </row>
    <row r="415" customFormat="false" ht="15.75" hidden="true" customHeight="false" outlineLevel="0" collapsed="false">
      <c r="A415" s="2" t="n">
        <v>177215</v>
      </c>
      <c r="B415" s="2" t="s">
        <v>294</v>
      </c>
      <c r="C415" s="2" t="n">
        <v>3</v>
      </c>
      <c r="D415" s="2" t="n">
        <v>4</v>
      </c>
      <c r="E415" s="2" t="n">
        <v>2</v>
      </c>
      <c r="F415" s="2" t="n">
        <v>197</v>
      </c>
      <c r="G415" s="2" t="s">
        <v>495</v>
      </c>
      <c r="H415" s="2" t="str">
        <f aca="false">IFERROR(__xludf.dummyfunction("IF(I506="""", """", REGEXEXTRACT(I506, ""Padrao/([^/]+)""))"),"Jardim Olhos DAgua")</f>
        <v>Jardim Olhos DAgua</v>
      </c>
    </row>
    <row r="416" customFormat="false" ht="15.75" hidden="true" customHeight="false" outlineLevel="0" collapsed="false">
      <c r="A416" s="2" t="n">
        <v>231245</v>
      </c>
      <c r="B416" s="2" t="s">
        <v>496</v>
      </c>
      <c r="C416" s="2" t="n">
        <v>3</v>
      </c>
      <c r="D416" s="2" t="n">
        <v>6</v>
      </c>
      <c r="E416" s="2" t="n">
        <v>4</v>
      </c>
      <c r="F416" s="2" t="n">
        <v>237</v>
      </c>
      <c r="G416" s="2" t="s">
        <v>497</v>
      </c>
      <c r="H416" s="2" t="str">
        <f aca="false">IFERROR(__xludf.dummyfunction("IF(I534="""", """", REGEXEXTRACT(I534, ""Padrao/([^/]+)""))"),"Jardim Ilhas do Sul")</f>
        <v>Jardim Ilhas do Sul</v>
      </c>
    </row>
    <row r="417" customFormat="false" ht="15.75" hidden="true" customHeight="false" outlineLevel="0" collapsed="false">
      <c r="A417" s="2" t="n">
        <v>229565</v>
      </c>
      <c r="B417" s="2" t="s">
        <v>498</v>
      </c>
      <c r="C417" s="2" t="n">
        <v>3</v>
      </c>
      <c r="D417" s="2" t="n">
        <v>5</v>
      </c>
      <c r="E417" s="2" t="n">
        <v>4</v>
      </c>
      <c r="F417" s="2" t="n">
        <v>237</v>
      </c>
      <c r="G417" s="2" t="s">
        <v>499</v>
      </c>
      <c r="H417" s="2" t="str">
        <f aca="false">IFERROR(__xludf.dummyfunction("IF(I523="""", """", REGEXEXTRACT(I523, ""Padrao/([^/]+)""))"),"Jardim Ilhas do Sul")</f>
        <v>Jardim Ilhas do Sul</v>
      </c>
    </row>
    <row r="418" customFormat="false" ht="15.75" hidden="true" customHeight="false" outlineLevel="0" collapsed="false">
      <c r="A418" s="2" t="n">
        <v>177431</v>
      </c>
      <c r="B418" s="2" t="s">
        <v>500</v>
      </c>
      <c r="C418" s="2" t="n">
        <v>3</v>
      </c>
      <c r="D418" s="2" t="n">
        <v>6</v>
      </c>
      <c r="E418" s="2" t="n">
        <v>4</v>
      </c>
      <c r="F418" s="2" t="n">
        <v>237</v>
      </c>
      <c r="G418" s="2" t="s">
        <v>501</v>
      </c>
      <c r="H418" s="2" t="str">
        <f aca="false">IFERROR(__xludf.dummyfunction("IF(I535="""", """", REGEXEXTRACT(I535, ""Padrao/([^/]+)""))"),"Jardim Ilhas do Sul")</f>
        <v>Jardim Ilhas do Sul</v>
      </c>
    </row>
    <row r="419" customFormat="false" ht="15.75" hidden="true" customHeight="false" outlineLevel="0" collapsed="false">
      <c r="A419" s="2" t="n">
        <v>237842</v>
      </c>
      <c r="B419" s="2" t="s">
        <v>491</v>
      </c>
      <c r="C419" s="2" t="n">
        <v>2</v>
      </c>
      <c r="D419" s="2" t="n">
        <v>1</v>
      </c>
      <c r="E419" s="2" t="n">
        <v>1</v>
      </c>
      <c r="F419" s="2" t="n">
        <v>42</v>
      </c>
      <c r="G419" s="2" t="s">
        <v>502</v>
      </c>
      <c r="H419" s="2" t="str">
        <f aca="false">IFERROR(__xludf.dummyfunction("IF(I25="""", """", REGEXEXTRACT(I25, ""Padrao/([^/]+)""))"),"Jardim Heitor Rigon")</f>
        <v>Jardim Heitor Rigon</v>
      </c>
    </row>
    <row r="420" customFormat="false" ht="15.75" hidden="true" customHeight="false" outlineLevel="0" collapsed="false">
      <c r="A420" s="2" t="n">
        <v>205103</v>
      </c>
      <c r="B420" s="2" t="s">
        <v>503</v>
      </c>
      <c r="C420" s="2" t="n">
        <v>1</v>
      </c>
      <c r="D420" s="2" t="n">
        <v>1</v>
      </c>
      <c r="E420" s="2" t="n">
        <v>1</v>
      </c>
      <c r="F420" s="2" t="n">
        <v>29</v>
      </c>
      <c r="G420" s="2" t="s">
        <v>502</v>
      </c>
      <c r="H420" s="2" t="str">
        <f aca="false">IFERROR(__xludf.dummyfunction("IF(I26="""", """", REGEXEXTRACT(I26, ""Padrao/([^/]+)""))"),"Jardim Palma Travassos")</f>
        <v>Jardim Palma Travassos</v>
      </c>
    </row>
    <row r="421" customFormat="false" ht="15.75" hidden="true" customHeight="false" outlineLevel="0" collapsed="false">
      <c r="A421" s="2" t="n">
        <v>205097</v>
      </c>
      <c r="B421" s="2" t="s">
        <v>504</v>
      </c>
      <c r="C421" s="2" t="n">
        <v>1</v>
      </c>
      <c r="D421" s="2" t="n">
        <v>1</v>
      </c>
      <c r="E421" s="2" t="n">
        <v>1</v>
      </c>
      <c r="F421" s="2" t="n">
        <v>29</v>
      </c>
      <c r="G421" s="2" t="s">
        <v>502</v>
      </c>
      <c r="H421" s="2" t="str">
        <f aca="false">IFERROR(__xludf.dummyfunction("IF(I27="""", """", REGEXEXTRACT(I27, ""Padrao/([^/]+)""))"),"Jardim Palma Travassos")</f>
        <v>Jardim Palma Travassos</v>
      </c>
    </row>
    <row r="422" customFormat="false" ht="15.75" hidden="true" customHeight="false" outlineLevel="0" collapsed="false">
      <c r="A422" s="2" t="n">
        <v>222980</v>
      </c>
      <c r="B422" s="2" t="s">
        <v>505</v>
      </c>
      <c r="C422" s="2" t="n">
        <v>2</v>
      </c>
      <c r="D422" s="2" t="n">
        <v>1</v>
      </c>
      <c r="E422" s="2" t="n">
        <v>1</v>
      </c>
      <c r="F422" s="2" t="n">
        <v>47</v>
      </c>
      <c r="G422" s="2" t="s">
        <v>502</v>
      </c>
      <c r="H422" s="2" t="str">
        <f aca="false">IFERROR(__xludf.dummyfunction("IF(I161="""", """", REGEXEXTRACT(I161, ""Padrao/([^/]+)""))"),"Jardim Jose Figueira")</f>
        <v>Jardim Jose Figueira</v>
      </c>
    </row>
    <row r="423" customFormat="false" ht="15.75" hidden="true" customHeight="false" outlineLevel="0" collapsed="false">
      <c r="A423" s="2" t="n">
        <v>213800</v>
      </c>
      <c r="B423" s="2" t="s">
        <v>506</v>
      </c>
      <c r="C423" s="2" t="n">
        <v>2</v>
      </c>
      <c r="D423" s="2" t="n">
        <v>2</v>
      </c>
      <c r="E423" s="2" t="n">
        <v>1</v>
      </c>
      <c r="F423" s="2" t="n">
        <v>69</v>
      </c>
      <c r="G423" s="2" t="s">
        <v>502</v>
      </c>
      <c r="H423" s="2" t="str">
        <f aca="false">IFERROR(__xludf.dummyfunction("IF(I162="""", """", REGEXEXTRACT(I162, ""Padrao/([^/]+)""))"),"Jardim Anhanguera")</f>
        <v>Jardim Anhanguera</v>
      </c>
    </row>
    <row r="424" customFormat="false" ht="15.75" hidden="true" customHeight="false" outlineLevel="0" collapsed="false">
      <c r="A424" s="2" t="n">
        <v>151526</v>
      </c>
      <c r="B424" s="2" t="s">
        <v>507</v>
      </c>
      <c r="C424" s="2" t="n">
        <v>1</v>
      </c>
      <c r="D424" s="2" t="n">
        <v>1</v>
      </c>
      <c r="E424" s="2" t="n">
        <v>1</v>
      </c>
      <c r="F424" s="2" t="n">
        <v>46</v>
      </c>
      <c r="G424" s="2" t="s">
        <v>502</v>
      </c>
      <c r="H424" s="2" t="str">
        <f aca="false">IFERROR(__xludf.dummyfunction("IF(I251="""", """", REGEXEXTRACT(I251, ""Padrao/([^/]+)""))"),"Centro")</f>
        <v>Centro</v>
      </c>
    </row>
    <row r="425" customFormat="false" ht="15.75" hidden="true" customHeight="false" outlineLevel="0" collapsed="false">
      <c r="A425" s="2" t="n">
        <v>208142</v>
      </c>
      <c r="B425" s="2" t="s">
        <v>463</v>
      </c>
      <c r="C425" s="2" t="n">
        <v>2</v>
      </c>
      <c r="D425" s="2" t="n">
        <v>1</v>
      </c>
      <c r="E425" s="2" t="n">
        <v>1</v>
      </c>
      <c r="F425" s="2" t="n">
        <v>43</v>
      </c>
      <c r="G425" s="2" t="s">
        <v>502</v>
      </c>
      <c r="H425" s="2" t="str">
        <f aca="false">IFERROR(__xludf.dummyfunction("IF(I280="""", """", REGEXEXTRACT(I280, ""Padrao/([^/]+)""))"),"Reserva Macauba")</f>
        <v>Reserva Macauba</v>
      </c>
    </row>
    <row r="426" customFormat="false" ht="15.75" hidden="true" customHeight="false" outlineLevel="0" collapsed="false">
      <c r="A426" s="2" t="n">
        <v>101228</v>
      </c>
      <c r="B426" s="2" t="s">
        <v>508</v>
      </c>
      <c r="C426" s="2" t="n">
        <v>1</v>
      </c>
      <c r="D426" s="2" t="n">
        <v>1</v>
      </c>
      <c r="E426" s="2" t="n">
        <v>1</v>
      </c>
      <c r="F426" s="2" t="n">
        <v>48</v>
      </c>
      <c r="G426" s="2" t="s">
        <v>509</v>
      </c>
      <c r="H426" s="2" t="str">
        <f aca="false">IFERROR(__xludf.dummyfunction("IF(I422="""", """", REGEXEXTRACT(I422, ""Padrao/([^/]+)""))"),"Centro")</f>
        <v>Centro</v>
      </c>
    </row>
    <row r="427" customFormat="false" ht="15.75" hidden="true" customHeight="false" outlineLevel="0" collapsed="false">
      <c r="A427" s="2" t="n">
        <v>76544</v>
      </c>
      <c r="B427" s="2" t="s">
        <v>510</v>
      </c>
      <c r="C427" s="2" t="n">
        <v>2</v>
      </c>
      <c r="D427" s="2" t="n">
        <v>1</v>
      </c>
      <c r="E427" s="2" t="n">
        <v>1</v>
      </c>
      <c r="F427" s="2" t="n">
        <v>59</v>
      </c>
      <c r="G427" s="2" t="s">
        <v>511</v>
      </c>
      <c r="H427" s="2" t="str">
        <f aca="false">IFERROR(__xludf.dummyfunction("IF(I276="""", """", REGEXEXTRACT(I276, ""Padrao/([^/]+)""))"),"Independencia")</f>
        <v>Independencia</v>
      </c>
    </row>
    <row r="428" customFormat="false" ht="15.75" hidden="true" customHeight="false" outlineLevel="0" collapsed="false">
      <c r="A428" s="2" t="n">
        <v>231905</v>
      </c>
      <c r="B428" s="2" t="s">
        <v>512</v>
      </c>
      <c r="C428" s="2" t="n">
        <v>2</v>
      </c>
      <c r="D428" s="2" t="n">
        <v>1</v>
      </c>
      <c r="E428" s="2" t="n">
        <v>1</v>
      </c>
      <c r="F428" s="2" t="n">
        <v>42</v>
      </c>
      <c r="G428" s="2" t="s">
        <v>513</v>
      </c>
      <c r="H428" s="2" t="str">
        <f aca="false">IFERROR(__xludf.dummyfunction("IF(I244="""", """", REGEXEXTRACT(I244, ""Padrao/([^/]+)""))"),"Jardim Santa Cecilia")</f>
        <v>Jardim Santa Cecilia</v>
      </c>
    </row>
    <row r="429" customFormat="false" ht="15.75" hidden="true" customHeight="false" outlineLevel="0" collapsed="false">
      <c r="A429" s="2" t="n">
        <v>32585</v>
      </c>
      <c r="B429" s="2" t="s">
        <v>514</v>
      </c>
      <c r="C429" s="2" t="n">
        <v>1</v>
      </c>
      <c r="D429" s="2" t="n">
        <v>1</v>
      </c>
      <c r="E429" s="2" t="n">
        <v>1</v>
      </c>
      <c r="F429" s="2" t="n">
        <v>45</v>
      </c>
      <c r="G429" s="2" t="s">
        <v>515</v>
      </c>
      <c r="H429" s="2" t="str">
        <f aca="false">IFERROR(__xludf.dummyfunction("IF(I252="""", """", REGEXEXTRACT(I252, ""Padrao/([^/]+)""))"),"Centro")</f>
        <v>Centro</v>
      </c>
    </row>
    <row r="430" customFormat="false" ht="15.75" hidden="true" customHeight="false" outlineLevel="0" collapsed="false">
      <c r="A430" s="2" t="n">
        <v>214490</v>
      </c>
      <c r="B430" s="2" t="s">
        <v>516</v>
      </c>
      <c r="C430" s="2" t="n">
        <v>1</v>
      </c>
      <c r="D430" s="2" t="n">
        <v>1</v>
      </c>
      <c r="E430" s="2" t="n">
        <v>1</v>
      </c>
      <c r="F430" s="2" t="n">
        <v>46</v>
      </c>
      <c r="G430" s="2" t="s">
        <v>515</v>
      </c>
      <c r="H430" s="2" t="str">
        <f aca="false">IFERROR(__xludf.dummyfunction("IF(I404="""", """", REGEXEXTRACT(I404, ""Padrao/([^/]+)""))"),"Jardim Botanico")</f>
        <v>Jardim Botanico</v>
      </c>
    </row>
    <row r="431" customFormat="false" ht="15.75" hidden="true" customHeight="false" outlineLevel="0" collapsed="false">
      <c r="A431" s="2" t="n">
        <v>177458</v>
      </c>
      <c r="B431" s="2" t="s">
        <v>517</v>
      </c>
      <c r="C431" s="2" t="n">
        <v>2</v>
      </c>
      <c r="D431" s="2" t="n">
        <v>1</v>
      </c>
      <c r="E431" s="2" t="n">
        <v>1</v>
      </c>
      <c r="F431" s="2" t="n">
        <v>48</v>
      </c>
      <c r="G431" s="2" t="s">
        <v>518</v>
      </c>
      <c r="H431" s="2" t="str">
        <f aca="false">IFERROR(__xludf.dummyfunction("IF(I28="""", """", REGEXEXTRACT(I28, ""Padrao/([^/]+)""))"),"Jardim Sao Fernando")</f>
        <v>Jardim Sao Fernando</v>
      </c>
    </row>
    <row r="432" customFormat="false" ht="15.75" hidden="true" customHeight="false" outlineLevel="0" collapsed="false">
      <c r="A432" s="2" t="n">
        <v>108008</v>
      </c>
      <c r="B432" s="2" t="s">
        <v>519</v>
      </c>
      <c r="C432" s="2" t="n">
        <v>1</v>
      </c>
      <c r="D432" s="2" t="n">
        <v>1</v>
      </c>
      <c r="E432" s="2" t="n">
        <v>1</v>
      </c>
      <c r="F432" s="2" t="n">
        <v>46</v>
      </c>
      <c r="G432" s="2" t="s">
        <v>518</v>
      </c>
      <c r="H432" s="2" t="str">
        <f aca="false">IFERROR(__xludf.dummyfunction("IF(I29="""", """", REGEXEXTRACT(I29, ""Padrao/([^/]+)""))"),"Centro")</f>
        <v>Centro</v>
      </c>
    </row>
    <row r="433" customFormat="false" ht="15.75" hidden="true" customHeight="false" outlineLevel="0" collapsed="false">
      <c r="A433" s="2" t="n">
        <v>213941</v>
      </c>
      <c r="B433" s="2" t="s">
        <v>520</v>
      </c>
      <c r="C433" s="2" t="n">
        <v>2</v>
      </c>
      <c r="D433" s="2" t="n">
        <v>1</v>
      </c>
      <c r="E433" s="2" t="n">
        <v>1</v>
      </c>
      <c r="F433" s="2" t="n">
        <v>39</v>
      </c>
      <c r="G433" s="2" t="s">
        <v>521</v>
      </c>
      <c r="H433" s="2" t="str">
        <f aca="false">IFERROR(__xludf.dummyfunction("IF(I2="""", """", REGEXEXTRACT(I2, ""Padrao/([^/]+)""))"),"Jardim Diva Tarla de Carvalho")</f>
        <v>Jardim Diva Tarla de Carvalho</v>
      </c>
    </row>
    <row r="434" customFormat="false" ht="15.75" hidden="true" customHeight="false" outlineLevel="0" collapsed="false">
      <c r="A434" s="2" t="n">
        <v>210011</v>
      </c>
      <c r="B434" s="2" t="s">
        <v>522</v>
      </c>
      <c r="C434" s="2" t="n">
        <v>2</v>
      </c>
      <c r="D434" s="2" t="n">
        <v>1</v>
      </c>
      <c r="E434" s="2" t="n">
        <v>1</v>
      </c>
      <c r="F434" s="2" t="n">
        <v>46</v>
      </c>
      <c r="G434" s="2" t="s">
        <v>521</v>
      </c>
      <c r="H434" s="2" t="str">
        <f aca="false">IFERROR(__xludf.dummyfunction("IF(I92="""", """", REGEXEXTRACT(I92, ""Padrao/([^/]+)""))"),"Reserva Sul Condominio")</f>
        <v>Reserva Sul Condominio</v>
      </c>
    </row>
    <row r="435" customFormat="false" ht="15.75" hidden="true" customHeight="false" outlineLevel="0" collapsed="false">
      <c r="A435" s="2" t="n">
        <v>99815</v>
      </c>
      <c r="B435" s="2" t="s">
        <v>523</v>
      </c>
      <c r="C435" s="2" t="n">
        <v>2</v>
      </c>
      <c r="D435" s="2" t="n">
        <v>1</v>
      </c>
      <c r="E435" s="2" t="n">
        <v>1</v>
      </c>
      <c r="F435" s="2" t="n">
        <v>53</v>
      </c>
      <c r="G435" s="2" t="s">
        <v>521</v>
      </c>
      <c r="H435" s="2" t="str">
        <f aca="false">IFERROR(__xludf.dummyfunction("IF(I300="""", """", REGEXEXTRACT(I300, ""Padrao/([^/]+)""))"),"Parque dos Bandeirantes")</f>
        <v>Parque dos Bandeirantes</v>
      </c>
    </row>
    <row r="436" customFormat="false" ht="15.75" hidden="true" customHeight="false" outlineLevel="0" collapsed="false">
      <c r="A436" s="2" t="n">
        <v>222716</v>
      </c>
      <c r="B436" s="2" t="s">
        <v>524</v>
      </c>
      <c r="C436" s="2" t="n">
        <v>2</v>
      </c>
      <c r="D436" s="2" t="n">
        <v>1</v>
      </c>
      <c r="E436" s="2" t="n">
        <v>1</v>
      </c>
      <c r="F436" s="2" t="n">
        <v>43</v>
      </c>
      <c r="G436" s="2" t="s">
        <v>525</v>
      </c>
      <c r="H436" s="2" t="str">
        <f aca="false">IFERROR(__xludf.dummyfunction("IF(I301="""", """", REGEXEXTRACT(I301, ""Padrao/([^/]+)""))"),"Loteamento Santa Marta")</f>
        <v>Loteamento Santa Marta</v>
      </c>
    </row>
    <row r="437" customFormat="false" ht="15.75" hidden="true" customHeight="false" outlineLevel="0" collapsed="false">
      <c r="A437" s="2" t="n">
        <v>179675</v>
      </c>
      <c r="B437" s="2" t="s">
        <v>526</v>
      </c>
      <c r="C437" s="2" t="n">
        <v>2</v>
      </c>
      <c r="D437" s="2" t="n">
        <v>2</v>
      </c>
      <c r="E437" s="2" t="n">
        <v>1</v>
      </c>
      <c r="F437" s="2" t="n">
        <v>56</v>
      </c>
      <c r="G437" s="2" t="s">
        <v>527</v>
      </c>
      <c r="H437" s="2" t="str">
        <f aca="false">IFERROR(__xludf.dummyfunction("IF(I320="""", """", REGEXEXTRACT(I320, ""Padrao/([^/]+)""))"),"Chacaras Pedro Correa de Carvalho")</f>
        <v>Chacaras Pedro Correa de Carvalho</v>
      </c>
    </row>
    <row r="438" customFormat="false" ht="15.75" hidden="true" customHeight="false" outlineLevel="0" collapsed="false">
      <c r="A438" s="2" t="n">
        <v>140462</v>
      </c>
      <c r="B438" s="2" t="s">
        <v>528</v>
      </c>
      <c r="C438" s="2" t="n">
        <v>2</v>
      </c>
      <c r="D438" s="2" t="n">
        <v>1</v>
      </c>
      <c r="E438" s="2" t="n">
        <v>1</v>
      </c>
      <c r="F438" s="2" t="n">
        <v>49</v>
      </c>
      <c r="G438" s="2" t="s">
        <v>529</v>
      </c>
      <c r="H438" s="2" t="str">
        <f aca="false">IFERROR(__xludf.dummyfunction("IF(I386="""", """", REGEXEXTRACT(I386, ""Padrao/([^/]+)""))"),"Jardim Ouro Branco")</f>
        <v>Jardim Ouro Branco</v>
      </c>
    </row>
    <row r="439" customFormat="false" ht="15.75" hidden="true" customHeight="false" outlineLevel="0" collapsed="false">
      <c r="A439" s="2" t="n">
        <v>144257</v>
      </c>
      <c r="B439" s="2" t="s">
        <v>530</v>
      </c>
      <c r="C439" s="2" t="n">
        <v>2</v>
      </c>
      <c r="D439" s="2" t="n">
        <v>1</v>
      </c>
      <c r="E439" s="2" t="n">
        <v>1</v>
      </c>
      <c r="F439" s="2" t="n">
        <v>54</v>
      </c>
      <c r="G439" s="2" t="s">
        <v>531</v>
      </c>
      <c r="H439" s="2" t="str">
        <f aca="false">IFERROR(__xludf.dummyfunction("IF(I489="""", """", REGEXEXTRACT(I489, ""Padrao/([^/]+)""))"),"Parque Industrial Lagoinha")</f>
        <v>Parque Industrial Lagoinha</v>
      </c>
    </row>
    <row r="440" customFormat="false" ht="15.75" hidden="true" customHeight="false" outlineLevel="0" collapsed="false">
      <c r="A440" s="2" t="n">
        <v>215207</v>
      </c>
      <c r="B440" s="2" t="s">
        <v>532</v>
      </c>
      <c r="C440" s="2" t="n">
        <v>2</v>
      </c>
      <c r="D440" s="2" t="n">
        <v>1</v>
      </c>
      <c r="E440" s="2" t="n">
        <v>1</v>
      </c>
      <c r="F440" s="2" t="n">
        <v>42</v>
      </c>
      <c r="G440" s="2" t="s">
        <v>533</v>
      </c>
      <c r="H440" s="2" t="str">
        <f aca="false">IFERROR(__xludf.dummyfunction("IF(I30="""", """", REGEXEXTRACT(I30, ""Padrao/([^/]+)""))"),"Residencial Parque dos Servidores")</f>
        <v>Residencial Parque dos Servidores</v>
      </c>
    </row>
    <row r="441" customFormat="false" ht="15.75" hidden="true" customHeight="false" outlineLevel="0" collapsed="false">
      <c r="A441" s="2" t="n">
        <v>241955</v>
      </c>
      <c r="B441" s="2" t="s">
        <v>534</v>
      </c>
      <c r="C441" s="2" t="n">
        <v>2</v>
      </c>
      <c r="D441" s="2" t="n">
        <v>2</v>
      </c>
      <c r="E441" s="2" t="n">
        <v>1</v>
      </c>
      <c r="F441" s="2" t="n">
        <v>56</v>
      </c>
      <c r="G441" s="2" t="s">
        <v>533</v>
      </c>
      <c r="H441" s="2" t="str">
        <f aca="false">IFERROR(__xludf.dummyfunction("IF(I122="""", """", REGEXEXTRACT(I122, ""Padrao/([^/]+)""))"),"Chacaras Pedro Correa de Carvalho")</f>
        <v>Chacaras Pedro Correa de Carvalho</v>
      </c>
    </row>
    <row r="442" customFormat="false" ht="15.75" hidden="true" customHeight="false" outlineLevel="0" collapsed="false">
      <c r="A442" s="2" t="n">
        <v>238013</v>
      </c>
      <c r="B442" s="2" t="s">
        <v>535</v>
      </c>
      <c r="C442" s="2" t="n">
        <v>2</v>
      </c>
      <c r="D442" s="2" t="n">
        <v>1</v>
      </c>
      <c r="E442" s="2" t="n">
        <v>1</v>
      </c>
      <c r="F442" s="2" t="n">
        <v>44</v>
      </c>
      <c r="G442" s="2" t="s">
        <v>533</v>
      </c>
      <c r="H442" s="2" t="str">
        <f aca="false">IFERROR(__xludf.dummyfunction("IF(I387="""", """", REGEXEXTRACT(I387, ""Padrao/([^/]+)""))"),"Residencial Greenville")</f>
        <v>Residencial Greenville</v>
      </c>
    </row>
    <row r="443" customFormat="false" ht="15.75" hidden="true" customHeight="false" outlineLevel="0" collapsed="false">
      <c r="A443" s="2" t="n">
        <v>80627</v>
      </c>
      <c r="B443" s="2" t="s">
        <v>536</v>
      </c>
      <c r="C443" s="2" t="n">
        <v>1</v>
      </c>
      <c r="D443" s="2" t="n">
        <v>1</v>
      </c>
      <c r="E443" s="2" t="n">
        <v>1</v>
      </c>
      <c r="F443" s="2" t="n">
        <v>52</v>
      </c>
      <c r="G443" s="2" t="s">
        <v>537</v>
      </c>
      <c r="H443" s="2" t="str">
        <f aca="false">IFERROR(__xludf.dummyfunction("IF(I31="""", """", REGEXEXTRACT(I31, ""Padrao/([^/]+)""))"),"Vila Seixas")</f>
        <v>Vila Seixas</v>
      </c>
    </row>
    <row r="444" customFormat="false" ht="15.75" hidden="true" customHeight="false" outlineLevel="0" collapsed="false">
      <c r="A444" s="2" t="n">
        <v>134555</v>
      </c>
      <c r="B444" s="2" t="s">
        <v>538</v>
      </c>
      <c r="C444" s="2" t="n">
        <v>1</v>
      </c>
      <c r="D444" s="2" t="n">
        <v>1</v>
      </c>
      <c r="E444" s="2" t="n">
        <v>1</v>
      </c>
      <c r="F444" s="2" t="n">
        <v>44</v>
      </c>
      <c r="G444" s="2" t="s">
        <v>537</v>
      </c>
      <c r="H444" s="2" t="str">
        <f aca="false">IFERROR(__xludf.dummyfunction("IF(I245="""", """", REGEXEXTRACT(I245, ""Padrao/([^/]+)""))"),"Jardim Paulista")</f>
        <v>Jardim Paulista</v>
      </c>
    </row>
    <row r="445" customFormat="false" ht="15.75" hidden="true" customHeight="false" outlineLevel="0" collapsed="false">
      <c r="A445" s="2" t="n">
        <v>92267</v>
      </c>
      <c r="B445" s="2" t="s">
        <v>539</v>
      </c>
      <c r="C445" s="2" t="n">
        <v>3</v>
      </c>
      <c r="D445" s="2" t="n">
        <v>2</v>
      </c>
      <c r="E445" s="2" t="n">
        <v>1</v>
      </c>
      <c r="F445" s="2" t="n">
        <v>62</v>
      </c>
      <c r="G445" s="2" t="s">
        <v>537</v>
      </c>
      <c r="H445" s="2" t="str">
        <f aca="false">IFERROR(__xludf.dummyfunction("IF(I367="""", """", REGEXEXTRACT(I367, ""Padrao/([^/]+)""))"),"Presidente Medici")</f>
        <v>Presidente Medici</v>
      </c>
    </row>
    <row r="446" customFormat="false" ht="15.75" hidden="true" customHeight="false" outlineLevel="0" collapsed="false">
      <c r="A446" s="2" t="n">
        <v>202643</v>
      </c>
      <c r="B446" s="2" t="s">
        <v>540</v>
      </c>
      <c r="C446" s="2" t="n">
        <v>1</v>
      </c>
      <c r="D446" s="2" t="n">
        <v>1</v>
      </c>
      <c r="E446" s="2" t="n">
        <v>1</v>
      </c>
      <c r="F446" s="2" t="n">
        <v>42</v>
      </c>
      <c r="G446" s="2" t="s">
        <v>541</v>
      </c>
      <c r="H446" s="2" t="str">
        <f aca="false">IFERROR(__xludf.dummyfunction("IF(I302="""", """", REGEXEXTRACT(I302, ""Padrao/([^/]+)""))"),"Jardim California")</f>
        <v>Jardim California</v>
      </c>
    </row>
    <row r="447" customFormat="false" ht="15.75" hidden="true" customHeight="false" outlineLevel="0" collapsed="false">
      <c r="A447" s="2" t="n">
        <v>67985</v>
      </c>
      <c r="B447" s="2" t="s">
        <v>542</v>
      </c>
      <c r="C447" s="2" t="n">
        <v>3</v>
      </c>
      <c r="D447" s="2" t="n">
        <v>2</v>
      </c>
      <c r="E447" s="2" t="n">
        <v>1</v>
      </c>
      <c r="F447" s="2" t="n">
        <v>90</v>
      </c>
      <c r="G447" s="2" t="s">
        <v>543</v>
      </c>
      <c r="H447" s="2" t="str">
        <f aca="false">IFERROR(__xludf.dummyfunction("IF(I32="""", """", REGEXEXTRACT(I32, ""Padrao/([^/]+)""))"),"Vila Seixas")</f>
        <v>Vila Seixas</v>
      </c>
    </row>
    <row r="448" customFormat="false" ht="15.75" hidden="true" customHeight="false" outlineLevel="0" collapsed="false">
      <c r="A448" s="2" t="n">
        <v>151487</v>
      </c>
      <c r="B448" s="2" t="s">
        <v>544</v>
      </c>
      <c r="C448" s="2" t="n">
        <v>2</v>
      </c>
      <c r="D448" s="2" t="n">
        <v>1</v>
      </c>
      <c r="E448" s="2" t="n">
        <v>1</v>
      </c>
      <c r="F448" s="2" t="n">
        <v>59</v>
      </c>
      <c r="G448" s="2" t="s">
        <v>543</v>
      </c>
      <c r="H448" s="2" t="str">
        <f aca="false">IFERROR(__xludf.dummyfunction("IF(I163="""", """", REGEXEXTRACT(I163, ""Padrao/([^/]+)""))"),"Parque Industrial Lagoinha")</f>
        <v>Parque Industrial Lagoinha</v>
      </c>
    </row>
    <row r="449" customFormat="false" ht="15.75" hidden="true" customHeight="false" outlineLevel="0" collapsed="false">
      <c r="A449" s="2" t="n">
        <v>106730</v>
      </c>
      <c r="B449" s="2" t="s">
        <v>545</v>
      </c>
      <c r="C449" s="2" t="n">
        <v>2</v>
      </c>
      <c r="D449" s="2" t="n">
        <v>2</v>
      </c>
      <c r="E449" s="2" t="n">
        <v>1</v>
      </c>
      <c r="F449" s="2" t="n">
        <v>78</v>
      </c>
      <c r="G449" s="2" t="s">
        <v>543</v>
      </c>
      <c r="H449" s="2" t="str">
        <f aca="false">IFERROR(__xludf.dummyfunction("IF(I343="""", """", REGEXEXTRACT(I343, ""Padrao/([^/]+)""))"),"Centro")</f>
        <v>Centro</v>
      </c>
    </row>
    <row r="450" customFormat="false" ht="15.75" hidden="true" customHeight="false" outlineLevel="0" collapsed="false">
      <c r="A450" s="2" t="n">
        <v>92387</v>
      </c>
      <c r="B450" s="2" t="s">
        <v>546</v>
      </c>
      <c r="C450" s="2" t="n">
        <v>3</v>
      </c>
      <c r="D450" s="2" t="n">
        <v>3</v>
      </c>
      <c r="E450" s="2" t="n">
        <v>1</v>
      </c>
      <c r="F450" s="2" t="n">
        <v>68</v>
      </c>
      <c r="G450" s="2" t="s">
        <v>547</v>
      </c>
      <c r="H450" s="2" t="str">
        <f aca="false">IFERROR(__xludf.dummyfunction("IF(I164="""", """", REGEXEXTRACT(I164, ""Padrao/([^/]+)""))"),"Centro")</f>
        <v>Centro</v>
      </c>
    </row>
    <row r="451" customFormat="false" ht="15.75" hidden="true" customHeight="false" outlineLevel="0" collapsed="false">
      <c r="A451" s="2" t="n">
        <v>121742</v>
      </c>
      <c r="B451" s="2" t="s">
        <v>548</v>
      </c>
      <c r="C451" s="2" t="n">
        <v>2</v>
      </c>
      <c r="D451" s="2" t="n">
        <v>1</v>
      </c>
      <c r="E451" s="2" t="n">
        <v>1</v>
      </c>
      <c r="F451" s="2" t="n">
        <v>47</v>
      </c>
      <c r="G451" s="2" t="s">
        <v>549</v>
      </c>
      <c r="H451" s="2" t="str">
        <f aca="false">IFERROR(__xludf.dummyfunction("IF(I303="""", """", REGEXEXTRACT(I303, ""Padrao/([^/]+)""))"),"Residencial Greenville")</f>
        <v>Residencial Greenville</v>
      </c>
    </row>
    <row r="452" customFormat="false" ht="15.75" hidden="true" customHeight="false" outlineLevel="0" collapsed="false">
      <c r="A452" s="2" t="n">
        <v>210491</v>
      </c>
      <c r="B452" s="2" t="s">
        <v>550</v>
      </c>
      <c r="C452" s="2" t="n">
        <v>1</v>
      </c>
      <c r="D452" s="2" t="n">
        <v>2</v>
      </c>
      <c r="E452" s="2" t="n">
        <v>2</v>
      </c>
      <c r="F452" s="2" t="n">
        <v>34</v>
      </c>
      <c r="G452" s="2" t="s">
        <v>549</v>
      </c>
      <c r="H452" s="2" t="str">
        <f aca="false">IFERROR(__xludf.dummyfunction("IF(I490="""", """", REGEXEXTRACT(I490, ""Padrao/([^/]+)""))"),"Jardim Iraja")</f>
        <v>Jardim Iraja</v>
      </c>
    </row>
    <row r="453" customFormat="false" ht="15.75" hidden="true" customHeight="false" outlineLevel="0" collapsed="false">
      <c r="A453" s="2" t="n">
        <v>196271</v>
      </c>
      <c r="B453" s="2" t="s">
        <v>551</v>
      </c>
      <c r="C453" s="2" t="n">
        <v>1</v>
      </c>
      <c r="D453" s="2" t="n">
        <v>1</v>
      </c>
      <c r="E453" s="2" t="n">
        <v>1</v>
      </c>
      <c r="F453" s="2" t="n">
        <v>69</v>
      </c>
      <c r="G453" s="2" t="s">
        <v>552</v>
      </c>
      <c r="H453" s="2" t="str">
        <f aca="false">IFERROR(__xludf.dummyfunction("IF(I165="""", """", REGEXEXTRACT(I165, ""Padrao/([^/]+)""))"),"Centro")</f>
        <v>Centro</v>
      </c>
    </row>
    <row r="454" customFormat="false" ht="15.75" hidden="true" customHeight="false" outlineLevel="0" collapsed="false">
      <c r="A454" s="2" t="n">
        <v>115106</v>
      </c>
      <c r="B454" s="2" t="s">
        <v>553</v>
      </c>
      <c r="C454" s="2" t="n">
        <v>2</v>
      </c>
      <c r="D454" s="2" t="n">
        <v>1</v>
      </c>
      <c r="E454" s="2" t="n">
        <v>1</v>
      </c>
      <c r="F454" s="2" t="n">
        <v>59</v>
      </c>
      <c r="G454" s="2" t="s">
        <v>554</v>
      </c>
      <c r="H454" s="2" t="str">
        <f aca="false">IFERROR(__xludf.dummyfunction("IF(I150="""", """", REGEXEXTRACT(I150, ""Padrao/([^/]+)""))"),"Independencia")</f>
        <v>Independencia</v>
      </c>
    </row>
    <row r="455" customFormat="false" ht="15.75" hidden="true" customHeight="false" outlineLevel="0" collapsed="false">
      <c r="A455" s="2" t="n">
        <v>233162</v>
      </c>
      <c r="B455" s="2" t="s">
        <v>555</v>
      </c>
      <c r="C455" s="2" t="n">
        <v>1</v>
      </c>
      <c r="D455" s="2" t="n">
        <v>1</v>
      </c>
      <c r="E455" s="2" t="n">
        <v>1</v>
      </c>
      <c r="F455" s="2" t="n">
        <v>32</v>
      </c>
      <c r="G455" s="2" t="s">
        <v>554</v>
      </c>
      <c r="H455" s="2" t="str">
        <f aca="false">IFERROR(__xludf.dummyfunction("IF(I246="""", """", REGEXEXTRACT(I246, ""Padrao/([^/]+)""))"),"Nova Ribeirania")</f>
        <v>Nova Ribeirania</v>
      </c>
    </row>
    <row r="456" customFormat="false" ht="15.75" hidden="true" customHeight="false" outlineLevel="0" collapsed="false">
      <c r="A456" s="2" t="n">
        <v>162326</v>
      </c>
      <c r="B456" s="2" t="s">
        <v>478</v>
      </c>
      <c r="C456" s="2" t="n">
        <v>2</v>
      </c>
      <c r="D456" s="2" t="n">
        <v>1</v>
      </c>
      <c r="E456" s="2" t="n">
        <v>1</v>
      </c>
      <c r="F456" s="2" t="n">
        <v>42</v>
      </c>
      <c r="G456" s="2" t="s">
        <v>554</v>
      </c>
      <c r="H456" s="2" t="str">
        <f aca="false">IFERROR(__xludf.dummyfunction("IF(I247="""", """", REGEXEXTRACT(I247, ""Padrao/([^/]+)""))"),"Residencial Parque dos Servidores")</f>
        <v>Residencial Parque dos Servidores</v>
      </c>
    </row>
    <row r="457" customFormat="false" ht="15.75" hidden="true" customHeight="false" outlineLevel="0" collapsed="false">
      <c r="A457" s="2" t="n">
        <v>74117</v>
      </c>
      <c r="B457" s="2" t="s">
        <v>556</v>
      </c>
      <c r="C457" s="2" t="n">
        <v>1</v>
      </c>
      <c r="D457" s="2" t="n">
        <v>1</v>
      </c>
      <c r="E457" s="2" t="n">
        <v>1</v>
      </c>
      <c r="F457" s="2" t="n">
        <v>39</v>
      </c>
      <c r="G457" s="2" t="s">
        <v>554</v>
      </c>
      <c r="H457" s="2" t="str">
        <f aca="false">IFERROR(__xludf.dummyfunction("IF(I248="""", """", REGEXEXTRACT(I248, ""Padrao/([^/]+)""))"),"Jardim California")</f>
        <v>Jardim California</v>
      </c>
    </row>
    <row r="458" customFormat="false" ht="15.75" hidden="true" customHeight="false" outlineLevel="0" collapsed="false">
      <c r="A458" s="2" t="n">
        <v>216728</v>
      </c>
      <c r="B458" s="2" t="s">
        <v>557</v>
      </c>
      <c r="C458" s="2" t="n">
        <v>2</v>
      </c>
      <c r="D458" s="2" t="n">
        <v>2</v>
      </c>
      <c r="E458" s="2" t="n">
        <v>1</v>
      </c>
      <c r="F458" s="2" t="n">
        <v>66</v>
      </c>
      <c r="G458" s="2" t="s">
        <v>554</v>
      </c>
      <c r="H458" s="2" t="str">
        <f aca="false">IFERROR(__xludf.dummyfunction("IF(I304="""", """", REGEXEXTRACT(I304, ""Padrao/([^/]+)""))"),"Centro")</f>
        <v>Centro</v>
      </c>
    </row>
    <row r="459" customFormat="false" ht="15.75" hidden="true" customHeight="false" outlineLevel="0" collapsed="false">
      <c r="A459" s="2" t="n">
        <v>241628</v>
      </c>
      <c r="B459" s="2" t="s">
        <v>558</v>
      </c>
      <c r="C459" s="2" t="n">
        <v>2</v>
      </c>
      <c r="D459" s="2" t="n">
        <v>1</v>
      </c>
      <c r="E459" s="2" t="n">
        <v>1</v>
      </c>
      <c r="F459" s="2" t="n">
        <v>54</v>
      </c>
      <c r="G459" s="2" t="s">
        <v>554</v>
      </c>
      <c r="H459" s="2" t="str">
        <f aca="false">IFERROR(__xludf.dummyfunction("IF(I341="""", """", REGEXEXTRACT(I341, ""Padrao/([^/]+)""))"),"Reserva Sul Condominio")</f>
        <v>Reserva Sul Condominio</v>
      </c>
    </row>
    <row r="460" customFormat="false" ht="15.75" hidden="true" customHeight="false" outlineLevel="0" collapsed="false">
      <c r="A460" s="2" t="n">
        <v>89372</v>
      </c>
      <c r="B460" s="2" t="s">
        <v>559</v>
      </c>
      <c r="C460" s="2" t="n">
        <v>1</v>
      </c>
      <c r="D460" s="2" t="n">
        <v>1</v>
      </c>
      <c r="E460" s="2" t="n">
        <v>1</v>
      </c>
      <c r="F460" s="2" t="n">
        <v>34</v>
      </c>
      <c r="G460" s="2" t="s">
        <v>554</v>
      </c>
      <c r="H460" s="2" t="str">
        <f aca="false">IFERROR(__xludf.dummyfunction("IF(I344="""", """", REGEXEXTRACT(I344, ""Padrao/([^/]+)""))"),"Jardim Iraja")</f>
        <v>Jardim Iraja</v>
      </c>
    </row>
    <row r="461" customFormat="false" ht="15.75" hidden="true" customHeight="false" outlineLevel="0" collapsed="false">
      <c r="A461" s="2" t="n">
        <v>122543</v>
      </c>
      <c r="B461" s="2" t="s">
        <v>560</v>
      </c>
      <c r="C461" s="2" t="n">
        <v>2</v>
      </c>
      <c r="D461" s="2" t="n">
        <v>1</v>
      </c>
      <c r="E461" s="2" t="n">
        <v>1</v>
      </c>
      <c r="F461" s="2" t="n">
        <v>45</v>
      </c>
      <c r="G461" s="2" t="s">
        <v>561</v>
      </c>
      <c r="H461" s="2" t="str">
        <f aca="false">IFERROR(__xludf.dummyfunction("IF(I342="""", """", REGEXEXTRACT(I342, ""Padrao/([^/]+)""))"),"Jardim Manoel Penna")</f>
        <v>Jardim Manoel Penna</v>
      </c>
    </row>
    <row r="462" customFormat="false" ht="15.75" hidden="true" customHeight="false" outlineLevel="0" collapsed="false">
      <c r="A462" s="2" t="n">
        <v>164219</v>
      </c>
      <c r="B462" s="2" t="s">
        <v>517</v>
      </c>
      <c r="C462" s="2" t="n">
        <v>2</v>
      </c>
      <c r="D462" s="2" t="n">
        <v>1</v>
      </c>
      <c r="E462" s="2" t="n">
        <v>1</v>
      </c>
      <c r="F462" s="2" t="n">
        <v>48</v>
      </c>
      <c r="G462" s="2" t="s">
        <v>562</v>
      </c>
      <c r="H462" s="2" t="str">
        <f aca="false">IFERROR(__xludf.dummyfunction("IF(I249="""", """", REGEXEXTRACT(I249, ""Padrao/([^/]+)""))"),"Jardim Sao Fernando")</f>
        <v>Jardim Sao Fernando</v>
      </c>
    </row>
    <row r="463" customFormat="false" ht="15.75" hidden="true" customHeight="false" outlineLevel="0" collapsed="false">
      <c r="A463" s="2" t="n">
        <v>201494</v>
      </c>
      <c r="B463" s="2" t="s">
        <v>563</v>
      </c>
      <c r="C463" s="2" t="n">
        <v>2</v>
      </c>
      <c r="D463" s="2" t="n">
        <v>1</v>
      </c>
      <c r="E463" s="2" t="n">
        <v>1</v>
      </c>
      <c r="F463" s="2" t="n">
        <v>49</v>
      </c>
      <c r="G463" s="2" t="s">
        <v>564</v>
      </c>
      <c r="H463" s="2" t="str">
        <f aca="false">IFERROR(__xludf.dummyfunction("IF(I365="""", """", REGEXEXTRACT(I365, ""Padrao/([^/]+)""))"),"Campos Eliseos")</f>
        <v>Campos Eliseos</v>
      </c>
    </row>
    <row r="464" customFormat="false" ht="15.75" hidden="true" customHeight="false" outlineLevel="0" collapsed="false">
      <c r="A464" s="2" t="n">
        <v>66623</v>
      </c>
      <c r="B464" s="2" t="s">
        <v>565</v>
      </c>
      <c r="C464" s="2" t="n">
        <v>2</v>
      </c>
      <c r="D464" s="2" t="n">
        <v>1</v>
      </c>
      <c r="E464" s="2" t="n">
        <v>1</v>
      </c>
      <c r="F464" s="2" t="n">
        <v>58</v>
      </c>
      <c r="G464" s="2" t="s">
        <v>566</v>
      </c>
      <c r="H464" s="2" t="str">
        <f aca="false">IFERROR(__xludf.dummyfunction("IF(I93="""", """", REGEXEXTRACT(I93, ""Padrao/([^/]+)""))"),"Jardim Paulista")</f>
        <v>Jardim Paulista</v>
      </c>
    </row>
    <row r="465" customFormat="false" ht="15.75" hidden="true" customHeight="false" outlineLevel="0" collapsed="false">
      <c r="A465" s="2" t="n">
        <v>106151</v>
      </c>
      <c r="B465" s="2" t="s">
        <v>567</v>
      </c>
      <c r="C465" s="2" t="n">
        <v>2</v>
      </c>
      <c r="D465" s="2" t="n">
        <v>2</v>
      </c>
      <c r="E465" s="2" t="n">
        <v>2</v>
      </c>
      <c r="F465" s="2" t="n">
        <v>62</v>
      </c>
      <c r="G465" s="2" t="s">
        <v>566</v>
      </c>
      <c r="H465" s="2" t="str">
        <f aca="false">IFERROR(__xludf.dummyfunction("IF(I151="""", """", REGEXEXTRACT(I151, ""Padrao/([^/]+)""))"),"Residencial e Comercial Palmares")</f>
        <v>Residencial e Comercial Palmares</v>
      </c>
    </row>
    <row r="466" customFormat="false" ht="15.75" hidden="true" customHeight="false" outlineLevel="0" collapsed="false">
      <c r="A466" s="2" t="n">
        <v>205616</v>
      </c>
      <c r="B466" s="2" t="s">
        <v>568</v>
      </c>
      <c r="C466" s="2" t="n">
        <v>2</v>
      </c>
      <c r="D466" s="2" t="n">
        <v>2</v>
      </c>
      <c r="E466" s="2" t="n">
        <v>1</v>
      </c>
      <c r="F466" s="2" t="n">
        <v>63</v>
      </c>
      <c r="G466" s="2" t="s">
        <v>566</v>
      </c>
      <c r="H466" s="2" t="str">
        <f aca="false">IFERROR(__xludf.dummyfunction("IF(I345="""", """", REGEXEXTRACT(I345, ""Padrao/([^/]+)""))"),"Ipiranga")</f>
        <v>Ipiranga</v>
      </c>
    </row>
    <row r="467" customFormat="false" ht="15.75" hidden="true" customHeight="false" outlineLevel="0" collapsed="false">
      <c r="A467" s="2" t="n">
        <v>191324</v>
      </c>
      <c r="B467" s="2" t="s">
        <v>569</v>
      </c>
      <c r="C467" s="2" t="n">
        <v>2</v>
      </c>
      <c r="D467" s="2" t="n">
        <v>1</v>
      </c>
      <c r="E467" s="2" t="n">
        <v>1</v>
      </c>
      <c r="F467" s="2" t="n">
        <v>49</v>
      </c>
      <c r="G467" s="2" t="s">
        <v>566</v>
      </c>
      <c r="H467" s="2" t="str">
        <f aca="false">IFERROR(__xludf.dummyfunction("IF(I346="""", """", REGEXEXTRACT(I346, ""Padrao/([^/]+)""))"),"Campos Eliseos")</f>
        <v>Campos Eliseos</v>
      </c>
    </row>
    <row r="468" customFormat="false" ht="15.75" hidden="true" customHeight="false" outlineLevel="0" collapsed="false">
      <c r="A468" s="2" t="n">
        <v>157829</v>
      </c>
      <c r="B468" s="2" t="s">
        <v>570</v>
      </c>
      <c r="C468" s="2" t="n">
        <v>2</v>
      </c>
      <c r="D468" s="2" t="n">
        <v>1</v>
      </c>
      <c r="E468" s="2" t="n">
        <v>1</v>
      </c>
      <c r="F468" s="2" t="n">
        <v>56</v>
      </c>
      <c r="G468" s="2" t="s">
        <v>566</v>
      </c>
      <c r="H468" s="2" t="str">
        <f aca="false">IFERROR(__xludf.dummyfunction("IF(I347="""", """", REGEXEXTRACT(I347, ""Padrao/([^/]+)""))"),"Parque Sao Sebastiao")</f>
        <v>Parque Sao Sebastiao</v>
      </c>
    </row>
    <row r="469" customFormat="false" ht="15.75" hidden="true" customHeight="false" outlineLevel="0" collapsed="false">
      <c r="A469" s="2" t="n">
        <v>157823</v>
      </c>
      <c r="B469" s="2" t="s">
        <v>571</v>
      </c>
      <c r="C469" s="2" t="n">
        <v>2</v>
      </c>
      <c r="D469" s="2" t="n">
        <v>1</v>
      </c>
      <c r="E469" s="2" t="n">
        <v>1</v>
      </c>
      <c r="F469" s="2" t="n">
        <v>56</v>
      </c>
      <c r="G469" s="2" t="s">
        <v>566</v>
      </c>
      <c r="H469" s="2" t="str">
        <f aca="false">IFERROR(__xludf.dummyfunction("IF(I424="""", """", REGEXEXTRACT(I424, ""Padrao/([^/]+)""))"),"Parque Sao Sebastiao")</f>
        <v>Parque Sao Sebastiao</v>
      </c>
    </row>
    <row r="470" customFormat="false" ht="15.75" hidden="true" customHeight="false" outlineLevel="0" collapsed="false">
      <c r="A470" s="2" t="n">
        <v>117320</v>
      </c>
      <c r="B470" s="2" t="s">
        <v>572</v>
      </c>
      <c r="C470" s="2" t="n">
        <v>1</v>
      </c>
      <c r="D470" s="2" t="n">
        <v>1</v>
      </c>
      <c r="E470" s="2" t="n">
        <v>1</v>
      </c>
      <c r="F470" s="2" t="n">
        <v>34</v>
      </c>
      <c r="G470" s="2" t="s">
        <v>573</v>
      </c>
      <c r="H470" s="2" t="str">
        <f aca="false">IFERROR(__xludf.dummyfunction("IF(I305="""", """", REGEXEXTRACT(I305, ""Padrao/([^/]+)""))"),"Jardim Iraja")</f>
        <v>Jardim Iraja</v>
      </c>
    </row>
    <row r="471" customFormat="false" ht="15.75" hidden="true" customHeight="false" outlineLevel="0" collapsed="false">
      <c r="A471" s="2" t="n">
        <v>234554</v>
      </c>
      <c r="B471" s="2" t="s">
        <v>574</v>
      </c>
      <c r="C471" s="2" t="n">
        <v>2</v>
      </c>
      <c r="D471" s="2" t="n">
        <v>1</v>
      </c>
      <c r="E471" s="2" t="n">
        <v>1</v>
      </c>
      <c r="F471" s="2" t="n">
        <v>48</v>
      </c>
      <c r="G471" s="2" t="s">
        <v>575</v>
      </c>
      <c r="H471" s="2" t="str">
        <f aca="false">IFERROR(__xludf.dummyfunction("IF(I33="""", """", REGEXEXTRACT(I33, ""Padrao/([^/]+)""))"),"Parque das Oliveiras II")</f>
        <v>Parque das Oliveiras II</v>
      </c>
    </row>
    <row r="472" customFormat="false" ht="15.75" hidden="true" customHeight="false" outlineLevel="0" collapsed="false">
      <c r="A472" s="2" t="n">
        <v>220703</v>
      </c>
      <c r="B472" s="2" t="s">
        <v>576</v>
      </c>
      <c r="C472" s="2" t="n">
        <v>2</v>
      </c>
      <c r="D472" s="2" t="n">
        <v>1</v>
      </c>
      <c r="E472" s="2" t="n">
        <v>1</v>
      </c>
      <c r="F472" s="2" t="n">
        <v>43</v>
      </c>
      <c r="G472" s="2" t="s">
        <v>575</v>
      </c>
      <c r="H472" s="2" t="str">
        <f aca="false">IFERROR(__xludf.dummyfunction("IF(I94="""", """", REGEXEXTRACT(I94, ""Padrao/([^/]+)""))"),"Reserva Sao Jose")</f>
        <v>Reserva Sao Jose</v>
      </c>
    </row>
    <row r="473" customFormat="false" ht="15.75" hidden="true" customHeight="false" outlineLevel="0" collapsed="false">
      <c r="A473" s="2" t="n">
        <v>233861</v>
      </c>
      <c r="B473" s="2" t="s">
        <v>577</v>
      </c>
      <c r="C473" s="2" t="n">
        <v>2</v>
      </c>
      <c r="D473" s="2" t="n">
        <v>1</v>
      </c>
      <c r="E473" s="2" t="n">
        <v>1</v>
      </c>
      <c r="F473" s="2" t="n">
        <v>50</v>
      </c>
      <c r="G473" s="2" t="s">
        <v>575</v>
      </c>
      <c r="H473" s="2" t="str">
        <f aca="false">IFERROR(__xludf.dummyfunction("IF(I166="""", """", REGEXEXTRACT(I166, ""Padrao/([^/]+)""))"),"Chacaras Bonacorsi")</f>
        <v>Chacaras Bonacorsi</v>
      </c>
    </row>
    <row r="474" customFormat="false" ht="15.75" hidden="true" customHeight="false" outlineLevel="0" collapsed="false">
      <c r="A474" s="2" t="n">
        <v>60092</v>
      </c>
      <c r="B474" s="2" t="s">
        <v>578</v>
      </c>
      <c r="C474" s="2" t="n">
        <v>2</v>
      </c>
      <c r="D474" s="2" t="n">
        <v>2</v>
      </c>
      <c r="E474" s="2" t="n">
        <v>1</v>
      </c>
      <c r="F474" s="2" t="n">
        <v>65</v>
      </c>
      <c r="G474" s="2" t="s">
        <v>575</v>
      </c>
      <c r="H474" s="2" t="str">
        <f aca="false">IFERROR(__xludf.dummyfunction("IF(I250="""", """", REGEXEXTRACT(I250, ""Padrao/([^/]+)""))"),"Residencial Florida")</f>
        <v>Residencial Florida</v>
      </c>
    </row>
    <row r="475" customFormat="false" ht="15.75" hidden="true" customHeight="false" outlineLevel="0" collapsed="false">
      <c r="A475" s="2" t="n">
        <v>86867</v>
      </c>
      <c r="B475" s="2" t="s">
        <v>579</v>
      </c>
      <c r="C475" s="2" t="n">
        <v>2</v>
      </c>
      <c r="D475" s="2" t="n">
        <v>2</v>
      </c>
      <c r="E475" s="2" t="n">
        <v>1</v>
      </c>
      <c r="F475" s="2" t="n">
        <v>64</v>
      </c>
      <c r="G475" s="2" t="s">
        <v>575</v>
      </c>
      <c r="H475" s="2" t="str">
        <f aca="false">IFERROR(__xludf.dummyfunction("IF(I308="""", """", REGEXEXTRACT(I308, ""Padrao/([^/]+)""))"),"Jardim Paulistano")</f>
        <v>Jardim Paulistano</v>
      </c>
    </row>
    <row r="476" customFormat="false" ht="15.75" hidden="true" customHeight="false" outlineLevel="0" collapsed="false">
      <c r="A476" s="2" t="n">
        <v>126392</v>
      </c>
      <c r="B476" s="2" t="s">
        <v>580</v>
      </c>
      <c r="C476" s="2" t="n">
        <v>1</v>
      </c>
      <c r="D476" s="2" t="n">
        <v>1</v>
      </c>
      <c r="E476" s="2" t="n">
        <v>1</v>
      </c>
      <c r="F476" s="2" t="n">
        <v>37</v>
      </c>
      <c r="G476" s="2" t="s">
        <v>575</v>
      </c>
      <c r="H476" s="2" t="str">
        <f aca="false">IFERROR(__xludf.dummyfunction("IF(I388="""", """", REGEXEXTRACT(I388, ""Padrao/([^/]+)""))"),"Nova Alianca")</f>
        <v>Nova Alianca</v>
      </c>
    </row>
    <row r="477" customFormat="false" ht="15.75" hidden="true" customHeight="false" outlineLevel="0" collapsed="false">
      <c r="A477" s="2" t="n">
        <v>154574</v>
      </c>
      <c r="B477" s="2" t="s">
        <v>581</v>
      </c>
      <c r="C477" s="2" t="n">
        <v>2</v>
      </c>
      <c r="D477" s="2" t="n">
        <v>2</v>
      </c>
      <c r="E477" s="2" t="n">
        <v>1</v>
      </c>
      <c r="F477" s="2" t="n">
        <v>85</v>
      </c>
      <c r="G477" s="2" t="s">
        <v>575</v>
      </c>
      <c r="H477" s="2" t="str">
        <f aca="false">IFERROR(__xludf.dummyfunction("IF(I405="""", """", REGEXEXTRACT(I405, ""Padrao/([^/]+)""))"),"Jardim Zara")</f>
        <v>Jardim Zara</v>
      </c>
    </row>
    <row r="478" customFormat="false" ht="15.75" hidden="true" customHeight="false" outlineLevel="0" collapsed="false">
      <c r="A478" s="2" t="n">
        <v>215369</v>
      </c>
      <c r="B478" s="2" t="s">
        <v>582</v>
      </c>
      <c r="C478" s="2" t="n">
        <v>1</v>
      </c>
      <c r="D478" s="2" t="n">
        <v>1</v>
      </c>
      <c r="E478" s="2" t="n">
        <v>1</v>
      </c>
      <c r="F478" s="2" t="n">
        <v>45</v>
      </c>
      <c r="G478" s="2" t="s">
        <v>575</v>
      </c>
      <c r="H478" s="2" t="str">
        <f aca="false">IFERROR(__xludf.dummyfunction("IF(I440="""", """", REGEXEXTRACT(I440, ""Padrao/([^/]+)""))"),"Nova Alianca")</f>
        <v>Nova Alianca</v>
      </c>
    </row>
    <row r="479" customFormat="false" ht="15.75" hidden="true" customHeight="false" outlineLevel="0" collapsed="false">
      <c r="A479" s="2" t="n">
        <v>161924</v>
      </c>
      <c r="B479" s="2" t="s">
        <v>583</v>
      </c>
      <c r="C479" s="2" t="n">
        <v>1</v>
      </c>
      <c r="D479" s="2" t="n">
        <v>1</v>
      </c>
      <c r="E479" s="2" t="n">
        <v>1</v>
      </c>
      <c r="F479" s="2" t="n">
        <v>40</v>
      </c>
      <c r="G479" s="2" t="s">
        <v>575</v>
      </c>
      <c r="H479" s="2" t="str">
        <f aca="false">IFERROR(__xludf.dummyfunction("IF(I491="""", """", REGEXEXTRACT(I491, ""Padrao/([^/]+)""))"),"Jardim California")</f>
        <v>Jardim California</v>
      </c>
    </row>
    <row r="480" customFormat="false" ht="15.75" hidden="true" customHeight="false" outlineLevel="0" collapsed="false">
      <c r="A480" s="2" t="n">
        <v>135941</v>
      </c>
      <c r="B480" s="2" t="s">
        <v>584</v>
      </c>
      <c r="C480" s="2" t="n">
        <v>2</v>
      </c>
      <c r="D480" s="2" t="n">
        <v>2</v>
      </c>
      <c r="E480" s="2" t="n">
        <v>1</v>
      </c>
      <c r="F480" s="2" t="n">
        <v>87</v>
      </c>
      <c r="G480" s="2" t="s">
        <v>585</v>
      </c>
      <c r="H480" s="2" t="str">
        <f aca="false">IFERROR(__xludf.dummyfunction("IF(I350="""", """", REGEXEXTRACT(I350, ""Padrao/([^/]+)""))"),"Centro")</f>
        <v>Centro</v>
      </c>
    </row>
    <row r="481" customFormat="false" ht="15.75" hidden="true" customHeight="false" outlineLevel="0" collapsed="false">
      <c r="A481" s="2" t="n">
        <v>214322</v>
      </c>
      <c r="B481" s="2" t="s">
        <v>586</v>
      </c>
      <c r="C481" s="2" t="n">
        <v>1</v>
      </c>
      <c r="D481" s="2" t="n">
        <v>1</v>
      </c>
      <c r="E481" s="2" t="n">
        <v>1</v>
      </c>
      <c r="F481" s="2" t="n">
        <v>46</v>
      </c>
      <c r="G481" s="2" t="s">
        <v>585</v>
      </c>
      <c r="H481" s="2" t="str">
        <f aca="false">IFERROR(__xludf.dummyfunction("IF(I382="""", """", REGEXEXTRACT(I382, ""Padrao/([^/]+)""))"),"Jardim Botanico")</f>
        <v>Jardim Botanico</v>
      </c>
    </row>
    <row r="482" customFormat="false" ht="15.75" hidden="true" customHeight="false" outlineLevel="0" collapsed="false">
      <c r="A482" s="2" t="n">
        <v>143705</v>
      </c>
      <c r="B482" s="2" t="s">
        <v>587</v>
      </c>
      <c r="C482" s="2" t="n">
        <v>1</v>
      </c>
      <c r="D482" s="2" t="n">
        <v>1</v>
      </c>
      <c r="E482" s="2" t="n">
        <v>1</v>
      </c>
      <c r="F482" s="2" t="n">
        <v>38</v>
      </c>
      <c r="G482" s="2" t="s">
        <v>588</v>
      </c>
      <c r="H482" s="2" t="str">
        <f aca="false">IFERROR(__xludf.dummyfunction("IF(I306="""", """", REGEXEXTRACT(I306, ""Padrao/([^/]+)""))"),"Sumarezinho")</f>
        <v>Sumarezinho</v>
      </c>
    </row>
    <row r="483" customFormat="false" ht="15.75" hidden="true" customHeight="false" outlineLevel="0" collapsed="false">
      <c r="A483" s="2" t="n">
        <v>201557</v>
      </c>
      <c r="B483" s="2" t="s">
        <v>589</v>
      </c>
      <c r="C483" s="2" t="n">
        <v>3</v>
      </c>
      <c r="D483" s="2" t="n">
        <v>2</v>
      </c>
      <c r="E483" s="2" t="n">
        <v>1</v>
      </c>
      <c r="F483" s="2" t="n">
        <v>91</v>
      </c>
      <c r="G483" s="2" t="s">
        <v>588</v>
      </c>
      <c r="H483" s="2" t="str">
        <f aca="false">IFERROR(__xludf.dummyfunction("IF(I470="""", """", REGEXEXTRACT(I470, ""Padrao/([^/]+)""))"),"Jardim Iraja")</f>
        <v>Jardim Iraja</v>
      </c>
    </row>
    <row r="484" customFormat="false" ht="15.75" hidden="true" customHeight="false" outlineLevel="0" collapsed="false">
      <c r="A484" s="2" t="n">
        <v>204728</v>
      </c>
      <c r="B484" s="2" t="s">
        <v>590</v>
      </c>
      <c r="C484" s="2" t="n">
        <v>1</v>
      </c>
      <c r="D484" s="2" t="n">
        <v>1</v>
      </c>
      <c r="E484" s="2" t="n">
        <v>1</v>
      </c>
      <c r="F484" s="2" t="n">
        <v>40</v>
      </c>
      <c r="G484" s="2" t="s">
        <v>591</v>
      </c>
      <c r="H484" s="2" t="str">
        <f aca="false">IFERROR(__xludf.dummyfunction("IF(I482="""", """", REGEXEXTRACT(I482, ""Padrao/([^/]+)""))"),"Ribeirania")</f>
        <v>Ribeirania</v>
      </c>
    </row>
    <row r="485" customFormat="false" ht="15.75" hidden="true" customHeight="false" outlineLevel="0" collapsed="false">
      <c r="A485" s="2" t="n">
        <v>19652</v>
      </c>
      <c r="B485" s="2" t="s">
        <v>592</v>
      </c>
      <c r="C485" s="2" t="n">
        <v>3</v>
      </c>
      <c r="D485" s="2" t="n">
        <v>2</v>
      </c>
      <c r="E485" s="2" t="n">
        <v>1</v>
      </c>
      <c r="F485" s="2" t="n">
        <v>96</v>
      </c>
      <c r="G485" s="2" t="s">
        <v>593</v>
      </c>
      <c r="H485" s="2" t="str">
        <f aca="false">IFERROR(__xludf.dummyfunction("IF(I401="""", """", REGEXEXTRACT(I401, ""Padrao/([^/]+)""))"),"Jardim Paulista")</f>
        <v>Jardim Paulista</v>
      </c>
    </row>
    <row r="486" customFormat="false" ht="15.75" hidden="true" customHeight="false" outlineLevel="0" collapsed="false">
      <c r="A486" s="2" t="n">
        <v>154085</v>
      </c>
      <c r="B486" s="2" t="s">
        <v>594</v>
      </c>
      <c r="C486" s="2" t="n">
        <v>1</v>
      </c>
      <c r="D486" s="2" t="n">
        <v>1</v>
      </c>
      <c r="E486" s="2" t="n">
        <v>1</v>
      </c>
      <c r="F486" s="2" t="n">
        <v>41</v>
      </c>
      <c r="G486" s="2" t="s">
        <v>595</v>
      </c>
      <c r="H486" s="2" t="str">
        <f aca="false">IFERROR(__xludf.dummyfunction("IF(I95="""", """", REGEXEXTRACT(I95, ""Padrao/([^/]+)""))"),"Vila Seixas")</f>
        <v>Vila Seixas</v>
      </c>
    </row>
    <row r="487" customFormat="false" ht="15.75" hidden="true" customHeight="false" outlineLevel="0" collapsed="false">
      <c r="A487" s="2" t="n">
        <v>208811</v>
      </c>
      <c r="B487" s="2" t="s">
        <v>596</v>
      </c>
      <c r="C487" s="2" t="n">
        <v>2</v>
      </c>
      <c r="D487" s="2" t="n">
        <v>2</v>
      </c>
      <c r="E487" s="2" t="n">
        <v>1</v>
      </c>
      <c r="F487" s="2" t="n">
        <v>58</v>
      </c>
      <c r="G487" s="2" t="s">
        <v>595</v>
      </c>
      <c r="H487" s="2" t="str">
        <f aca="false">IFERROR(__xludf.dummyfunction("IF(I152="""", """", REGEXEXTRACT(I152, ""Padrao/([^/]+)""))"),"Residencial Parque dos Servidores")</f>
        <v>Residencial Parque dos Servidores</v>
      </c>
    </row>
    <row r="488" customFormat="false" ht="15.75" hidden="true" customHeight="false" outlineLevel="0" collapsed="false">
      <c r="A488" s="2" t="n">
        <v>174701</v>
      </c>
      <c r="B488" s="2" t="s">
        <v>597</v>
      </c>
      <c r="C488" s="2" t="n">
        <v>2</v>
      </c>
      <c r="D488" s="2" t="n">
        <v>1</v>
      </c>
      <c r="E488" s="2" t="n">
        <v>1</v>
      </c>
      <c r="F488" s="2" t="n">
        <v>68</v>
      </c>
      <c r="G488" s="2" t="s">
        <v>595</v>
      </c>
      <c r="H488" s="2" t="str">
        <f aca="false">IFERROR(__xludf.dummyfunction("IF(I253="""", """", REGEXEXTRACT(I253, ""Padrao/([^/]+)""))"),"Parque Industrial Lagoinha")</f>
        <v>Parque Industrial Lagoinha</v>
      </c>
    </row>
    <row r="489" customFormat="false" ht="15.75" hidden="true" customHeight="false" outlineLevel="0" collapsed="false">
      <c r="A489" s="2" t="n">
        <v>131537</v>
      </c>
      <c r="B489" s="2" t="s">
        <v>598</v>
      </c>
      <c r="C489" s="2" t="n">
        <v>2</v>
      </c>
      <c r="D489" s="2" t="n">
        <v>2</v>
      </c>
      <c r="E489" s="2" t="n">
        <v>2</v>
      </c>
      <c r="F489" s="2" t="n">
        <v>78</v>
      </c>
      <c r="G489" s="2" t="s">
        <v>595</v>
      </c>
      <c r="H489" s="2" t="str">
        <f aca="false">IFERROR(__xludf.dummyfunction("IF(I307="""", """", REGEXEXTRACT(I307, ""Padrao/([^/]+)""))"),"Alto da Boa Vista")</f>
        <v>Alto da Boa Vista</v>
      </c>
    </row>
    <row r="490" customFormat="false" ht="15.75" hidden="true" customHeight="false" outlineLevel="0" collapsed="false">
      <c r="A490" s="2" t="n">
        <v>62735</v>
      </c>
      <c r="B490" s="2" t="s">
        <v>599</v>
      </c>
      <c r="C490" s="2" t="n">
        <v>3</v>
      </c>
      <c r="D490" s="2" t="n">
        <v>2</v>
      </c>
      <c r="E490" s="2" t="n">
        <v>1</v>
      </c>
      <c r="F490" s="2" t="n">
        <v>62</v>
      </c>
      <c r="G490" s="2" t="s">
        <v>595</v>
      </c>
      <c r="H490" s="2" t="str">
        <f aca="false">IFERROR(__xludf.dummyfunction("IF(I321="""", """", REGEXEXTRACT(I321, ""Padrao/([^/]+)""))"),"Alto do Ipiranga")</f>
        <v>Alto do Ipiranga</v>
      </c>
    </row>
    <row r="491" customFormat="false" ht="15.75" hidden="true" customHeight="false" outlineLevel="0" collapsed="false">
      <c r="A491" s="2" t="n">
        <v>108626</v>
      </c>
      <c r="B491" s="2" t="s">
        <v>600</v>
      </c>
      <c r="C491" s="2" t="n">
        <v>3</v>
      </c>
      <c r="D491" s="2" t="n">
        <v>3</v>
      </c>
      <c r="E491" s="2" t="n">
        <v>1</v>
      </c>
      <c r="F491" s="2" t="n">
        <v>92</v>
      </c>
      <c r="G491" s="2" t="s">
        <v>595</v>
      </c>
      <c r="H491" s="2" t="str">
        <f aca="false">IFERROR(__xludf.dummyfunction("IF(I348="""", """", REGEXEXTRACT(I348, ""Padrao/([^/]+)""))"),"Jardim Sumare")</f>
        <v>Jardim Sumare</v>
      </c>
    </row>
    <row r="492" customFormat="false" ht="15.75" hidden="true" customHeight="false" outlineLevel="0" collapsed="false">
      <c r="A492" s="2" t="n">
        <v>46265</v>
      </c>
      <c r="B492" s="2" t="s">
        <v>601</v>
      </c>
      <c r="C492" s="2" t="n">
        <v>1</v>
      </c>
      <c r="D492" s="2" t="n">
        <v>1</v>
      </c>
      <c r="E492" s="2" t="n">
        <v>1</v>
      </c>
      <c r="F492" s="2" t="n">
        <v>45</v>
      </c>
      <c r="G492" s="2" t="s">
        <v>595</v>
      </c>
      <c r="H492" s="2" t="str">
        <f aca="false">IFERROR(__xludf.dummyfunction("IF(I349="""", """", REGEXEXTRACT(I349, ""Padrao/([^/]+)""))"),"Jardim Paulista")</f>
        <v>Jardim Paulista</v>
      </c>
    </row>
    <row r="493" customFormat="false" ht="15.75" hidden="true" customHeight="false" outlineLevel="0" collapsed="false">
      <c r="A493" s="2" t="n">
        <v>198053</v>
      </c>
      <c r="B493" s="2" t="s">
        <v>602</v>
      </c>
      <c r="C493" s="2" t="n">
        <v>3</v>
      </c>
      <c r="D493" s="2" t="n">
        <v>3</v>
      </c>
      <c r="E493" s="2" t="n">
        <v>1</v>
      </c>
      <c r="F493" s="2" t="n">
        <v>127</v>
      </c>
      <c r="G493" s="2" t="s">
        <v>595</v>
      </c>
      <c r="H493" s="2" t="str">
        <f aca="false">IFERROR(__xludf.dummyfunction("IF(I355="""", """", REGEXEXTRACT(I355, ""Padrao/([^/]+)""))"),"Centro")</f>
        <v>Centro</v>
      </c>
    </row>
    <row r="494" customFormat="false" ht="15.75" hidden="true" customHeight="false" outlineLevel="0" collapsed="false">
      <c r="A494" s="2" t="n">
        <v>61946</v>
      </c>
      <c r="B494" s="2" t="s">
        <v>603</v>
      </c>
      <c r="C494" s="2" t="n">
        <v>3</v>
      </c>
      <c r="D494" s="2" t="n">
        <v>3</v>
      </c>
      <c r="E494" s="2" t="n">
        <v>1</v>
      </c>
      <c r="F494" s="2" t="n">
        <v>85</v>
      </c>
      <c r="G494" s="2" t="s">
        <v>595</v>
      </c>
      <c r="H494" s="2" t="str">
        <f aca="false">IFERROR(__xludf.dummyfunction("IF(I406="""", """", REGEXEXTRACT(I406, ""Padrao/([^/]+)""))"),"Centro")</f>
        <v>Centro</v>
      </c>
    </row>
    <row r="495" customFormat="false" ht="15.75" hidden="true" customHeight="false" outlineLevel="0" collapsed="false">
      <c r="A495" s="2" t="n">
        <v>231632</v>
      </c>
      <c r="B495" s="2" t="s">
        <v>604</v>
      </c>
      <c r="C495" s="2" t="n">
        <v>2</v>
      </c>
      <c r="D495" s="2" t="n">
        <v>2</v>
      </c>
      <c r="E495" s="2" t="n">
        <v>1</v>
      </c>
      <c r="F495" s="2" t="n">
        <v>53</v>
      </c>
      <c r="G495" s="2" t="s">
        <v>595</v>
      </c>
      <c r="H495" s="2" t="str">
        <f aca="false">IFERROR(__xludf.dummyfunction("IF(I420="""", """", REGEXEXTRACT(I420, ""Padrao/([^/]+)""))"),"Parque das Oliveiras II")</f>
        <v>Parque das Oliveiras II</v>
      </c>
    </row>
    <row r="496" customFormat="false" ht="15.75" hidden="true" customHeight="false" outlineLevel="0" collapsed="false">
      <c r="A496" s="2" t="n">
        <v>198362</v>
      </c>
      <c r="B496" s="2" t="s">
        <v>605</v>
      </c>
      <c r="C496" s="2" t="n">
        <v>2</v>
      </c>
      <c r="D496" s="2" t="n">
        <v>1</v>
      </c>
      <c r="E496" s="2" t="n">
        <v>1</v>
      </c>
      <c r="F496" s="2" t="n">
        <v>55</v>
      </c>
      <c r="G496" s="2" t="s">
        <v>595</v>
      </c>
      <c r="H496" s="2" t="str">
        <f aca="false">IFERROR(__xludf.dummyfunction("IF(I425="""", """", REGEXEXTRACT(I425, ""Padrao/([^/]+)""))"),"Campos Eliseos")</f>
        <v>Campos Eliseos</v>
      </c>
    </row>
    <row r="497" customFormat="false" ht="15.75" hidden="true" customHeight="false" outlineLevel="0" collapsed="false">
      <c r="A497" s="2" t="n">
        <v>80747</v>
      </c>
      <c r="B497" s="2" t="s">
        <v>606</v>
      </c>
      <c r="C497" s="2" t="n">
        <v>3</v>
      </c>
      <c r="D497" s="2" t="n">
        <v>2</v>
      </c>
      <c r="E497" s="2" t="n">
        <v>1</v>
      </c>
      <c r="F497" s="2" t="n">
        <v>70</v>
      </c>
      <c r="G497" s="2" t="s">
        <v>595</v>
      </c>
      <c r="H497" s="2" t="str">
        <f aca="false">IFERROR(__xludf.dummyfunction("IF(I452="""", """", REGEXEXTRACT(I452, ""Padrao/([^/]+)""))"),"Independencia")</f>
        <v>Independencia</v>
      </c>
    </row>
    <row r="498" customFormat="false" ht="15.75" hidden="true" customHeight="false" outlineLevel="0" collapsed="false">
      <c r="A498" s="2" t="n">
        <v>88862</v>
      </c>
      <c r="B498" s="2" t="s">
        <v>607</v>
      </c>
      <c r="C498" s="2" t="n">
        <v>3</v>
      </c>
      <c r="D498" s="2" t="n">
        <v>2</v>
      </c>
      <c r="E498" s="2" t="n">
        <v>1</v>
      </c>
      <c r="F498" s="2" t="n">
        <v>69</v>
      </c>
      <c r="G498" s="2" t="s">
        <v>595</v>
      </c>
      <c r="H498" s="2" t="str">
        <f aca="false">IFERROR(__xludf.dummyfunction("IF(I500="""", """", REGEXEXTRACT(I500, ""Padrao/([^/]+)""))"),"Jardim Paulista")</f>
        <v>Jardim Paulista</v>
      </c>
    </row>
    <row r="499" customFormat="false" ht="15.75" hidden="true" customHeight="false" outlineLevel="0" collapsed="false">
      <c r="A499" s="2" t="n">
        <v>200090</v>
      </c>
      <c r="B499" s="2" t="s">
        <v>608</v>
      </c>
      <c r="C499" s="2" t="n">
        <v>2</v>
      </c>
      <c r="D499" s="2" t="n">
        <v>1</v>
      </c>
      <c r="E499" s="2" t="n">
        <v>1</v>
      </c>
      <c r="F499" s="2" t="n">
        <v>52</v>
      </c>
      <c r="G499" s="2" t="s">
        <v>609</v>
      </c>
      <c r="H499" s="2" t="str">
        <f aca="false">IFERROR(__xludf.dummyfunction("IF(I239="""", """", REGEXEXTRACT(I239, ""Padrao/([^/]+)""))"),"Jardim Anhanguera")</f>
        <v>Jardim Anhanguera</v>
      </c>
    </row>
    <row r="500" customFormat="false" ht="15.75" hidden="true" customHeight="false" outlineLevel="0" collapsed="false">
      <c r="A500" s="2" t="n">
        <v>90590</v>
      </c>
      <c r="B500" s="2" t="s">
        <v>610</v>
      </c>
      <c r="C500" s="2" t="n">
        <v>2</v>
      </c>
      <c r="D500" s="2" t="n">
        <v>3</v>
      </c>
      <c r="E500" s="2" t="n">
        <v>1</v>
      </c>
      <c r="F500" s="2" t="n">
        <v>99</v>
      </c>
      <c r="G500" s="2" t="s">
        <v>609</v>
      </c>
      <c r="H500" s="2" t="str">
        <f aca="false">IFERROR(__xludf.dummyfunction("IF(I256="""", """", REGEXEXTRACT(I256, ""Padrao/([^/]+)""))"),"Centro")</f>
        <v>Centro</v>
      </c>
    </row>
    <row r="501" customFormat="false" ht="15.75" hidden="true" customHeight="false" outlineLevel="0" collapsed="false">
      <c r="A501" s="2" t="n">
        <v>99638</v>
      </c>
      <c r="B501" s="2" t="s">
        <v>611</v>
      </c>
      <c r="C501" s="2" t="n">
        <v>3</v>
      </c>
      <c r="D501" s="2" t="n">
        <v>3</v>
      </c>
      <c r="E501" s="2" t="n">
        <v>1</v>
      </c>
      <c r="F501" s="2" t="n">
        <v>120</v>
      </c>
      <c r="G501" s="2" t="s">
        <v>612</v>
      </c>
      <c r="H501" s="2" t="str">
        <f aca="false">IFERROR(__xludf.dummyfunction("IF(I449="""", """", REGEXEXTRACT(I449, ""Padrao/([^/]+)""))"),"Campos Eliseos")</f>
        <v>Campos Eliseos</v>
      </c>
    </row>
    <row r="502" customFormat="false" ht="15.75" hidden="true" customHeight="false" outlineLevel="0" collapsed="false">
      <c r="A502" s="2" t="n">
        <v>85433</v>
      </c>
      <c r="B502" s="2" t="s">
        <v>613</v>
      </c>
      <c r="C502" s="2" t="n">
        <v>3</v>
      </c>
      <c r="D502" s="2" t="n">
        <v>2</v>
      </c>
      <c r="E502" s="2" t="n">
        <v>1</v>
      </c>
      <c r="F502" s="2" t="n">
        <v>97</v>
      </c>
      <c r="G502" s="2" t="s">
        <v>614</v>
      </c>
      <c r="H502" s="2" t="str">
        <f aca="false">IFERROR(__xludf.dummyfunction("IF(I254="""", """", REGEXEXTRACT(I254, ""Padrao/([^/]+)""))"),"Centro")</f>
        <v>Centro</v>
      </c>
    </row>
    <row r="503" customFormat="false" ht="15.75" hidden="true" customHeight="false" outlineLevel="0" collapsed="false">
      <c r="A503" s="2" t="n">
        <v>81878</v>
      </c>
      <c r="B503" s="2" t="s">
        <v>615</v>
      </c>
      <c r="C503" s="2" t="n">
        <v>2</v>
      </c>
      <c r="D503" s="2" t="n">
        <v>2</v>
      </c>
      <c r="E503" s="2" t="n">
        <v>1</v>
      </c>
      <c r="F503" s="2" t="n">
        <v>68</v>
      </c>
      <c r="G503" s="2" t="s">
        <v>614</v>
      </c>
      <c r="H503" s="2" t="str">
        <f aca="false">IFERROR(__xludf.dummyfunction("IF(I255="""", """", REGEXEXTRACT(I255, ""Padrao/([^/]+)""))"),"Centro")</f>
        <v>Centro</v>
      </c>
    </row>
    <row r="504" customFormat="false" ht="15.75" hidden="true" customHeight="false" outlineLevel="0" collapsed="false">
      <c r="A504" s="2" t="n">
        <v>184445</v>
      </c>
      <c r="B504" s="2" t="s">
        <v>616</v>
      </c>
      <c r="C504" s="2" t="n">
        <v>3</v>
      </c>
      <c r="D504" s="2" t="n">
        <v>2</v>
      </c>
      <c r="E504" s="2" t="n">
        <v>1</v>
      </c>
      <c r="F504" s="2" t="n">
        <v>86</v>
      </c>
      <c r="G504" s="2" t="s">
        <v>614</v>
      </c>
      <c r="H504" s="2" t="str">
        <f aca="false">IFERROR(__xludf.dummyfunction("IF(I426="""", """", REGEXEXTRACT(I426, ""Padrao/([^/]+)""))"),"Jardim America")</f>
        <v>Jardim America</v>
      </c>
    </row>
    <row r="505" customFormat="false" ht="15.75" hidden="true" customHeight="false" outlineLevel="0" collapsed="false">
      <c r="A505" s="2" t="n">
        <v>117233</v>
      </c>
      <c r="B505" s="2" t="s">
        <v>617</v>
      </c>
      <c r="C505" s="2" t="n">
        <v>4</v>
      </c>
      <c r="D505" s="2" t="n">
        <v>3</v>
      </c>
      <c r="E505" s="2" t="n">
        <v>2</v>
      </c>
      <c r="F505" s="2" t="n">
        <v>140</v>
      </c>
      <c r="G505" s="2" t="s">
        <v>618</v>
      </c>
      <c r="H505" s="2" t="str">
        <f aca="false">IFERROR(__xludf.dummyfunction("IF(I34="""", """", REGEXEXTRACT(I34, ""Padrao/([^/]+)""))"),"Centro")</f>
        <v>Centro</v>
      </c>
    </row>
    <row r="506" customFormat="false" ht="15.75" hidden="true" customHeight="false" outlineLevel="0" collapsed="false">
      <c r="A506" s="2" t="n">
        <v>234761</v>
      </c>
      <c r="B506" s="2" t="s">
        <v>619</v>
      </c>
      <c r="C506" s="2" t="n">
        <v>2</v>
      </c>
      <c r="D506" s="2" t="n">
        <v>2</v>
      </c>
      <c r="E506" s="2" t="n">
        <v>1</v>
      </c>
      <c r="F506" s="2" t="n">
        <v>54</v>
      </c>
      <c r="G506" s="2" t="s">
        <v>618</v>
      </c>
      <c r="H506" s="2" t="str">
        <f aca="false">IFERROR(__xludf.dummyfunction("IF(I389="""", """", REGEXEXTRACT(I389, ""Padrao/([^/]+)""))"),"Jardim Anhanguera")</f>
        <v>Jardim Anhanguera</v>
      </c>
    </row>
    <row r="507" customFormat="false" ht="15.75" hidden="true" customHeight="false" outlineLevel="0" collapsed="false">
      <c r="A507" s="2" t="n">
        <v>198557</v>
      </c>
      <c r="B507" s="2" t="s">
        <v>620</v>
      </c>
      <c r="C507" s="2" t="n">
        <v>2</v>
      </c>
      <c r="D507" s="2" t="n">
        <v>1</v>
      </c>
      <c r="E507" s="2" t="n">
        <v>1</v>
      </c>
      <c r="F507" s="2" t="n">
        <v>43</v>
      </c>
      <c r="G507" s="2" t="s">
        <v>621</v>
      </c>
      <c r="H507" s="2" t="str">
        <f aca="false">IFERROR(__xludf.dummyfunction("IF(I167="""", """", REGEXEXTRACT(I167, ""Padrao/([^/]+)""))"),"Reserva Macauba")</f>
        <v>Reserva Macauba</v>
      </c>
    </row>
    <row r="508" customFormat="false" ht="15.75" hidden="true" customHeight="false" outlineLevel="0" collapsed="false">
      <c r="A508" s="2" t="n">
        <v>225875</v>
      </c>
      <c r="B508" s="2" t="s">
        <v>622</v>
      </c>
      <c r="C508" s="2" t="n">
        <v>1</v>
      </c>
      <c r="D508" s="2" t="n">
        <v>1</v>
      </c>
      <c r="E508" s="2" t="n">
        <v>1</v>
      </c>
      <c r="F508" s="2" t="n">
        <v>39</v>
      </c>
      <c r="G508" s="2" t="s">
        <v>621</v>
      </c>
      <c r="H508" s="2" t="str">
        <f aca="false">IFERROR(__xludf.dummyfunction("IF(I453="""", """", REGEXEXTRACT(I453, ""Padrao/([^/]+)""))"),"Bosque das Juritis")</f>
        <v>Bosque das Juritis</v>
      </c>
    </row>
    <row r="509" customFormat="false" ht="15.75" hidden="true" customHeight="false" outlineLevel="0" collapsed="false">
      <c r="A509" s="2" t="n">
        <v>198740</v>
      </c>
      <c r="B509" s="2" t="s">
        <v>623</v>
      </c>
      <c r="C509" s="2" t="n">
        <v>3</v>
      </c>
      <c r="D509" s="2" t="n">
        <v>2</v>
      </c>
      <c r="E509" s="2" t="n">
        <v>2</v>
      </c>
      <c r="F509" s="2" t="s">
        <v>624</v>
      </c>
      <c r="G509" s="2" t="s">
        <v>621</v>
      </c>
      <c r="H509" s="2" t="str">
        <f aca="false">IFERROR(__xludf.dummyfunction("IF(I454="""", """", REGEXEXTRACT(I454, ""Padrao/([^/]+)""))"),"Jardim Sumare")</f>
        <v>Jardim Sumare</v>
      </c>
    </row>
    <row r="510" customFormat="false" ht="15.75" hidden="true" customHeight="false" outlineLevel="0" collapsed="false">
      <c r="A510" s="2" t="n">
        <v>166865</v>
      </c>
      <c r="B510" s="2" t="s">
        <v>625</v>
      </c>
      <c r="C510" s="2" t="n">
        <v>1</v>
      </c>
      <c r="D510" s="2" t="n">
        <v>1</v>
      </c>
      <c r="E510" s="2" t="n">
        <v>1</v>
      </c>
      <c r="F510" s="2" t="n">
        <v>55</v>
      </c>
      <c r="G510" s="2" t="s">
        <v>626</v>
      </c>
      <c r="H510" s="2" t="str">
        <f aca="false">IFERROR(__xludf.dummyfunction("IF(I168="""", """", REGEXEXTRACT(I168, ""Padrao/([^/]+)""))"),"Vila Seixas")</f>
        <v>Vila Seixas</v>
      </c>
    </row>
    <row r="511" customFormat="false" ht="15.75" hidden="true" customHeight="false" outlineLevel="0" collapsed="false">
      <c r="A511" s="2" t="n">
        <v>210965</v>
      </c>
      <c r="B511" s="2" t="s">
        <v>627</v>
      </c>
      <c r="C511" s="2" t="n">
        <v>2</v>
      </c>
      <c r="D511" s="2" t="n">
        <v>1</v>
      </c>
      <c r="E511" s="2" t="n">
        <v>1</v>
      </c>
      <c r="F511" s="2" t="n">
        <v>48</v>
      </c>
      <c r="G511" s="2" t="s">
        <v>626</v>
      </c>
      <c r="H511" s="2" t="str">
        <f aca="false">IFERROR(__xludf.dummyfunction("IF(I204="""", """", REGEXEXTRACT(I204, ""Padrao/([^/]+)""))"),"Parque das Oliveiras")</f>
        <v>Parque das Oliveiras</v>
      </c>
    </row>
    <row r="512" customFormat="false" ht="15.75" hidden="true" customHeight="false" outlineLevel="0" collapsed="false">
      <c r="A512" s="2" t="n">
        <v>124226</v>
      </c>
      <c r="B512" s="2" t="s">
        <v>613</v>
      </c>
      <c r="C512" s="2" t="n">
        <v>3</v>
      </c>
      <c r="D512" s="2" t="n">
        <v>2</v>
      </c>
      <c r="E512" s="2" t="n">
        <v>1</v>
      </c>
      <c r="F512" s="2" t="n">
        <v>97</v>
      </c>
      <c r="G512" s="2" t="s">
        <v>626</v>
      </c>
      <c r="H512" s="2" t="str">
        <f aca="false">IFERROR(__xludf.dummyfunction("IF(I238="""", """", REGEXEXTRACT(I238, ""Padrao/([^/]+)""))"),"Centro")</f>
        <v>Centro</v>
      </c>
    </row>
    <row r="513" customFormat="false" ht="15.75" hidden="true" customHeight="false" outlineLevel="0" collapsed="false">
      <c r="A513" s="2" t="n">
        <v>22439</v>
      </c>
      <c r="B513" s="2" t="s">
        <v>628</v>
      </c>
      <c r="C513" s="2" t="n">
        <v>3</v>
      </c>
      <c r="D513" s="2" t="n">
        <v>2</v>
      </c>
      <c r="E513" s="2" t="n">
        <v>1</v>
      </c>
      <c r="F513" s="2" t="n">
        <v>92</v>
      </c>
      <c r="G513" s="2" t="s">
        <v>626</v>
      </c>
      <c r="H513" s="2" t="str">
        <f aca="false">IFERROR(__xludf.dummyfunction("IF(I381="""", """", REGEXEXTRACT(I381, ""Padrao/([^/]+)""))"),"Jardim Iraja")</f>
        <v>Jardim Iraja</v>
      </c>
    </row>
    <row r="514" customFormat="false" ht="15.75" hidden="true" customHeight="false" outlineLevel="0" collapsed="false">
      <c r="A514" s="2" t="n">
        <v>105104</v>
      </c>
      <c r="B514" s="2" t="s">
        <v>629</v>
      </c>
      <c r="C514" s="2" t="n">
        <v>2</v>
      </c>
      <c r="D514" s="2" t="n">
        <v>1</v>
      </c>
      <c r="E514" s="2" t="n">
        <v>1</v>
      </c>
      <c r="F514" s="2" t="n">
        <v>47</v>
      </c>
      <c r="G514" s="2" t="s">
        <v>626</v>
      </c>
      <c r="H514" s="2" t="str">
        <f aca="false">IFERROR(__xludf.dummyfunction("IF(I451="""", """", REGEXEXTRACT(I451, ""Padrao/([^/]+)""))"),"Bosque das Juritis")</f>
        <v>Bosque das Juritis</v>
      </c>
    </row>
    <row r="515" customFormat="false" ht="15.75" hidden="true" customHeight="false" outlineLevel="0" collapsed="false">
      <c r="A515" s="2" t="n">
        <v>177137</v>
      </c>
      <c r="B515" s="2" t="s">
        <v>630</v>
      </c>
      <c r="C515" s="2" t="n">
        <v>2</v>
      </c>
      <c r="D515" s="2" t="n">
        <v>3</v>
      </c>
      <c r="E515" s="2" t="n">
        <v>1</v>
      </c>
      <c r="F515" s="2" t="n">
        <v>68</v>
      </c>
      <c r="G515" s="2" t="s">
        <v>626</v>
      </c>
      <c r="H515" s="2" t="str">
        <f aca="false">IFERROR(__xludf.dummyfunction("IF(I455="""", """", REGEXEXTRACT(I455, ""Padrao/([^/]+)""))"),"Vila Seixas")</f>
        <v>Vila Seixas</v>
      </c>
    </row>
    <row r="516" customFormat="false" ht="15.75" hidden="true" customHeight="false" outlineLevel="0" collapsed="false">
      <c r="A516" s="2" t="n">
        <v>61970</v>
      </c>
      <c r="B516" s="2" t="s">
        <v>602</v>
      </c>
      <c r="C516" s="2" t="n">
        <v>3</v>
      </c>
      <c r="D516" s="2" t="n">
        <v>2</v>
      </c>
      <c r="E516" s="2" t="n">
        <v>1</v>
      </c>
      <c r="F516" s="2" t="n">
        <v>85</v>
      </c>
      <c r="G516" s="2" t="s">
        <v>631</v>
      </c>
      <c r="H516" s="2" t="str">
        <f aca="false">IFERROR(__xludf.dummyfunction("IF(I169="""", """", REGEXEXTRACT(I169, ""Padrao/([^/]+)""))"),"Centro")</f>
        <v>Centro</v>
      </c>
    </row>
    <row r="517" customFormat="false" ht="15.75" hidden="true" customHeight="false" outlineLevel="0" collapsed="false">
      <c r="A517" s="2" t="n">
        <v>88103</v>
      </c>
      <c r="B517" s="2" t="s">
        <v>632</v>
      </c>
      <c r="C517" s="2" t="n">
        <v>3</v>
      </c>
      <c r="D517" s="2" t="n">
        <v>2</v>
      </c>
      <c r="E517" s="2" t="n">
        <v>1</v>
      </c>
      <c r="F517" s="2" t="n">
        <v>107</v>
      </c>
      <c r="G517" s="2" t="s">
        <v>631</v>
      </c>
      <c r="H517" s="2" t="str">
        <f aca="false">IFERROR(__xludf.dummyfunction("IF(I206="""", """", REGEXEXTRACT(I206, ""Padrao/([^/]+)""))"),"Centro")</f>
        <v>Centro</v>
      </c>
    </row>
    <row r="518" customFormat="false" ht="15.75" hidden="true" customHeight="false" outlineLevel="0" collapsed="false">
      <c r="A518" s="2" t="n">
        <v>241142</v>
      </c>
      <c r="B518" s="2" t="s">
        <v>633</v>
      </c>
      <c r="C518" s="2" t="n">
        <v>2</v>
      </c>
      <c r="D518" s="2" t="n">
        <v>2</v>
      </c>
      <c r="E518" s="2" t="n">
        <v>1</v>
      </c>
      <c r="F518" s="2" t="n">
        <v>50</v>
      </c>
      <c r="G518" s="2" t="s">
        <v>631</v>
      </c>
      <c r="H518" s="2" t="str">
        <f aca="false">IFERROR(__xludf.dummyfunction("IF(I456="""", """", REGEXEXTRACT(I456, ""Padrao/([^/]+)""))"),"Reserva Sao Jose")</f>
        <v>Reserva Sao Jose</v>
      </c>
    </row>
    <row r="519" customFormat="false" ht="15.75" hidden="true" customHeight="false" outlineLevel="0" collapsed="false">
      <c r="A519" s="2" t="n">
        <v>139550</v>
      </c>
      <c r="B519" s="2" t="s">
        <v>634</v>
      </c>
      <c r="C519" s="2" t="n">
        <v>2</v>
      </c>
      <c r="D519" s="2" t="n">
        <v>2</v>
      </c>
      <c r="E519" s="2" t="n">
        <v>1</v>
      </c>
      <c r="F519" s="2" t="n">
        <v>52</v>
      </c>
      <c r="G519" s="2" t="s">
        <v>631</v>
      </c>
      <c r="H519" s="2" t="str">
        <f aca="false">IFERROR(__xludf.dummyfunction("IF(I498="""", """", REGEXEXTRACT(I498, ""Padrao/([^/]+)""))"),"Quintas de Sao Jose")</f>
        <v>Quintas de Sao Jose</v>
      </c>
    </row>
    <row r="520" customFormat="false" ht="15.75" hidden="true" customHeight="false" outlineLevel="0" collapsed="false">
      <c r="A520" s="2" t="n">
        <v>210389</v>
      </c>
      <c r="B520" s="2" t="s">
        <v>635</v>
      </c>
      <c r="C520" s="2" t="n">
        <v>1</v>
      </c>
      <c r="D520" s="2" t="n">
        <v>1</v>
      </c>
      <c r="E520" s="2" t="n">
        <v>1</v>
      </c>
      <c r="F520" s="2" t="n">
        <v>51</v>
      </c>
      <c r="G520" s="2" t="s">
        <v>636</v>
      </c>
      <c r="H520" s="2" t="str">
        <f aca="false">IFERROR(__xludf.dummyfunction("IF(I351="""", """", REGEXEXTRACT(I351, ""Padrao/([^/]+)""))"),"Centro")</f>
        <v>Centro</v>
      </c>
    </row>
    <row r="521" customFormat="false" ht="15.75" hidden="true" customHeight="false" outlineLevel="0" collapsed="false">
      <c r="A521" s="2" t="n">
        <v>165440</v>
      </c>
      <c r="B521" s="2" t="s">
        <v>637</v>
      </c>
      <c r="C521" s="2" t="n">
        <v>3</v>
      </c>
      <c r="D521" s="2" t="n">
        <v>2</v>
      </c>
      <c r="E521" s="2" t="n">
        <v>1</v>
      </c>
      <c r="F521" s="2" t="n">
        <v>90</v>
      </c>
      <c r="G521" s="2" t="s">
        <v>636</v>
      </c>
      <c r="H521" s="2" t="str">
        <f aca="false">IFERROR(__xludf.dummyfunction("IF(I457="""", """", REGEXEXTRACT(I457, ""Padrao/([^/]+)""))"),"Residencial e Comercial Palmares")</f>
        <v>Residencial e Comercial Palmares</v>
      </c>
    </row>
    <row r="522" customFormat="false" ht="15.75" hidden="true" customHeight="false" outlineLevel="0" collapsed="false">
      <c r="A522" s="2" t="n">
        <v>220997</v>
      </c>
      <c r="B522" s="2" t="s">
        <v>638</v>
      </c>
      <c r="C522" s="2" t="n">
        <v>4</v>
      </c>
      <c r="D522" s="2" t="n">
        <v>3</v>
      </c>
      <c r="E522" s="2" t="n">
        <v>1</v>
      </c>
      <c r="F522" s="2" t="n">
        <v>199</v>
      </c>
      <c r="G522" s="2" t="s">
        <v>639</v>
      </c>
      <c r="H522" s="2" t="str">
        <f aca="false">IFERROR(__xludf.dummyfunction("IF(I170="""", """", REGEXEXTRACT(I170, ""Padrao/([^/]+)""))"),"Centro")</f>
        <v>Centro</v>
      </c>
    </row>
    <row r="523" customFormat="false" ht="15.75" hidden="true" customHeight="false" outlineLevel="0" collapsed="false">
      <c r="A523" s="2" t="n">
        <v>89678</v>
      </c>
      <c r="B523" s="2" t="s">
        <v>640</v>
      </c>
      <c r="C523" s="2" t="n">
        <v>3</v>
      </c>
      <c r="D523" s="2" t="n">
        <v>2</v>
      </c>
      <c r="E523" s="2" t="n">
        <v>2</v>
      </c>
      <c r="F523" s="2" t="n">
        <v>87</v>
      </c>
      <c r="G523" s="2" t="s">
        <v>639</v>
      </c>
      <c r="H523" s="2" t="str">
        <f aca="false">IFERROR(__xludf.dummyfunction("IF(I427="""", """", REGEXEXTRACT(I427, ""Padrao/([^/]+)""))"),"Jardim Paulistano")</f>
        <v>Jardim Paulistano</v>
      </c>
    </row>
    <row r="524" customFormat="false" ht="15.75" hidden="true" customHeight="false" outlineLevel="0" collapsed="false">
      <c r="A524" s="2" t="n">
        <v>240008</v>
      </c>
      <c r="B524" s="2" t="s">
        <v>641</v>
      </c>
      <c r="C524" s="2" t="n">
        <v>2</v>
      </c>
      <c r="D524" s="2" t="n">
        <v>1</v>
      </c>
      <c r="E524" s="2" t="n">
        <v>1</v>
      </c>
      <c r="F524" s="2" t="n">
        <v>48</v>
      </c>
      <c r="G524" s="2" t="s">
        <v>639</v>
      </c>
      <c r="H524" s="2" t="str">
        <f aca="false">IFERROR(__xludf.dummyfunction("IF(I458="""", """", REGEXEXTRACT(I458, ""Padrao/([^/]+)""))"),"Quinta da Primavera")</f>
        <v>Quinta da Primavera</v>
      </c>
    </row>
    <row r="525" customFormat="false" ht="15.75" hidden="true" customHeight="false" outlineLevel="0" collapsed="false">
      <c r="A525" s="2" t="n">
        <v>84668</v>
      </c>
      <c r="B525" s="2" t="s">
        <v>642</v>
      </c>
      <c r="C525" s="2" t="n">
        <v>1</v>
      </c>
      <c r="D525" s="2" t="n">
        <v>1</v>
      </c>
      <c r="E525" s="2" t="n">
        <v>1</v>
      </c>
      <c r="F525" s="2" t="n">
        <v>54</v>
      </c>
      <c r="G525" s="2" t="s">
        <v>639</v>
      </c>
      <c r="H525" s="2" t="str">
        <f aca="false">IFERROR(__xludf.dummyfunction("IF(I459="""", """", REGEXEXTRACT(I459, ""Padrao/([^/]+)""))"),"Jardim Sao Luiz")</f>
        <v>Jardim Sao Luiz</v>
      </c>
    </row>
    <row r="526" customFormat="false" ht="15.75" hidden="true" customHeight="false" outlineLevel="0" collapsed="false">
      <c r="A526" s="2" t="n">
        <v>104351</v>
      </c>
      <c r="B526" s="2" t="s">
        <v>643</v>
      </c>
      <c r="C526" s="2" t="n">
        <v>1</v>
      </c>
      <c r="D526" s="2" t="n">
        <v>2</v>
      </c>
      <c r="E526" s="2" t="n">
        <v>1</v>
      </c>
      <c r="F526" s="2" t="n">
        <v>59</v>
      </c>
      <c r="G526" s="2" t="s">
        <v>644</v>
      </c>
      <c r="H526" s="2" t="str">
        <f aca="false">IFERROR(__xludf.dummyfunction("IF(I352="""", """", REGEXEXTRACT(I352, ""Padrao/([^/]+)""))"),"City Ribeirao")</f>
        <v>City Ribeirao</v>
      </c>
    </row>
    <row r="527" customFormat="false" ht="15.75" hidden="true" customHeight="false" outlineLevel="0" collapsed="false">
      <c r="A527" s="2" t="n">
        <v>104348</v>
      </c>
      <c r="B527" s="2" t="s">
        <v>645</v>
      </c>
      <c r="C527" s="2" t="n">
        <v>1</v>
      </c>
      <c r="D527" s="2" t="n">
        <v>2</v>
      </c>
      <c r="E527" s="2" t="n">
        <v>1</v>
      </c>
      <c r="F527" s="2" t="n">
        <v>60</v>
      </c>
      <c r="G527" s="2" t="s">
        <v>644</v>
      </c>
      <c r="H527" s="2" t="str">
        <f aca="false">IFERROR(__xludf.dummyfunction("IF(I390="""", """", REGEXEXTRACT(I390, ""Padrao/([^/]+)""))"),"City Ribeirao")</f>
        <v>City Ribeirao</v>
      </c>
    </row>
    <row r="528" customFormat="false" ht="15.75" hidden="true" customHeight="false" outlineLevel="0" collapsed="false">
      <c r="A528" s="2" t="n">
        <v>48956</v>
      </c>
      <c r="B528" s="2" t="s">
        <v>605</v>
      </c>
      <c r="C528" s="2" t="n">
        <v>3</v>
      </c>
      <c r="D528" s="2" t="n">
        <v>3</v>
      </c>
      <c r="E528" s="2" t="n">
        <v>1</v>
      </c>
      <c r="F528" s="2" t="n">
        <v>97</v>
      </c>
      <c r="G528" s="2" t="s">
        <v>646</v>
      </c>
      <c r="H528" s="2" t="str">
        <f aca="false">IFERROR(__xludf.dummyfunction("IF(I353="""", """", REGEXEXTRACT(I353, ""Padrao/([^/]+)""))"),"Campos Eliseos")</f>
        <v>Campos Eliseos</v>
      </c>
    </row>
    <row r="529" customFormat="false" ht="15.75" hidden="true" customHeight="false" outlineLevel="0" collapsed="false">
      <c r="A529" s="2" t="n">
        <v>241997</v>
      </c>
      <c r="B529" s="2" t="s">
        <v>647</v>
      </c>
      <c r="C529" s="2" t="n">
        <v>3</v>
      </c>
      <c r="D529" s="2" t="n">
        <v>3</v>
      </c>
      <c r="E529" s="2" t="n">
        <v>1</v>
      </c>
      <c r="F529" s="2" t="n">
        <v>100</v>
      </c>
      <c r="G529" s="2" t="s">
        <v>648</v>
      </c>
      <c r="H529" s="2" t="str">
        <f aca="false">IFERROR(__xludf.dummyfunction("IF(I354="""", """", REGEXEXTRACT(I354, ""Padrao/([^/]+)""))"),"Centro")</f>
        <v>Centro</v>
      </c>
    </row>
    <row r="530" customFormat="false" ht="15.75" hidden="true" customHeight="false" outlineLevel="0" collapsed="false">
      <c r="A530" s="2" t="n">
        <v>137414</v>
      </c>
      <c r="B530" s="2" t="s">
        <v>602</v>
      </c>
      <c r="C530" s="2" t="n">
        <v>3</v>
      </c>
      <c r="D530" s="2" t="n">
        <v>3</v>
      </c>
      <c r="E530" s="2" t="n">
        <v>1</v>
      </c>
      <c r="F530" s="2" t="n">
        <v>103</v>
      </c>
      <c r="G530" s="2" t="s">
        <v>649</v>
      </c>
      <c r="H530" s="2" t="str">
        <f aca="false">IFERROR(__xludf.dummyfunction("IF(I117="""", """", REGEXEXTRACT(I117, ""Padrao/([^/]+)""))"),"Centro")</f>
        <v>Centro</v>
      </c>
    </row>
    <row r="531" customFormat="false" ht="15.75" hidden="true" customHeight="false" outlineLevel="0" collapsed="false">
      <c r="A531" s="2" t="n">
        <v>223322</v>
      </c>
      <c r="B531" s="2" t="s">
        <v>650</v>
      </c>
      <c r="C531" s="2" t="n">
        <v>3</v>
      </c>
      <c r="D531" s="2" t="n">
        <v>4</v>
      </c>
      <c r="E531" s="2" t="n">
        <v>1</v>
      </c>
      <c r="F531" s="2" t="n">
        <v>165</v>
      </c>
      <c r="G531" s="2" t="s">
        <v>649</v>
      </c>
      <c r="H531" s="2" t="str">
        <f aca="false">IFERROR(__xludf.dummyfunction("IF(I460="""", """", REGEXEXTRACT(I460, ""Padrao/([^/]+)""))"),"Centro")</f>
        <v>Centro</v>
      </c>
    </row>
    <row r="532" customFormat="false" ht="15.75" hidden="true" customHeight="false" outlineLevel="0" collapsed="false">
      <c r="A532" s="2" t="n">
        <v>105212</v>
      </c>
      <c r="B532" s="2" t="s">
        <v>651</v>
      </c>
      <c r="C532" s="2" t="n">
        <v>3</v>
      </c>
      <c r="D532" s="2" t="n">
        <v>3</v>
      </c>
      <c r="E532" s="2" t="n">
        <v>2</v>
      </c>
      <c r="F532" s="2" t="n">
        <v>93</v>
      </c>
      <c r="G532" s="2" t="s">
        <v>652</v>
      </c>
      <c r="H532" s="2" t="str">
        <f aca="false">IFERROR(__xludf.dummyfunction("IF(I35="""", """", REGEXEXTRACT(I35, ""Padrao/([^/]+)""))"),"Jardim Botanico")</f>
        <v>Jardim Botanico</v>
      </c>
    </row>
    <row r="533" customFormat="false" ht="15.75" hidden="true" customHeight="false" outlineLevel="0" collapsed="false">
      <c r="A533" s="2" t="n">
        <v>184061</v>
      </c>
      <c r="B533" s="2" t="s">
        <v>10</v>
      </c>
      <c r="C533" s="2" t="n">
        <v>3</v>
      </c>
      <c r="D533" s="2" t="n">
        <v>5</v>
      </c>
      <c r="E533" s="2" t="n">
        <v>2</v>
      </c>
      <c r="F533" s="2" t="n">
        <v>152</v>
      </c>
      <c r="G533" s="2" t="s">
        <v>653</v>
      </c>
      <c r="H533" s="2" t="str">
        <f aca="false">IFERROR(__xludf.dummyfunction("IF(I36="""", """", REGEXEXTRACT(I36, ""Padrao/([^/]+)""))"),"Nova Alianca")</f>
        <v>Nova Alianca</v>
      </c>
    </row>
    <row r="534" customFormat="false" ht="15.75" hidden="true" customHeight="false" outlineLevel="0" collapsed="false">
      <c r="A534" s="2" t="n">
        <v>124619</v>
      </c>
      <c r="B534" s="2" t="s">
        <v>47</v>
      </c>
      <c r="C534" s="2" t="n">
        <v>4</v>
      </c>
      <c r="D534" s="2" t="n">
        <v>4</v>
      </c>
      <c r="E534" s="2" t="n">
        <v>3</v>
      </c>
      <c r="F534" s="2" t="n">
        <v>252</v>
      </c>
      <c r="G534" s="2" t="s">
        <v>654</v>
      </c>
      <c r="H534" s="2" t="str">
        <f aca="false">IFERROR(__xludf.dummyfunction("IF(I99="""", """", REGEXEXTRACT(I99, ""Padrao/([^/]+)""))"),"Centro")</f>
        <v>Centro</v>
      </c>
    </row>
    <row r="535" customFormat="false" ht="15.75" hidden="true" customHeight="false" outlineLevel="0" collapsed="false">
      <c r="A535" s="2" t="n">
        <v>126362</v>
      </c>
      <c r="B535" s="2" t="s">
        <v>655</v>
      </c>
      <c r="C535" s="2" t="n">
        <v>3</v>
      </c>
      <c r="D535" s="2" t="n">
        <v>4</v>
      </c>
      <c r="E535" s="2" t="n">
        <v>2</v>
      </c>
      <c r="F535" s="2" t="n">
        <v>123</v>
      </c>
      <c r="G535" s="2" t="s">
        <v>656</v>
      </c>
      <c r="H535" s="2" t="str">
        <f aca="false">IFERROR(__xludf.dummyfunction("IF(I37="""", """", REGEXEXTRACT(I37, ""Padrao/([^/]+)""))"),"Jardim Botanico")</f>
        <v>Jardim Botanico</v>
      </c>
    </row>
    <row r="536" customFormat="false" ht="15.75" hidden="true" customHeight="false" outlineLevel="0" collapsed="false">
      <c r="A536" s="2" t="n">
        <v>204887</v>
      </c>
      <c r="B536" s="2" t="s">
        <v>657</v>
      </c>
      <c r="C536" s="2" t="n">
        <v>5</v>
      </c>
      <c r="D536" s="2" t="n">
        <v>5</v>
      </c>
      <c r="E536" s="2" t="n">
        <v>3</v>
      </c>
      <c r="F536" s="2" t="n">
        <v>252</v>
      </c>
      <c r="G536" s="2" t="s">
        <v>656</v>
      </c>
      <c r="H536" s="2" t="str">
        <f aca="false">IFERROR(__xludf.dummyfunction("IF(I67="""", """", REGEXEXTRACT(I67, ""Padrao/([^/]+)""))"),"Centro")</f>
        <v>Centro</v>
      </c>
    </row>
    <row r="537" customFormat="false" ht="15.75" hidden="true" customHeight="false" outlineLevel="0" collapsed="false">
      <c r="A537" s="2" t="n">
        <v>187421</v>
      </c>
      <c r="B537" s="2" t="s">
        <v>658</v>
      </c>
      <c r="C537" s="2" t="n">
        <v>3</v>
      </c>
      <c r="D537" s="2" t="n">
        <v>5</v>
      </c>
      <c r="E537" s="2" t="n">
        <v>4</v>
      </c>
      <c r="F537" s="2" t="n">
        <v>131</v>
      </c>
      <c r="G537" s="2" t="s">
        <v>659</v>
      </c>
      <c r="H537" s="2" t="str">
        <f aca="false">IFERROR(__xludf.dummyfunction("IF(I51="""", """", REGEXEXTRACT(I51, ""Padrao/([^/]+)""))"),"Nova Alianca")</f>
        <v>Nova Alianca</v>
      </c>
    </row>
    <row r="538" customFormat="false" ht="15.75" hidden="true" customHeight="false" outlineLevel="0" collapsed="false">
      <c r="A538" s="2" t="n">
        <v>182612</v>
      </c>
      <c r="B538" s="2" t="s">
        <v>660</v>
      </c>
      <c r="C538" s="2" t="n">
        <v>4</v>
      </c>
      <c r="D538" s="2" t="n">
        <v>6</v>
      </c>
      <c r="E538" s="2" t="n">
        <v>3</v>
      </c>
      <c r="F538" s="2" t="n">
        <v>317</v>
      </c>
      <c r="G538" s="2" t="s">
        <v>659</v>
      </c>
      <c r="H538" s="2" t="str">
        <f aca="false">IFERROR(__xludf.dummyfunction("IF(I173="""", """", REGEXEXTRACT(I173, ""Padrao/([^/]+)""))"),"Centro")</f>
        <v>Centro</v>
      </c>
    </row>
    <row r="539" customFormat="false" ht="15.75" hidden="true" customHeight="false" outlineLevel="0" collapsed="false">
      <c r="A539" s="2" t="n">
        <v>243176</v>
      </c>
      <c r="B539" s="2" t="s">
        <v>661</v>
      </c>
      <c r="C539" s="2" t="n">
        <v>3</v>
      </c>
      <c r="D539" s="2" t="n">
        <v>4</v>
      </c>
      <c r="E539" s="2" t="n">
        <v>2</v>
      </c>
      <c r="F539" s="2" t="n">
        <v>131</v>
      </c>
      <c r="G539" s="2" t="s">
        <v>662</v>
      </c>
      <c r="H539" s="2" t="str">
        <f aca="false">IFERROR(__xludf.dummyfunction("IF(I53="""", """", REGEXEXTRACT(I53, ""Padrao/([^/]+)""))"),"Ribeirania")</f>
        <v>Ribeirania</v>
      </c>
    </row>
    <row r="540" customFormat="false" ht="15.75" hidden="true" customHeight="false" outlineLevel="0" collapsed="false">
      <c r="A540" s="2" t="n">
        <v>138428</v>
      </c>
      <c r="B540" s="2" t="s">
        <v>12</v>
      </c>
      <c r="C540" s="2" t="n">
        <v>3</v>
      </c>
      <c r="D540" s="2" t="n">
        <v>5</v>
      </c>
      <c r="E540" s="2" t="n">
        <v>2</v>
      </c>
      <c r="F540" s="2" t="n">
        <v>144</v>
      </c>
      <c r="G540" s="2" t="s">
        <v>662</v>
      </c>
      <c r="H540" s="2" t="str">
        <f aca="false">IFERROR(__xludf.dummyfunction("IF(I100="""", """", REGEXEXTRACT(I100, ""Padrao/([^/]+)""))"),"Jardim Botanico")</f>
        <v>Jardim Botanico</v>
      </c>
    </row>
    <row r="541" customFormat="false" ht="15.75" hidden="true" customHeight="false" outlineLevel="0" collapsed="false">
      <c r="A541" s="2" t="n">
        <v>163016</v>
      </c>
      <c r="B541" s="2" t="s">
        <v>663</v>
      </c>
      <c r="C541" s="2" t="n">
        <v>2</v>
      </c>
      <c r="D541" s="2" t="n">
        <v>3</v>
      </c>
      <c r="E541" s="2" t="n">
        <v>2</v>
      </c>
      <c r="F541" s="2" t="n">
        <v>113</v>
      </c>
      <c r="G541" s="2" t="s">
        <v>664</v>
      </c>
      <c r="H541" s="2" t="str">
        <f aca="false">IFERROR(__xludf.dummyfunction("IF(I140="""", """", REGEXEXTRACT(I140, ""Padrao/([^/]+)""))"),"Jardim Olhos DAgua")</f>
        <v>Jardim Olhos DAgua</v>
      </c>
    </row>
    <row r="542" customFormat="false" ht="15.75" hidden="true" customHeight="false" outlineLevel="0" collapsed="false">
      <c r="A542" s="2" t="n">
        <v>235106</v>
      </c>
      <c r="B542" s="2" t="s">
        <v>665</v>
      </c>
      <c r="C542" s="2" t="n">
        <v>2</v>
      </c>
      <c r="D542" s="2" t="n">
        <v>3</v>
      </c>
      <c r="E542" s="2" t="n">
        <v>2</v>
      </c>
      <c r="F542" s="2" t="n">
        <v>82</v>
      </c>
      <c r="G542" s="2" t="s">
        <v>666</v>
      </c>
      <c r="H542" s="2" t="str">
        <f aca="false">IFERROR(__xludf.dummyfunction("IF(I38="""", """", REGEXEXTRACT(I38, ""Padrao/([^/]+)""))"),"Jardim Olhos DAgua")</f>
        <v>Jardim Olhos DAgua</v>
      </c>
    </row>
    <row r="543" customFormat="false" ht="15.75" hidden="false" customHeight="false" outlineLevel="0" collapsed="false">
      <c r="A543" s="2" t="n">
        <v>179669</v>
      </c>
      <c r="B543" s="2" t="s">
        <v>667</v>
      </c>
      <c r="C543" s="2" t="n">
        <v>2</v>
      </c>
      <c r="D543" s="2" t="n">
        <v>2</v>
      </c>
      <c r="E543" s="2" t="n">
        <v>1</v>
      </c>
      <c r="F543" s="2" t="n">
        <v>56</v>
      </c>
      <c r="G543" s="4" t="n">
        <v>230000</v>
      </c>
      <c r="H543" s="2" t="str">
        <f aca="false">IFERROR(__xludf.dummyfunction("IF(I153="""", """", REGEXEXTRACT(I153, ""Padrao/([^/]+)""))"),"Chacaras Pedro Correa de Carvalho")</f>
        <v>Chacaras Pedro Correa de Carvalho</v>
      </c>
    </row>
    <row r="544" customFormat="false" ht="15.75" hidden="false" customHeight="false" outlineLevel="0" collapsed="false">
      <c r="A544" s="2" t="n">
        <v>182075</v>
      </c>
      <c r="B544" s="2" t="s">
        <v>668</v>
      </c>
      <c r="C544" s="2" t="n">
        <v>2</v>
      </c>
      <c r="D544" s="2" t="n">
        <v>1</v>
      </c>
      <c r="E544" s="2" t="n">
        <v>1</v>
      </c>
      <c r="F544" s="2" t="n">
        <v>42</v>
      </c>
      <c r="G544" s="2" t="s">
        <v>394</v>
      </c>
      <c r="H544" s="2" t="str">
        <f aca="false">IFERROR(__xludf.dummyfunction("IF(I549="""", """", REGEXEXTRACT(I549, ""Padrao/([^/]+)""))"),"Ipiranga")</f>
        <v>Ipiranga</v>
      </c>
    </row>
    <row r="545" customFormat="false" ht="15.75" hidden="false" customHeight="false" outlineLevel="0" collapsed="false">
      <c r="A545" s="2" t="n">
        <v>178154</v>
      </c>
      <c r="B545" s="2" t="s">
        <v>669</v>
      </c>
      <c r="C545" s="2" t="n">
        <v>2</v>
      </c>
      <c r="D545" s="2" t="n">
        <v>1</v>
      </c>
      <c r="E545" s="2" t="n">
        <v>1</v>
      </c>
      <c r="F545" s="2" t="n">
        <v>48</v>
      </c>
      <c r="G545" s="2" t="s">
        <v>394</v>
      </c>
      <c r="H545" s="2" t="str">
        <f aca="false">IFERROR(__xludf.dummyfunction("IF(I550="""", """", REGEXEXTRACT(I550, ""Padrao/([^/]+)""))"),"Quintino Facci II")</f>
        <v>Quintino Facci II</v>
      </c>
    </row>
    <row r="546" customFormat="false" ht="15.75" hidden="false" customHeight="false" outlineLevel="0" collapsed="false">
      <c r="A546" s="2" t="n">
        <v>171017</v>
      </c>
      <c r="B546" s="2" t="s">
        <v>670</v>
      </c>
      <c r="C546" s="2" t="n">
        <v>2</v>
      </c>
      <c r="D546" s="2" t="n">
        <v>1</v>
      </c>
      <c r="E546" s="2" t="n">
        <v>1</v>
      </c>
      <c r="F546" s="2" t="n">
        <v>43</v>
      </c>
      <c r="G546" s="2" t="s">
        <v>394</v>
      </c>
      <c r="H546" s="2" t="str">
        <f aca="false">IFERROR(__xludf.dummyfunction("IF(I551="""", """", REGEXEXTRACT(I551, ""Padrao/([^/]+)""))"),"Residencial das Americas")</f>
        <v>Residencial das Americas</v>
      </c>
    </row>
    <row r="547" customFormat="false" ht="15.75" hidden="false" customHeight="false" outlineLevel="0" collapsed="false">
      <c r="A547" s="2" t="n">
        <v>156347</v>
      </c>
      <c r="B547" s="2" t="s">
        <v>671</v>
      </c>
      <c r="C547" s="2" t="n">
        <v>2</v>
      </c>
      <c r="D547" s="2" t="n">
        <v>1</v>
      </c>
      <c r="E547" s="2" t="n">
        <v>1</v>
      </c>
      <c r="F547" s="2" t="n">
        <v>39</v>
      </c>
      <c r="G547" s="2" t="s">
        <v>394</v>
      </c>
      <c r="H547" s="2" t="str">
        <f aca="false">IFERROR(__xludf.dummyfunction("IF(I552="""", """", REGEXEXTRACT(I552, ""Padrao/([^/]+)""))"),"Residencial das Americas")</f>
        <v>Residencial das Americas</v>
      </c>
    </row>
    <row r="548" customFormat="false" ht="15.75" hidden="false" customHeight="false" outlineLevel="0" collapsed="false">
      <c r="A548" s="2" t="n">
        <v>154742</v>
      </c>
      <c r="B548" s="2" t="s">
        <v>672</v>
      </c>
      <c r="C548" s="2" t="n">
        <v>2</v>
      </c>
      <c r="D548" s="2" t="n">
        <v>1</v>
      </c>
      <c r="E548" s="2" t="n">
        <v>1</v>
      </c>
      <c r="F548" s="2" t="n">
        <v>44</v>
      </c>
      <c r="G548" s="2" t="s">
        <v>394</v>
      </c>
      <c r="H548" s="2" t="str">
        <f aca="false">IFERROR(__xludf.dummyfunction("IF(I553="""", """", REGEXEXTRACT(I553, ""Padrao/([^/]+)""))"),"Jardim California")</f>
        <v>Jardim California</v>
      </c>
    </row>
    <row r="549" customFormat="false" ht="15.75" hidden="false" customHeight="false" outlineLevel="0" collapsed="false">
      <c r="A549" s="2" t="n">
        <v>143399</v>
      </c>
      <c r="B549" s="2" t="s">
        <v>673</v>
      </c>
      <c r="C549" s="2" t="n">
        <v>2</v>
      </c>
      <c r="D549" s="2" t="n">
        <v>1</v>
      </c>
      <c r="E549" s="2" t="n">
        <v>1</v>
      </c>
      <c r="F549" s="2" t="n">
        <v>45</v>
      </c>
      <c r="G549" s="2" t="s">
        <v>394</v>
      </c>
      <c r="H549" s="2" t="str">
        <f aca="false">IFERROR(__xludf.dummyfunction("IF(I554="""", """", REGEXEXTRACT(I554, ""Padrao/([^/]+)""))"),"Jardim Joao Rossi")</f>
        <v>Jardim Joao Rossi</v>
      </c>
    </row>
    <row r="550" customFormat="false" ht="15.75" hidden="false" customHeight="false" outlineLevel="0" collapsed="false">
      <c r="A550" s="2" t="n">
        <v>103847</v>
      </c>
      <c r="B550" s="2" t="s">
        <v>162</v>
      </c>
      <c r="C550" s="2" t="n">
        <v>2</v>
      </c>
      <c r="D550" s="2" t="n">
        <v>1</v>
      </c>
      <c r="E550" s="2" t="n">
        <v>1</v>
      </c>
      <c r="F550" s="2" t="n">
        <v>46</v>
      </c>
      <c r="G550" s="2" t="s">
        <v>394</v>
      </c>
      <c r="H550" s="2" t="str">
        <f aca="false">IFERROR(__xludf.dummyfunction("IF(I555="""", """", REGEXEXTRACT(I555, ""Padrao/([^/]+)""))"),"Jardim das Palmeiras")</f>
        <v>Jardim das Palmeiras</v>
      </c>
    </row>
    <row r="551" customFormat="false" ht="15.75" hidden="false" customHeight="false" outlineLevel="0" collapsed="false">
      <c r="A551" s="2" t="n">
        <v>18845</v>
      </c>
      <c r="B551" s="2" t="s">
        <v>674</v>
      </c>
      <c r="C551" s="2" t="n">
        <v>1</v>
      </c>
      <c r="D551" s="2" t="n">
        <v>1</v>
      </c>
      <c r="E551" s="2" t="n">
        <v>1</v>
      </c>
      <c r="F551" s="2" t="n">
        <v>32</v>
      </c>
      <c r="G551" s="2" t="s">
        <v>394</v>
      </c>
      <c r="H551" s="2" t="str">
        <f aca="false">IFERROR(__xludf.dummyfunction("IF(I556="""", """", REGEXEXTRACT(I556, ""Padrao/([^/]+)""))"),"Campos Eliseos")</f>
        <v>Campos Eliseos</v>
      </c>
    </row>
    <row r="552" customFormat="false" ht="15.75" hidden="false" customHeight="false" outlineLevel="0" collapsed="false">
      <c r="A552" s="2" t="n">
        <v>236630</v>
      </c>
      <c r="B552" s="2" t="s">
        <v>675</v>
      </c>
      <c r="C552" s="2" t="n">
        <v>2</v>
      </c>
      <c r="D552" s="2" t="n">
        <v>1</v>
      </c>
      <c r="E552" s="2" t="n">
        <v>1</v>
      </c>
      <c r="F552" s="2" t="n">
        <v>43</v>
      </c>
      <c r="G552" s="2" t="s">
        <v>676</v>
      </c>
      <c r="H552" s="2" t="str">
        <f aca="false">IFERROR(__xludf.dummyfunction("IF(I557="""", """", REGEXEXTRACT(I557, ""Padrao/([^/]+)""))"),"Condominio Uirapuru")</f>
        <v>Condominio Uirapuru</v>
      </c>
    </row>
    <row r="553" customFormat="false" ht="15.75" hidden="false" customHeight="false" outlineLevel="0" collapsed="false">
      <c r="A553" s="2" t="n">
        <v>146099</v>
      </c>
      <c r="B553" s="2" t="s">
        <v>677</v>
      </c>
      <c r="C553" s="2" t="n">
        <v>2</v>
      </c>
      <c r="D553" s="2" t="n">
        <v>1</v>
      </c>
      <c r="E553" s="2" t="n">
        <v>1</v>
      </c>
      <c r="F553" s="2" t="n">
        <v>42</v>
      </c>
      <c r="G553" s="2" t="s">
        <v>678</v>
      </c>
      <c r="H553" s="2" t="str">
        <f aca="false">IFERROR(__xludf.dummyfunction("IF(I558="""", """", REGEXEXTRACT(I558, ""Padrao/([^/]+)""))"),"Jardim Florestan Fernandes")</f>
        <v>Jardim Florestan Fernandes</v>
      </c>
    </row>
    <row r="554" customFormat="false" ht="15.75" hidden="false" customHeight="false" outlineLevel="0" collapsed="false">
      <c r="A554" s="2" t="n">
        <v>152582</v>
      </c>
      <c r="B554" s="2" t="s">
        <v>679</v>
      </c>
      <c r="C554" s="2" t="n">
        <v>2</v>
      </c>
      <c r="D554" s="2" t="n">
        <v>1</v>
      </c>
      <c r="E554" s="2" t="n">
        <v>1</v>
      </c>
      <c r="F554" s="2" t="n">
        <v>42</v>
      </c>
      <c r="G554" s="2" t="s">
        <v>381</v>
      </c>
      <c r="H554" s="2" t="str">
        <f aca="false">IFERROR(__xludf.dummyfunction("IF(I559="""", """", REGEXEXTRACT(I559, ""Padrao/([^/]+)""))"),"Jardim Zara")</f>
        <v>Jardim Zara</v>
      </c>
    </row>
    <row r="555" customFormat="false" ht="15.75" hidden="false" customHeight="false" outlineLevel="0" collapsed="false">
      <c r="A555" s="2" t="n">
        <v>242195</v>
      </c>
      <c r="B555" s="2" t="s">
        <v>680</v>
      </c>
      <c r="C555" s="2" t="n">
        <v>2</v>
      </c>
      <c r="D555" s="2" t="n">
        <v>1</v>
      </c>
      <c r="E555" s="2" t="n">
        <v>1</v>
      </c>
      <c r="F555" s="2" t="n">
        <v>42</v>
      </c>
      <c r="G555" s="2" t="s">
        <v>681</v>
      </c>
      <c r="H555" s="2" t="str">
        <f aca="false">IFERROR(__xludf.dummyfunction("IF(I560="""", """", REGEXEXTRACT(I560, ""Padrao/([^/]+)""))"),"Quintino Facci II")</f>
        <v>Quintino Facci II</v>
      </c>
    </row>
    <row r="556" customFormat="false" ht="15.75" hidden="false" customHeight="false" outlineLevel="0" collapsed="false">
      <c r="A556" s="2" t="n">
        <v>177101</v>
      </c>
      <c r="B556" s="2" t="s">
        <v>162</v>
      </c>
      <c r="C556" s="2" t="n">
        <v>2</v>
      </c>
      <c r="D556" s="2" t="n">
        <v>1</v>
      </c>
      <c r="E556" s="2" t="n">
        <v>1</v>
      </c>
      <c r="F556" s="2" t="n">
        <v>39</v>
      </c>
      <c r="G556" s="2" t="s">
        <v>681</v>
      </c>
      <c r="H556" s="2" t="str">
        <f aca="false">IFERROR(__xludf.dummyfunction("IF(I561="""", """", REGEXEXTRACT(I561, ""Padrao/([^/]+)""))"),"Residencial das Americas")</f>
        <v>Residencial das Americas</v>
      </c>
    </row>
    <row r="557" customFormat="false" ht="15.75" hidden="false" customHeight="false" outlineLevel="0" collapsed="false">
      <c r="A557" s="2" t="n">
        <v>172877</v>
      </c>
      <c r="B557" s="2" t="s">
        <v>682</v>
      </c>
      <c r="C557" s="2" t="n">
        <v>2</v>
      </c>
      <c r="D557" s="2" t="n">
        <v>1</v>
      </c>
      <c r="E557" s="2" t="n">
        <v>1</v>
      </c>
      <c r="F557" s="2" t="n">
        <v>44</v>
      </c>
      <c r="G557" s="2" t="s">
        <v>681</v>
      </c>
      <c r="H557" s="2" t="str">
        <f aca="false">IFERROR(__xludf.dummyfunction("IF(I562="""", """", REGEXEXTRACT(I562, ""Padrao/([^/]+)""))"),"Jardim Eugenio Mendes Lopes")</f>
        <v>Jardim Eugenio Mendes Lopes</v>
      </c>
    </row>
    <row r="558" customFormat="false" ht="15.75" hidden="false" customHeight="false" outlineLevel="0" collapsed="false">
      <c r="A558" s="2" t="n">
        <v>129977</v>
      </c>
      <c r="B558" s="2" t="s">
        <v>162</v>
      </c>
      <c r="C558" s="2" t="n">
        <v>2</v>
      </c>
      <c r="D558" s="2" t="n">
        <v>1</v>
      </c>
      <c r="E558" s="2" t="n">
        <v>1</v>
      </c>
      <c r="F558" s="2" t="n">
        <v>41</v>
      </c>
      <c r="G558" s="2" t="s">
        <v>681</v>
      </c>
      <c r="H558" s="2" t="str">
        <f aca="false">IFERROR(__xludf.dummyfunction("IF(I563="""", """", REGEXEXTRACT(I563, ""Padrao/([^/]+)""))"),"Conjunto Habitacional Silvio Passalacqua")</f>
        <v>Conjunto Habitacional Silvio Passalacqua</v>
      </c>
    </row>
    <row r="559" customFormat="false" ht="15.75" hidden="false" customHeight="false" outlineLevel="0" collapsed="false">
      <c r="A559" s="2" t="n">
        <v>121811</v>
      </c>
      <c r="B559" s="2" t="s">
        <v>162</v>
      </c>
      <c r="C559" s="2" t="n">
        <v>2</v>
      </c>
      <c r="D559" s="2" t="n">
        <v>1</v>
      </c>
      <c r="E559" s="2" t="n">
        <v>1</v>
      </c>
      <c r="F559" s="2" t="n">
        <v>64</v>
      </c>
      <c r="G559" s="2" t="s">
        <v>681</v>
      </c>
      <c r="H559" s="2" t="str">
        <f aca="false">IFERROR(__xludf.dummyfunction("IF(I564="""", """", REGEXEXTRACT(I564, ""Padrao/([^/]+)""))"),"Residencial Parque dos Servidores")</f>
        <v>Residencial Parque dos Servidores</v>
      </c>
    </row>
    <row r="560" customFormat="false" ht="15.75" hidden="false" customHeight="false" outlineLevel="0" collapsed="false">
      <c r="A560" s="2" t="n">
        <v>53627</v>
      </c>
      <c r="B560" s="2" t="s">
        <v>683</v>
      </c>
      <c r="C560" s="2" t="n">
        <v>1</v>
      </c>
      <c r="D560" s="2" t="n">
        <v>1</v>
      </c>
      <c r="E560" s="2" t="n">
        <v>1</v>
      </c>
      <c r="F560" s="2" t="n">
        <v>43</v>
      </c>
      <c r="G560" s="2" t="s">
        <v>681</v>
      </c>
      <c r="H560" s="2" t="str">
        <f aca="false">IFERROR(__xludf.dummyfunction("IF(I565="""", """", REGEXEXTRACT(I565, ""Padrao/([^/]+)""))"),"Centro")</f>
        <v>Centro</v>
      </c>
    </row>
    <row r="561" customFormat="false" ht="15.75" hidden="false" customHeight="false" outlineLevel="0" collapsed="false">
      <c r="A561" s="2" t="n">
        <v>20318</v>
      </c>
      <c r="B561" s="2" t="s">
        <v>461</v>
      </c>
      <c r="C561" s="2" t="n">
        <v>1</v>
      </c>
      <c r="D561" s="2" t="n">
        <v>1</v>
      </c>
      <c r="E561" s="2" t="n">
        <v>2</v>
      </c>
      <c r="F561" s="2" t="n">
        <v>42</v>
      </c>
      <c r="G561" s="2" t="s">
        <v>681</v>
      </c>
      <c r="H561" s="2" t="str">
        <f aca="false">IFERROR(__xludf.dummyfunction("IF(I566="""", """", REGEXEXTRACT(I566, ""Padrao/([^/]+)""))"),"Centro")</f>
        <v>Centro</v>
      </c>
    </row>
    <row r="562" customFormat="false" ht="15.75" hidden="false" customHeight="false" outlineLevel="0" collapsed="false">
      <c r="A562" s="2" t="n">
        <v>17501</v>
      </c>
      <c r="B562" s="2" t="s">
        <v>684</v>
      </c>
      <c r="C562" s="2" t="n">
        <v>1</v>
      </c>
      <c r="D562" s="2" t="n">
        <v>1</v>
      </c>
      <c r="E562" s="2" t="n">
        <v>1</v>
      </c>
      <c r="F562" s="2" t="n">
        <v>19</v>
      </c>
      <c r="G562" s="2" t="s">
        <v>681</v>
      </c>
      <c r="H562" s="2" t="str">
        <f aca="false">IFERROR(__xludf.dummyfunction("IF(I567="""", """", REGEXEXTRACT(I567, ""Padrao/([^/]+)""))"),"Centro")</f>
        <v>Centro</v>
      </c>
    </row>
    <row r="563" customFormat="false" ht="15.75" hidden="false" customHeight="false" outlineLevel="0" collapsed="false">
      <c r="A563" s="2" t="n">
        <v>123494</v>
      </c>
      <c r="B563" s="2" t="s">
        <v>162</v>
      </c>
      <c r="C563" s="2" t="n">
        <v>1</v>
      </c>
      <c r="D563" s="2" t="n">
        <v>1</v>
      </c>
      <c r="E563" s="2" t="n">
        <v>1</v>
      </c>
      <c r="F563" s="2" t="n">
        <v>38</v>
      </c>
      <c r="G563" s="2" t="s">
        <v>685</v>
      </c>
      <c r="H563" s="2" t="str">
        <f aca="false">IFERROR(__xludf.dummyfunction("IF(I569="""", """", REGEXEXTRACT(I569, ""Padrao/([^/]+)""))"),"Ribeirania")</f>
        <v>Ribeirania</v>
      </c>
    </row>
    <row r="564" customFormat="false" ht="15.75" hidden="false" customHeight="false" outlineLevel="0" collapsed="false">
      <c r="A564" s="2" t="n">
        <v>162614</v>
      </c>
      <c r="B564" s="2" t="s">
        <v>384</v>
      </c>
      <c r="C564" s="2" t="n">
        <v>2</v>
      </c>
      <c r="D564" s="2" t="n">
        <v>1</v>
      </c>
      <c r="E564" s="2" t="n">
        <v>1</v>
      </c>
      <c r="F564" s="2" t="n">
        <v>48</v>
      </c>
      <c r="G564" s="2" t="s">
        <v>686</v>
      </c>
      <c r="H564" s="2" t="str">
        <f aca="false">IFERROR(__xludf.dummyfunction("IF(I570="""", """", REGEXEXTRACT(I570, ""Padrao/([^/]+)""))"),"Ipiranga")</f>
        <v>Ipiranga</v>
      </c>
    </row>
    <row r="565" customFormat="false" ht="15.75" hidden="false" customHeight="false" outlineLevel="0" collapsed="false">
      <c r="A565" s="2" t="n">
        <v>234863</v>
      </c>
      <c r="B565" s="2" t="s">
        <v>687</v>
      </c>
      <c r="C565" s="2" t="n">
        <v>2</v>
      </c>
      <c r="D565" s="2" t="n">
        <v>1</v>
      </c>
      <c r="E565" s="2" t="n">
        <v>1</v>
      </c>
      <c r="F565" s="2" t="n">
        <v>42</v>
      </c>
      <c r="G565" s="2" t="s">
        <v>688</v>
      </c>
      <c r="H565" s="2" t="str">
        <f aca="false">IFERROR(__xludf.dummyfunction("IF(I571="""", """", REGEXEXTRACT(I571, ""Padrao/([^/]+)""))"),"Valentina Figueiredo")</f>
        <v>Valentina Figueiredo</v>
      </c>
    </row>
    <row r="566" customFormat="false" ht="15.75" hidden="false" customHeight="false" outlineLevel="0" collapsed="false">
      <c r="A566" s="2" t="n">
        <v>219701</v>
      </c>
      <c r="B566" s="2" t="s">
        <v>689</v>
      </c>
      <c r="C566" s="2" t="n">
        <v>2</v>
      </c>
      <c r="D566" s="2" t="n">
        <v>1</v>
      </c>
      <c r="E566" s="2" t="n">
        <v>1</v>
      </c>
      <c r="F566" s="2" t="n">
        <v>39</v>
      </c>
      <c r="G566" s="2" t="s">
        <v>688</v>
      </c>
      <c r="H566" s="2" t="str">
        <f aca="false">IFERROR(__xludf.dummyfunction("IF(I572="""", """", REGEXEXTRACT(I572, ""Padrao/([^/]+)""))"),"Residencial das Americas")</f>
        <v>Residencial das Americas</v>
      </c>
    </row>
    <row r="567" customFormat="false" ht="15.75" hidden="false" customHeight="false" outlineLevel="0" collapsed="false">
      <c r="A567" s="2" t="n">
        <v>174740</v>
      </c>
      <c r="B567" s="2" t="s">
        <v>690</v>
      </c>
      <c r="C567" s="2" t="n">
        <v>2</v>
      </c>
      <c r="D567" s="2" t="n">
        <v>1</v>
      </c>
      <c r="E567" s="2" t="n">
        <v>1</v>
      </c>
      <c r="F567" s="2" t="n">
        <v>42</v>
      </c>
      <c r="G567" s="2" t="s">
        <v>688</v>
      </c>
      <c r="H567" s="2" t="str">
        <f aca="false">IFERROR(__xludf.dummyfunction("IF(I573="""", """", REGEXEXTRACT(I573, ""Padrao/([^/]+)""))"),"Residencial das Americas")</f>
        <v>Residencial das Americas</v>
      </c>
    </row>
    <row r="568" customFormat="false" ht="15.75" hidden="false" customHeight="false" outlineLevel="0" collapsed="false">
      <c r="A568" s="2" t="n">
        <v>159908</v>
      </c>
      <c r="B568" s="2" t="s">
        <v>691</v>
      </c>
      <c r="C568" s="2" t="n">
        <v>2</v>
      </c>
      <c r="D568" s="2" t="n">
        <v>1</v>
      </c>
      <c r="E568" s="2" t="n">
        <v>4</v>
      </c>
      <c r="F568" s="2" t="n">
        <v>45</v>
      </c>
      <c r="G568" s="2" t="s">
        <v>688</v>
      </c>
      <c r="H568" s="2" t="str">
        <f aca="false">IFERROR(__xludf.dummyfunction("IF(I574="""", """", REGEXEXTRACT(I574, ""Padrao/([^/]+)""))"),"Nova Alianca")</f>
        <v>Nova Alianca</v>
      </c>
    </row>
    <row r="569" customFormat="false" ht="15.75" hidden="false" customHeight="false" outlineLevel="0" collapsed="false">
      <c r="A569" s="2" t="n">
        <v>236363</v>
      </c>
      <c r="B569" s="2" t="s">
        <v>692</v>
      </c>
      <c r="C569" s="2" t="n">
        <v>4</v>
      </c>
      <c r="D569" s="2" t="n">
        <v>6</v>
      </c>
      <c r="E569" s="2" t="n">
        <v>4</v>
      </c>
      <c r="F569" s="2" t="n">
        <v>302</v>
      </c>
      <c r="G569" s="2" t="s">
        <v>693</v>
      </c>
      <c r="H569" s="2" t="str">
        <f aca="false">IFERROR(__xludf.dummyfunction("IF(I575="""", """", REGEXEXTRACT(I575, ""Padrao/([^/]+)""))"),"Residencial Morro do Ipe")</f>
        <v>Residencial Morro do Ipe</v>
      </c>
    </row>
    <row r="570" customFormat="false" ht="15.75" hidden="false" customHeight="false" outlineLevel="0" collapsed="false">
      <c r="A570" s="2" t="n">
        <v>106214</v>
      </c>
      <c r="B570" s="2" t="s">
        <v>162</v>
      </c>
      <c r="C570" s="2" t="n">
        <v>2</v>
      </c>
      <c r="D570" s="2" t="n">
        <v>1</v>
      </c>
      <c r="E570" s="2" t="n">
        <v>1</v>
      </c>
      <c r="F570" s="2" t="n">
        <v>49</v>
      </c>
      <c r="G570" s="2" t="s">
        <v>389</v>
      </c>
      <c r="H570" s="2" t="str">
        <f aca="false">IFERROR(__xludf.dummyfunction("IF(I576="""", """", REGEXEXTRACT(I576, ""Padrao/([^/]+)""))"),"Quintino Facci II")</f>
        <v>Quintino Facci II</v>
      </c>
    </row>
    <row r="571" customFormat="false" ht="15.75" hidden="false" customHeight="false" outlineLevel="0" collapsed="false">
      <c r="A571" s="2" t="n">
        <v>179777</v>
      </c>
      <c r="B571" s="2" t="s">
        <v>694</v>
      </c>
      <c r="C571" s="2" t="n">
        <v>2</v>
      </c>
      <c r="D571" s="2" t="n">
        <v>1</v>
      </c>
      <c r="E571" s="2" t="n">
        <v>1</v>
      </c>
      <c r="F571" s="2" t="n">
        <v>39</v>
      </c>
      <c r="G571" s="2" t="s">
        <v>394</v>
      </c>
      <c r="H571" s="2" t="str">
        <f aca="false">IFERROR(__xludf.dummyfunction("IF(I577="""", """", REGEXEXTRACT(I577, ""Padrao/([^/]+)""))"),"Residencial das Americas")</f>
        <v>Residencial das Americas</v>
      </c>
    </row>
    <row r="572" customFormat="false" ht="15.75" hidden="false" customHeight="false" outlineLevel="0" collapsed="false">
      <c r="A572" s="2" t="n">
        <v>217661</v>
      </c>
      <c r="B572" s="2" t="s">
        <v>695</v>
      </c>
      <c r="C572" s="2" t="n">
        <v>2</v>
      </c>
      <c r="D572" s="2" t="n">
        <v>1</v>
      </c>
      <c r="E572" s="2" t="n">
        <v>1</v>
      </c>
      <c r="F572" s="2" t="n">
        <v>43</v>
      </c>
      <c r="G572" s="2" t="s">
        <v>696</v>
      </c>
      <c r="H572" s="2" t="str">
        <f aca="false">IFERROR(__xludf.dummyfunction("IF(I578="""", """", REGEXEXTRACT(I578, ""Padrao/([^/]+)""))"),"Condominio Uirapuru")</f>
        <v>Condominio Uirapuru</v>
      </c>
    </row>
    <row r="573" customFormat="false" ht="15.75" hidden="false" customHeight="false" outlineLevel="0" collapsed="false">
      <c r="A573" s="2" t="n">
        <v>69875</v>
      </c>
      <c r="B573" s="2" t="s">
        <v>697</v>
      </c>
      <c r="C573" s="2" t="n">
        <v>1</v>
      </c>
      <c r="D573" s="2" t="n">
        <v>1</v>
      </c>
      <c r="E573" s="2" t="n">
        <v>1</v>
      </c>
      <c r="F573" s="2" t="n">
        <v>44</v>
      </c>
      <c r="G573" s="2" t="s">
        <v>681</v>
      </c>
      <c r="H573" s="2" t="str">
        <f aca="false">IFERROR(__xludf.dummyfunction("IF(I579="""", """", REGEXEXTRACT(I579, ""Padrao/([^/]+)""))"),"Centro")</f>
        <v>Centro</v>
      </c>
    </row>
    <row r="574" customFormat="false" ht="15.75" hidden="false" customHeight="false" outlineLevel="0" collapsed="false">
      <c r="A574" s="2" t="n">
        <v>38816</v>
      </c>
      <c r="B574" s="2" t="s">
        <v>461</v>
      </c>
      <c r="C574" s="2" t="n">
        <v>1</v>
      </c>
      <c r="D574" s="2" t="n">
        <v>1</v>
      </c>
      <c r="E574" s="2" t="n">
        <v>1</v>
      </c>
      <c r="F574" s="2" t="n">
        <v>19</v>
      </c>
      <c r="G574" s="2" t="s">
        <v>681</v>
      </c>
      <c r="H574" s="2" t="str">
        <f aca="false">IFERROR(__xludf.dummyfunction("IF(I580="""", """", REGEXEXTRACT(I580, ""Padrao/([^/]+)""))"),"Centro")</f>
        <v>Centro</v>
      </c>
    </row>
    <row r="575" customFormat="false" ht="15.75" hidden="false" customHeight="false" outlineLevel="0" collapsed="false">
      <c r="A575" s="2" t="n">
        <v>129164</v>
      </c>
      <c r="B575" s="2" t="s">
        <v>698</v>
      </c>
      <c r="C575" s="2" t="n">
        <v>1</v>
      </c>
      <c r="D575" s="2" t="n">
        <v>1</v>
      </c>
      <c r="E575" s="2" t="n">
        <v>1</v>
      </c>
      <c r="F575" s="2" t="n">
        <v>32</v>
      </c>
      <c r="G575" s="2" t="s">
        <v>688</v>
      </c>
      <c r="H575" s="2" t="str">
        <f aca="false">IFERROR(__xludf.dummyfunction("IF(I581="""", """", REGEXEXTRACT(I581, ""Padrao/([^/]+)""))"),"Vila Monte Alegre")</f>
        <v>Vila Monte Alegre</v>
      </c>
    </row>
    <row r="576" customFormat="false" ht="15.75" hidden="false" customHeight="false" outlineLevel="0" collapsed="false">
      <c r="A576" s="2" t="n">
        <v>244406</v>
      </c>
      <c r="B576" s="2" t="s">
        <v>699</v>
      </c>
      <c r="C576" s="2" t="n">
        <v>1</v>
      </c>
      <c r="D576" s="2" t="n">
        <v>1</v>
      </c>
      <c r="E576" s="2" t="n">
        <v>1</v>
      </c>
      <c r="F576" s="2" t="n">
        <v>31</v>
      </c>
      <c r="G576" s="2" t="s">
        <v>700</v>
      </c>
      <c r="H576" s="2" t="str">
        <f aca="false">IFERROR(__xludf.dummyfunction("IF(I582="""", """", REGEXEXTRACT(I582, ""Padrao/([^/]+)""))"),"Vila Virginia")</f>
        <v>Vila Virginia</v>
      </c>
    </row>
    <row r="577" customFormat="false" ht="15.75" hidden="false" customHeight="false" outlineLevel="0" collapsed="false">
      <c r="A577" s="2" t="n">
        <v>242576</v>
      </c>
      <c r="B577" s="2" t="s">
        <v>415</v>
      </c>
      <c r="C577" s="2" t="n">
        <v>2</v>
      </c>
      <c r="D577" s="2" t="n">
        <v>1</v>
      </c>
      <c r="E577" s="2" t="n">
        <v>1</v>
      </c>
      <c r="F577" s="2" t="n">
        <v>43</v>
      </c>
      <c r="G577" s="2" t="s">
        <v>700</v>
      </c>
      <c r="H577" s="2" t="str">
        <f aca="false">IFERROR(__xludf.dummyfunction("IF(I583="""", """", REGEXEXTRACT(I583, ""Padrao/([^/]+)""))"),"Jardim Heitor Rigon")</f>
        <v>Jardim Heitor Rigon</v>
      </c>
    </row>
    <row r="578" customFormat="false" ht="15.75" hidden="false" customHeight="false" outlineLevel="0" collapsed="false">
      <c r="A578" s="2" t="n">
        <v>242141</v>
      </c>
      <c r="B578" s="2" t="s">
        <v>701</v>
      </c>
      <c r="C578" s="2" t="n">
        <v>2</v>
      </c>
      <c r="D578" s="2" t="n">
        <v>1</v>
      </c>
      <c r="E578" s="2" t="n">
        <v>1</v>
      </c>
      <c r="F578" s="2" t="n">
        <v>43</v>
      </c>
      <c r="G578" s="2" t="s">
        <v>700</v>
      </c>
      <c r="H578" s="2" t="str">
        <f aca="false">IFERROR(__xludf.dummyfunction("IF(I584="""", """", REGEXEXTRACT(I584, ""Padrao/([^/]+)""))"),"Valentina Figueiredo")</f>
        <v>Valentina Figueiredo</v>
      </c>
    </row>
    <row r="579" customFormat="false" ht="15.75" hidden="false" customHeight="false" outlineLevel="0" collapsed="false">
      <c r="A579" s="2" t="n">
        <v>241661</v>
      </c>
      <c r="B579" s="2" t="s">
        <v>702</v>
      </c>
      <c r="C579" s="2" t="n">
        <v>2</v>
      </c>
      <c r="D579" s="2" t="n">
        <v>1</v>
      </c>
      <c r="E579" s="2" t="n">
        <v>1</v>
      </c>
      <c r="F579" s="2" t="n">
        <v>55</v>
      </c>
      <c r="G579" s="2" t="s">
        <v>700</v>
      </c>
      <c r="H579" s="2" t="str">
        <f aca="false">IFERROR(__xludf.dummyfunction("IF(I585="""", """", REGEXEXTRACT(I585, ""Padrao/([^/]+)""))"),"Vila Virginia")</f>
        <v>Vila Virginia</v>
      </c>
    </row>
    <row r="580" customFormat="false" ht="15.75" hidden="false" customHeight="false" outlineLevel="0" collapsed="false">
      <c r="A580" s="2" t="n">
        <v>241547</v>
      </c>
      <c r="B580" s="2" t="s">
        <v>703</v>
      </c>
      <c r="C580" s="2" t="n">
        <v>1</v>
      </c>
      <c r="D580" s="2" t="n">
        <v>1</v>
      </c>
      <c r="E580" s="2" t="n">
        <v>1</v>
      </c>
      <c r="F580" s="2" t="n">
        <v>46</v>
      </c>
      <c r="G580" s="2" t="s">
        <v>700</v>
      </c>
      <c r="H580" s="2" t="str">
        <f aca="false">IFERROR(__xludf.dummyfunction("IF(I586="""", """", REGEXEXTRACT(I586, ""Padrao/([^/]+)""))"),"Jardim Marchesi")</f>
        <v>Jardim Marchesi</v>
      </c>
    </row>
    <row r="581" customFormat="false" ht="15.75" hidden="false" customHeight="false" outlineLevel="0" collapsed="false">
      <c r="A581" s="2" t="n">
        <v>239060</v>
      </c>
      <c r="B581" s="2" t="s">
        <v>704</v>
      </c>
      <c r="C581" s="2" t="n">
        <v>2</v>
      </c>
      <c r="D581" s="2" t="n">
        <v>1</v>
      </c>
      <c r="E581" s="2" t="n">
        <v>1</v>
      </c>
      <c r="F581" s="2" t="n">
        <v>42</v>
      </c>
      <c r="G581" s="2" t="s">
        <v>700</v>
      </c>
      <c r="H581" s="2" t="str">
        <f aca="false">IFERROR(__xludf.dummyfunction("IF(I587="""", """", REGEXEXTRACT(I587, ""Padrao/([^/]+)""))"),"Jardim Joao Rossi")</f>
        <v>Jardim Joao Rossi</v>
      </c>
    </row>
    <row r="582" customFormat="false" ht="15.75" hidden="false" customHeight="false" outlineLevel="0" collapsed="false">
      <c r="A582" s="2" t="n">
        <v>228722</v>
      </c>
      <c r="B582" s="2" t="s">
        <v>705</v>
      </c>
      <c r="C582" s="2" t="n">
        <v>2</v>
      </c>
      <c r="D582" s="2" t="n">
        <v>1</v>
      </c>
      <c r="E582" s="2" t="n">
        <v>1</v>
      </c>
      <c r="F582" s="2" t="n">
        <v>48</v>
      </c>
      <c r="G582" s="2" t="s">
        <v>700</v>
      </c>
      <c r="H582" s="2" t="str">
        <f aca="false">IFERROR(__xludf.dummyfunction("IF(I588="""", """", REGEXEXTRACT(I588, ""Padrao/([^/]+)""))"),"Residencial das Americas")</f>
        <v>Residencial das Americas</v>
      </c>
    </row>
    <row r="583" customFormat="false" ht="15.75" hidden="false" customHeight="false" outlineLevel="0" collapsed="false">
      <c r="A583" s="2" t="n">
        <v>227612</v>
      </c>
      <c r="B583" s="2" t="s">
        <v>706</v>
      </c>
      <c r="C583" s="2" t="n">
        <v>2</v>
      </c>
      <c r="D583" s="2" t="n">
        <v>1</v>
      </c>
      <c r="E583" s="2" t="n">
        <v>1</v>
      </c>
      <c r="F583" s="2" t="n">
        <v>55</v>
      </c>
      <c r="G583" s="2" t="s">
        <v>700</v>
      </c>
      <c r="H583" s="2" t="str">
        <f aca="false">IFERROR(__xludf.dummyfunction("IF(I589="""", """", REGEXEXTRACT(I589, ""Padrao/([^/]+)""))"),"Vila Virginia")</f>
        <v>Vila Virginia</v>
      </c>
    </row>
    <row r="584" customFormat="false" ht="15.75" hidden="false" customHeight="false" outlineLevel="0" collapsed="false">
      <c r="A584" s="2" t="n">
        <v>224333</v>
      </c>
      <c r="B584" s="2" t="s">
        <v>707</v>
      </c>
      <c r="C584" s="2" t="n">
        <v>2</v>
      </c>
      <c r="D584" s="2" t="n">
        <v>1</v>
      </c>
      <c r="E584" s="2" t="n">
        <v>1</v>
      </c>
      <c r="F584" s="2" t="n">
        <v>42</v>
      </c>
      <c r="G584" s="2" t="s">
        <v>700</v>
      </c>
      <c r="H584" s="2" t="str">
        <f aca="false">IFERROR(__xludf.dummyfunction("IF(I590="""", """", REGEXEXTRACT(I590, ""Padrao/([^/]+)""))"),"Quintino Facci II")</f>
        <v>Quintino Facci II</v>
      </c>
    </row>
    <row r="585" customFormat="false" ht="15.75" hidden="false" customHeight="false" outlineLevel="0" collapsed="false">
      <c r="A585" s="2" t="n">
        <v>222764</v>
      </c>
      <c r="B585" s="2" t="s">
        <v>397</v>
      </c>
      <c r="C585" s="2" t="n">
        <v>2</v>
      </c>
      <c r="D585" s="2" t="n">
        <v>1</v>
      </c>
      <c r="E585" s="2" t="n">
        <v>1</v>
      </c>
      <c r="F585" s="2" t="n">
        <v>48</v>
      </c>
      <c r="G585" s="2" t="s">
        <v>700</v>
      </c>
      <c r="H585" s="2" t="str">
        <f aca="false">IFERROR(__xludf.dummyfunction("IF(I591="""", """", REGEXEXTRACT(I591, ""Padrao/([^/]+)""))"),"Jardim Heitor Rigon")</f>
        <v>Jardim Heitor Rigon</v>
      </c>
    </row>
    <row r="586" customFormat="false" ht="15.75" hidden="false" customHeight="false" outlineLevel="0" collapsed="false">
      <c r="A586" s="2" t="n">
        <v>221522</v>
      </c>
      <c r="B586" s="2" t="s">
        <v>694</v>
      </c>
      <c r="C586" s="2" t="n">
        <v>2</v>
      </c>
      <c r="D586" s="2" t="n">
        <v>1</v>
      </c>
      <c r="E586" s="2" t="n">
        <v>1</v>
      </c>
      <c r="F586" s="2" t="n">
        <v>39</v>
      </c>
      <c r="G586" s="2" t="s">
        <v>700</v>
      </c>
      <c r="H586" s="2" t="str">
        <f aca="false">IFERROR(__xludf.dummyfunction("IF(I592="""", """", REGEXEXTRACT(I592, ""Padrao/([^/]+)""))"),"Residencial das Americas")</f>
        <v>Residencial das Americas</v>
      </c>
    </row>
    <row r="587" customFormat="false" ht="15.75" hidden="false" customHeight="false" outlineLevel="0" collapsed="false">
      <c r="A587" s="2" t="n">
        <v>216215</v>
      </c>
      <c r="B587" s="2" t="s">
        <v>708</v>
      </c>
      <c r="C587" s="2" t="n">
        <v>2</v>
      </c>
      <c r="D587" s="2" t="n">
        <v>1</v>
      </c>
      <c r="E587" s="2" t="n">
        <v>1</v>
      </c>
      <c r="F587" s="2" t="n">
        <v>42</v>
      </c>
      <c r="G587" s="2" t="s">
        <v>700</v>
      </c>
      <c r="H587" s="2" t="str">
        <f aca="false">IFERROR(__xludf.dummyfunction("IF(I593="""", """", REGEXEXTRACT(I593, ""Padrao/([^/]+)""))"),"Ribeirao Verde")</f>
        <v>Ribeirao Verde</v>
      </c>
    </row>
    <row r="588" customFormat="false" ht="15.75" hidden="false" customHeight="false" outlineLevel="0" collapsed="false">
      <c r="A588" s="2" t="n">
        <v>208907</v>
      </c>
      <c r="B588" s="2" t="s">
        <v>709</v>
      </c>
      <c r="C588" s="2" t="n">
        <v>2</v>
      </c>
      <c r="D588" s="2" t="n">
        <v>1</v>
      </c>
      <c r="E588" s="2" t="n">
        <v>1</v>
      </c>
      <c r="F588" s="2" t="n">
        <v>43</v>
      </c>
      <c r="G588" s="2" t="s">
        <v>700</v>
      </c>
      <c r="H588" s="2" t="str">
        <f aca="false">IFERROR(__xludf.dummyfunction("IF(I594="""", """", REGEXEXTRACT(I594, ""Padrao/([^/]+)""))"),"Jardim Diva Tarla de Carvalho")</f>
        <v>Jardim Diva Tarla de Carvalho</v>
      </c>
    </row>
    <row r="589" customFormat="false" ht="15.75" hidden="false" customHeight="false" outlineLevel="0" collapsed="false">
      <c r="A589" s="2" t="n">
        <v>204695</v>
      </c>
      <c r="B589" s="2" t="s">
        <v>709</v>
      </c>
      <c r="C589" s="2" t="n">
        <v>2</v>
      </c>
      <c r="D589" s="2" t="n">
        <v>1</v>
      </c>
      <c r="E589" s="2" t="n">
        <v>1</v>
      </c>
      <c r="F589" s="2" t="n">
        <v>43</v>
      </c>
      <c r="G589" s="2" t="s">
        <v>700</v>
      </c>
      <c r="H589" s="2" t="str">
        <f aca="false">IFERROR(__xludf.dummyfunction("IF(I595="""", """", REGEXEXTRACT(I595, ""Padrao/([^/]+)""))"),"Jardim Diva Tarla de Carvalho")</f>
        <v>Jardim Diva Tarla de Carvalho</v>
      </c>
    </row>
    <row r="590" customFormat="false" ht="15.75" hidden="false" customHeight="false" outlineLevel="0" collapsed="false">
      <c r="A590" s="2" t="n">
        <v>201734</v>
      </c>
      <c r="B590" s="2" t="s">
        <v>710</v>
      </c>
      <c r="C590" s="2" t="n">
        <v>2</v>
      </c>
      <c r="D590" s="2" t="n">
        <v>1</v>
      </c>
      <c r="E590" s="2" t="n">
        <v>1</v>
      </c>
      <c r="F590" s="2" t="n">
        <v>42</v>
      </c>
      <c r="G590" s="2" t="s">
        <v>700</v>
      </c>
      <c r="H590" s="2" t="str">
        <f aca="false">IFERROR(__xludf.dummyfunction("IF(I596="""", """", REGEXEXTRACT(I596, ""Padrao/([^/]+)""))"),"Jardim Joao Rossi")</f>
        <v>Jardim Joao Rossi</v>
      </c>
    </row>
    <row r="591" customFormat="false" ht="15.75" hidden="false" customHeight="false" outlineLevel="0" collapsed="false">
      <c r="A591" s="2" t="n">
        <v>199406</v>
      </c>
      <c r="B591" s="2" t="s">
        <v>602</v>
      </c>
      <c r="C591" s="2" t="n">
        <v>1</v>
      </c>
      <c r="D591" s="2" t="n">
        <v>1</v>
      </c>
      <c r="E591" s="2" t="n">
        <v>1</v>
      </c>
      <c r="F591" s="2" t="n">
        <v>44</v>
      </c>
      <c r="G591" s="2" t="s">
        <v>700</v>
      </c>
      <c r="H591" s="2" t="str">
        <f aca="false">IFERROR(__xludf.dummyfunction("IF(I597="""", """", REGEXEXTRACT(I597, ""Padrao/([^/]+)""))"),"Centro")</f>
        <v>Centro</v>
      </c>
    </row>
    <row r="592" customFormat="false" ht="15.75" hidden="false" customHeight="false" outlineLevel="0" collapsed="false">
      <c r="A592" s="2" t="n">
        <v>199121</v>
      </c>
      <c r="B592" s="2" t="s">
        <v>711</v>
      </c>
      <c r="C592" s="2" t="n">
        <v>2</v>
      </c>
      <c r="D592" s="2" t="n">
        <v>1</v>
      </c>
      <c r="E592" s="2" t="n">
        <v>1</v>
      </c>
      <c r="F592" s="2" t="n">
        <v>42</v>
      </c>
      <c r="G592" s="2" t="s">
        <v>700</v>
      </c>
      <c r="H592" s="2" t="str">
        <f aca="false">IFERROR(__xludf.dummyfunction("IF(I598="""", """", REGEXEXTRACT(I598, ""Padrao/([^/]+)""))"),"Quintino Facci II")</f>
        <v>Quintino Facci II</v>
      </c>
    </row>
    <row r="593" customFormat="false" ht="15.75" hidden="false" customHeight="false" outlineLevel="0" collapsed="false">
      <c r="A593" s="2" t="n">
        <v>197648</v>
      </c>
      <c r="B593" s="2" t="s">
        <v>712</v>
      </c>
      <c r="C593" s="2" t="n">
        <v>2</v>
      </c>
      <c r="D593" s="2" t="n">
        <v>1</v>
      </c>
      <c r="E593" s="2" t="n">
        <v>1</v>
      </c>
      <c r="F593" s="2" t="n">
        <v>43</v>
      </c>
      <c r="G593" s="2" t="s">
        <v>700</v>
      </c>
      <c r="H593" s="2" t="str">
        <f aca="false">IFERROR(__xludf.dummyfunction("IF(I599="""", """", REGEXEXTRACT(I599, ""Padrao/([^/]+)""))"),"Jardim Heitor Rigon")</f>
        <v>Jardim Heitor Rigon</v>
      </c>
    </row>
    <row r="594" customFormat="false" ht="15.75" hidden="false" customHeight="false" outlineLevel="0" collapsed="false">
      <c r="A594" s="2" t="n">
        <v>193976</v>
      </c>
      <c r="B594" s="2" t="s">
        <v>713</v>
      </c>
      <c r="C594" s="2" t="n">
        <v>2</v>
      </c>
      <c r="D594" s="2" t="n">
        <v>1</v>
      </c>
      <c r="E594" s="2" t="n">
        <v>1</v>
      </c>
      <c r="F594" s="2" t="n">
        <v>41</v>
      </c>
      <c r="G594" s="2" t="s">
        <v>700</v>
      </c>
      <c r="H594" s="2" t="str">
        <f aca="false">IFERROR(__xludf.dummyfunction("IF(I600="""", """", REGEXEXTRACT(I600, ""Padrao/([^/]+)""))"),"Jardim Joao Rossi")</f>
        <v>Jardim Joao Rossi</v>
      </c>
    </row>
    <row r="595" customFormat="false" ht="15.75" hidden="false" customHeight="false" outlineLevel="0" collapsed="false">
      <c r="A595" s="2" t="n">
        <v>188747</v>
      </c>
      <c r="B595" s="2" t="s">
        <v>714</v>
      </c>
      <c r="C595" s="2" t="n">
        <v>2</v>
      </c>
      <c r="D595" s="2" t="n">
        <v>1</v>
      </c>
      <c r="E595" s="2" t="n">
        <v>1</v>
      </c>
      <c r="F595" s="2" t="n">
        <v>41</v>
      </c>
      <c r="G595" s="2" t="s">
        <v>700</v>
      </c>
      <c r="H595" s="2" t="str">
        <f aca="false">IFERROR(__xludf.dummyfunction("IF(I601="""", """", REGEXEXTRACT(I601, ""Padrao/([^/]+)""))"),"Conjunto Habitacional Silvio Passalacqua")</f>
        <v>Conjunto Habitacional Silvio Passalacqua</v>
      </c>
    </row>
    <row r="596" customFormat="false" ht="15.75" hidden="false" customHeight="false" outlineLevel="0" collapsed="false">
      <c r="A596" s="2" t="n">
        <v>187613</v>
      </c>
      <c r="B596" s="2" t="s">
        <v>363</v>
      </c>
      <c r="C596" s="2" t="n">
        <v>2</v>
      </c>
      <c r="D596" s="2" t="n">
        <v>1</v>
      </c>
      <c r="E596" s="2" t="n">
        <v>1</v>
      </c>
      <c r="F596" s="2" t="n">
        <v>39</v>
      </c>
      <c r="G596" s="2" t="s">
        <v>700</v>
      </c>
      <c r="H596" s="2" t="str">
        <f aca="false">IFERROR(__xludf.dummyfunction("IF(I602="""", """", REGEXEXTRACT(I602, ""Padrao/([^/]+)""))"),"Residencial das Americas")</f>
        <v>Residencial das Americas</v>
      </c>
    </row>
    <row r="597" customFormat="false" ht="15.75" hidden="false" customHeight="false" outlineLevel="0" collapsed="false">
      <c r="A597" s="2" t="n">
        <v>184385</v>
      </c>
      <c r="B597" s="2" t="s">
        <v>461</v>
      </c>
      <c r="C597" s="2" t="n">
        <v>2</v>
      </c>
      <c r="D597" s="2" t="n">
        <v>1</v>
      </c>
      <c r="E597" s="2" t="n">
        <v>1</v>
      </c>
      <c r="F597" s="2" t="n">
        <v>59</v>
      </c>
      <c r="G597" s="2" t="s">
        <v>700</v>
      </c>
      <c r="H597" s="2" t="str">
        <f aca="false">IFERROR(__xludf.dummyfunction("IF(I603="""", """", REGEXEXTRACT(I603, ""Padrao/([^/]+)""))"),"Parque Ribeirao Preto")</f>
        <v>Parque Ribeirao Preto</v>
      </c>
    </row>
    <row r="598" customFormat="false" ht="15.75" hidden="false" customHeight="false" outlineLevel="0" collapsed="false">
      <c r="A598" s="2" t="n">
        <v>181703</v>
      </c>
      <c r="B598" s="2" t="s">
        <v>715</v>
      </c>
      <c r="C598" s="2" t="n">
        <v>2</v>
      </c>
      <c r="D598" s="2" t="n">
        <v>1</v>
      </c>
      <c r="E598" s="2" t="n">
        <v>1</v>
      </c>
      <c r="F598" s="2" t="n">
        <v>43</v>
      </c>
      <c r="G598" s="2" t="s">
        <v>700</v>
      </c>
      <c r="H598" s="2" t="str">
        <f aca="false">IFERROR(__xludf.dummyfunction("IF(I604="""", """", REGEXEXTRACT(I604, ""Padrao/([^/]+)""))"),"Residencial das Americas")</f>
        <v>Residencial das Americas</v>
      </c>
    </row>
    <row r="599" customFormat="false" ht="15.75" hidden="false" customHeight="false" outlineLevel="0" collapsed="false">
      <c r="A599" s="2" t="n">
        <v>171251</v>
      </c>
      <c r="B599" s="2" t="s">
        <v>716</v>
      </c>
      <c r="C599" s="2" t="n">
        <v>1</v>
      </c>
      <c r="D599" s="2" t="n">
        <v>1</v>
      </c>
      <c r="E599" s="2" t="n">
        <v>1</v>
      </c>
      <c r="F599" s="2" t="n">
        <v>40</v>
      </c>
      <c r="G599" s="2" t="s">
        <v>700</v>
      </c>
      <c r="H599" s="2" t="str">
        <f aca="false">IFERROR(__xludf.dummyfunction("IF(I605="""", """", REGEXEXTRACT(I605, ""Padrao/([^/]+)""))"),"Parque Sao Sebastiao")</f>
        <v>Parque Sao Sebastiao</v>
      </c>
    </row>
    <row r="600" customFormat="false" ht="15.75" hidden="false" customHeight="false" outlineLevel="0" collapsed="false">
      <c r="A600" s="2" t="n">
        <v>171191</v>
      </c>
      <c r="B600" s="2" t="s">
        <v>717</v>
      </c>
      <c r="C600" s="2" t="n">
        <v>2</v>
      </c>
      <c r="D600" s="2" t="n">
        <v>1</v>
      </c>
      <c r="E600" s="2" t="n">
        <v>1</v>
      </c>
      <c r="F600" s="2" t="n">
        <v>43</v>
      </c>
      <c r="G600" s="2" t="s">
        <v>700</v>
      </c>
      <c r="H600" s="2" t="str">
        <f aca="false">IFERROR(__xludf.dummyfunction("IF(I606="""", """", REGEXEXTRACT(I606, ""Padrao/([^/]+)""))"),"Condominio Uirapuru")</f>
        <v>Condominio Uirapuru</v>
      </c>
    </row>
    <row r="601" customFormat="false" ht="15.75" hidden="false" customHeight="false" outlineLevel="0" collapsed="false">
      <c r="A601" s="2" t="n">
        <v>165527</v>
      </c>
      <c r="B601" s="2" t="s">
        <v>718</v>
      </c>
      <c r="C601" s="2" t="n">
        <v>2</v>
      </c>
      <c r="D601" s="2" t="n">
        <v>1</v>
      </c>
      <c r="E601" s="2" t="n">
        <v>1</v>
      </c>
      <c r="F601" s="2" t="n">
        <v>39</v>
      </c>
      <c r="G601" s="2" t="s">
        <v>700</v>
      </c>
      <c r="H601" s="2" t="str">
        <f aca="false">IFERROR(__xludf.dummyfunction("IF(I607="""", """", REGEXEXTRACT(I607, ""Padrao/([^/]+)""))"),"Residencial das Americas")</f>
        <v>Residencial das Americas</v>
      </c>
    </row>
    <row r="602" customFormat="false" ht="15.75" hidden="false" customHeight="false" outlineLevel="0" collapsed="false">
      <c r="A602" s="2" t="n">
        <v>145142</v>
      </c>
      <c r="B602" s="2" t="s">
        <v>719</v>
      </c>
      <c r="C602" s="2" t="n">
        <v>2</v>
      </c>
      <c r="D602" s="2" t="n">
        <v>1</v>
      </c>
      <c r="E602" s="2" t="n">
        <v>1</v>
      </c>
      <c r="F602" s="2" t="n">
        <v>41</v>
      </c>
      <c r="G602" s="2" t="s">
        <v>700</v>
      </c>
      <c r="H602" s="2" t="str">
        <f aca="false">IFERROR(__xludf.dummyfunction("IF(I608="""", """", REGEXEXTRACT(I608, ""Padrao/([^/]+)""))"),"Jardim Joao Rossi")</f>
        <v>Jardim Joao Rossi</v>
      </c>
    </row>
    <row r="603" customFormat="false" ht="15.75" hidden="false" customHeight="false" outlineLevel="0" collapsed="false">
      <c r="A603" s="2" t="n">
        <v>142304</v>
      </c>
      <c r="B603" s="2" t="s">
        <v>720</v>
      </c>
      <c r="C603" s="2" t="n">
        <v>2</v>
      </c>
      <c r="D603" s="2" t="n">
        <v>1</v>
      </c>
      <c r="E603" s="2" t="n">
        <v>1</v>
      </c>
      <c r="F603" s="2" t="n">
        <v>39</v>
      </c>
      <c r="G603" s="2" t="s">
        <v>700</v>
      </c>
      <c r="H603" s="2" t="str">
        <f aca="false">IFERROR(__xludf.dummyfunction("IF(I609="""", """", REGEXEXTRACT(I609, ""Padrao/([^/]+)""))"),"Residencial das Americas")</f>
        <v>Residencial das Americas</v>
      </c>
    </row>
    <row r="604" customFormat="false" ht="15.75" hidden="false" customHeight="false" outlineLevel="0" collapsed="false">
      <c r="A604" s="2" t="n">
        <v>124829</v>
      </c>
      <c r="B604" s="2" t="s">
        <v>162</v>
      </c>
      <c r="C604" s="2" t="n">
        <v>2</v>
      </c>
      <c r="D604" s="2" t="n">
        <v>1</v>
      </c>
      <c r="E604" s="2" t="n">
        <v>1</v>
      </c>
      <c r="F604" s="2" t="n">
        <v>42</v>
      </c>
      <c r="G604" s="2" t="s">
        <v>700</v>
      </c>
      <c r="H604" s="2" t="str">
        <f aca="false">IFERROR(__xludf.dummyfunction("IF(I610="""", """", REGEXEXTRACT(I610, ""Padrao/([^/]+)""))"),"Jardim Heitor Rigon")</f>
        <v>Jardim Heitor Rigon</v>
      </c>
    </row>
    <row r="605" customFormat="false" ht="15.75" hidden="false" customHeight="false" outlineLevel="0" collapsed="false">
      <c r="A605" s="2" t="n">
        <v>114320</v>
      </c>
      <c r="B605" s="2" t="s">
        <v>162</v>
      </c>
      <c r="C605" s="2" t="n">
        <v>2</v>
      </c>
      <c r="D605" s="2" t="n">
        <v>1</v>
      </c>
      <c r="E605" s="2" t="n">
        <v>1</v>
      </c>
      <c r="F605" s="2" t="n">
        <v>41</v>
      </c>
      <c r="G605" s="2" t="s">
        <v>721</v>
      </c>
      <c r="H605" s="2" t="str">
        <f aca="false">IFERROR(__xludf.dummyfunction("IF(I611="""", """", REGEXEXTRACT(I611, ""Padrao/([^/]+)""))"),"Conjunto Habitacional Silvio Passalacqua")</f>
        <v>Conjunto Habitacional Silvio Passalacqua</v>
      </c>
    </row>
    <row r="606" customFormat="false" ht="15.75" hidden="false" customHeight="false" outlineLevel="0" collapsed="false">
      <c r="A606" s="2" t="n">
        <v>213704</v>
      </c>
      <c r="B606" s="2" t="s">
        <v>722</v>
      </c>
      <c r="C606" s="2" t="n">
        <v>2</v>
      </c>
      <c r="D606" s="2" t="n">
        <v>1</v>
      </c>
      <c r="E606" s="2" t="n">
        <v>1</v>
      </c>
      <c r="F606" s="2" t="n">
        <v>42</v>
      </c>
      <c r="G606" s="2" t="s">
        <v>681</v>
      </c>
      <c r="H606" s="2" t="str">
        <f aca="false">IFERROR(__xludf.dummyfunction("IF(I612="""", """", REGEXEXTRACT(I612, ""Padrao/([^/]+)""))"),"Jardim Heitor Rigon")</f>
        <v>Jardim Heitor Rigon</v>
      </c>
    </row>
    <row r="607" customFormat="false" ht="15.75" hidden="false" customHeight="false" outlineLevel="0" collapsed="false">
      <c r="A607" s="2" t="n">
        <v>245309</v>
      </c>
      <c r="B607" s="2" t="s">
        <v>723</v>
      </c>
      <c r="C607" s="2" t="n">
        <v>2</v>
      </c>
      <c r="D607" s="2" t="n">
        <v>1</v>
      </c>
      <c r="E607" s="2" t="n">
        <v>1</v>
      </c>
      <c r="F607" s="2" t="n">
        <v>45</v>
      </c>
      <c r="G607" s="2" t="s">
        <v>407</v>
      </c>
      <c r="H607" s="2" t="str">
        <f aca="false">IFERROR(__xludf.dummyfunction("IF(I613="""", """", REGEXEXTRACT(I613, ""Padrao/([^/]+)""))"),"Jardim Joao Rossi")</f>
        <v>Jardim Joao Rossi</v>
      </c>
    </row>
    <row r="608" customFormat="false" ht="15.75" hidden="false" customHeight="false" outlineLevel="0" collapsed="false">
      <c r="A608" s="2" t="n">
        <v>242528</v>
      </c>
      <c r="B608" s="2" t="s">
        <v>724</v>
      </c>
      <c r="C608" s="2" t="n">
        <v>2</v>
      </c>
      <c r="D608" s="2" t="n">
        <v>1</v>
      </c>
      <c r="E608" s="2" t="n">
        <v>1</v>
      </c>
      <c r="F608" s="2" t="n">
        <v>42</v>
      </c>
      <c r="G608" s="2" t="s">
        <v>407</v>
      </c>
      <c r="H608" s="2" t="str">
        <f aca="false">IFERROR(__xludf.dummyfunction("IF(I614="""", """", REGEXEXTRACT(I614, ""Padrao/([^/]+)""))"),"Ribeirao Verde")</f>
        <v>Ribeirao Verde</v>
      </c>
    </row>
    <row r="609" customFormat="false" ht="15.75" hidden="false" customHeight="false" outlineLevel="0" collapsed="false">
      <c r="A609" s="2" t="n">
        <v>231083</v>
      </c>
      <c r="B609" s="2" t="s">
        <v>722</v>
      </c>
      <c r="C609" s="2" t="n">
        <v>2</v>
      </c>
      <c r="D609" s="2" t="n">
        <v>2</v>
      </c>
      <c r="E609" s="2" t="n">
        <v>1</v>
      </c>
      <c r="F609" s="2" t="n">
        <v>42</v>
      </c>
      <c r="G609" s="2" t="s">
        <v>407</v>
      </c>
      <c r="H609" s="2" t="str">
        <f aca="false">IFERROR(__xludf.dummyfunction("IF(I615="""", """", REGEXEXTRACT(I615, ""Padrao/([^/]+)""))"),"Jardim Heitor Rigon")</f>
        <v>Jardim Heitor Rigon</v>
      </c>
    </row>
    <row r="610" customFormat="false" ht="15.75" hidden="false" customHeight="false" outlineLevel="0" collapsed="false">
      <c r="A610" s="2" t="n">
        <v>230117</v>
      </c>
      <c r="B610" s="2" t="s">
        <v>429</v>
      </c>
      <c r="C610" s="2" t="n">
        <v>2</v>
      </c>
      <c r="D610" s="2" t="n">
        <v>1</v>
      </c>
      <c r="E610" s="2" t="n">
        <v>1</v>
      </c>
      <c r="F610" s="2" t="n">
        <v>43</v>
      </c>
      <c r="G610" s="2" t="s">
        <v>407</v>
      </c>
      <c r="H610" s="2" t="str">
        <f aca="false">IFERROR(__xludf.dummyfunction("IF(I616="""", """", REGEXEXTRACT(I616, ""Padrao/([^/]+)""))"),"Reserva Macauba")</f>
        <v>Reserva Macauba</v>
      </c>
    </row>
    <row r="611" customFormat="false" ht="15.75" hidden="false" customHeight="false" outlineLevel="0" collapsed="false">
      <c r="A611" s="2" t="n">
        <v>229082</v>
      </c>
      <c r="B611" s="2" t="s">
        <v>725</v>
      </c>
      <c r="C611" s="2" t="n">
        <v>2</v>
      </c>
      <c r="D611" s="2" t="n">
        <v>1</v>
      </c>
      <c r="E611" s="2" t="n">
        <v>1</v>
      </c>
      <c r="F611" s="2" t="n">
        <v>42</v>
      </c>
      <c r="G611" s="2" t="s">
        <v>407</v>
      </c>
      <c r="H611" s="2" t="str">
        <f aca="false">IFERROR(__xludf.dummyfunction("IF(I617="""", """", REGEXEXTRACT(I617, ""Padrao/([^/]+)""))"),"Recanto das Palmeiras")</f>
        <v>Recanto das Palmeiras</v>
      </c>
    </row>
    <row r="612" customFormat="false" ht="15.75" hidden="false" customHeight="false" outlineLevel="0" collapsed="false">
      <c r="A612" s="2" t="n">
        <v>228518</v>
      </c>
      <c r="B612" s="2" t="s">
        <v>726</v>
      </c>
      <c r="C612" s="2" t="n">
        <v>2</v>
      </c>
      <c r="D612" s="2" t="n">
        <v>1</v>
      </c>
      <c r="E612" s="2" t="n">
        <v>1</v>
      </c>
      <c r="F612" s="2" t="n">
        <v>48</v>
      </c>
      <c r="G612" s="2" t="s">
        <v>407</v>
      </c>
      <c r="H612" s="2" t="str">
        <f aca="false">IFERROR(__xludf.dummyfunction("IF(I618="""", """", REGEXEXTRACT(I618, ""Padrao/([^/]+)""))"),"Quintino Facci II")</f>
        <v>Quintino Facci II</v>
      </c>
    </row>
    <row r="613" customFormat="false" ht="15.75" hidden="false" customHeight="false" outlineLevel="0" collapsed="false">
      <c r="A613" s="2" t="n">
        <v>226682</v>
      </c>
      <c r="B613" s="2" t="s">
        <v>727</v>
      </c>
      <c r="C613" s="2" t="n">
        <v>2</v>
      </c>
      <c r="D613" s="2" t="n">
        <v>1</v>
      </c>
      <c r="E613" s="2" t="n">
        <v>1</v>
      </c>
      <c r="F613" s="2" t="n">
        <v>41</v>
      </c>
      <c r="G613" s="2" t="s">
        <v>407</v>
      </c>
      <c r="H613" s="2" t="str">
        <f aca="false">IFERROR(__xludf.dummyfunction("IF(I619="""", """", REGEXEXTRACT(I619, ""Padrao/([^/]+)""))"),"Jardim Joao Rossi")</f>
        <v>Jardim Joao Rossi</v>
      </c>
    </row>
    <row r="614" customFormat="false" ht="15.75" hidden="false" customHeight="false" outlineLevel="0" collapsed="false">
      <c r="A614" s="2" t="n">
        <v>226076</v>
      </c>
      <c r="B614" s="2" t="s">
        <v>726</v>
      </c>
      <c r="C614" s="2" t="n">
        <v>2</v>
      </c>
      <c r="D614" s="2" t="n">
        <v>1</v>
      </c>
      <c r="E614" s="2" t="n">
        <v>1</v>
      </c>
      <c r="F614" s="2" t="n">
        <v>48</v>
      </c>
      <c r="G614" s="2" t="s">
        <v>407</v>
      </c>
      <c r="H614" s="2" t="str">
        <f aca="false">IFERROR(__xludf.dummyfunction("IF(I620="""", """", REGEXEXTRACT(I620, ""Padrao/([^/]+)""))"),"Quintino Facci II")</f>
        <v>Quintino Facci II</v>
      </c>
    </row>
    <row r="615" customFormat="false" ht="15.75" hidden="false" customHeight="false" outlineLevel="0" collapsed="false">
      <c r="A615" s="2" t="n">
        <v>225068</v>
      </c>
      <c r="B615" s="2" t="s">
        <v>728</v>
      </c>
      <c r="C615" s="2" t="n">
        <v>2</v>
      </c>
      <c r="D615" s="2" t="n">
        <v>1</v>
      </c>
      <c r="E615" s="2" t="n">
        <v>1</v>
      </c>
      <c r="F615" s="2" t="n">
        <v>43</v>
      </c>
      <c r="G615" s="2" t="s">
        <v>407</v>
      </c>
      <c r="H615" s="2" t="str">
        <f aca="false">IFERROR(__xludf.dummyfunction("IF(I621="""", """", REGEXEXTRACT(I621, ""Padrao/([^/]+)""))"),"Jardim Heitor Rigon")</f>
        <v>Jardim Heitor Rigon</v>
      </c>
    </row>
    <row r="616" customFormat="false" ht="15.75" hidden="false" customHeight="false" outlineLevel="0" collapsed="false">
      <c r="A616" s="2" t="n">
        <v>221930</v>
      </c>
      <c r="B616" s="2" t="s">
        <v>729</v>
      </c>
      <c r="C616" s="2" t="n">
        <v>2</v>
      </c>
      <c r="D616" s="2" t="n">
        <v>1</v>
      </c>
      <c r="E616" s="2" t="n">
        <v>1</v>
      </c>
      <c r="F616" s="2" t="n">
        <v>41</v>
      </c>
      <c r="G616" s="2" t="s">
        <v>407</v>
      </c>
      <c r="H616" s="2" t="str">
        <f aca="false">IFERROR(__xludf.dummyfunction("IF(I622="""", """", REGEXEXTRACT(I622, ""Padrao/([^/]+)""))"),"Ipiranga")</f>
        <v>Ipiranga</v>
      </c>
    </row>
    <row r="617" customFormat="false" ht="15.75" hidden="false" customHeight="false" outlineLevel="0" collapsed="false">
      <c r="A617" s="2" t="n">
        <v>198863</v>
      </c>
      <c r="B617" s="2" t="s">
        <v>730</v>
      </c>
      <c r="C617" s="2" t="n">
        <v>2</v>
      </c>
      <c r="D617" s="2" t="n">
        <v>1</v>
      </c>
      <c r="E617" s="2" t="n">
        <v>1</v>
      </c>
      <c r="F617" s="2" t="n">
        <v>41</v>
      </c>
      <c r="G617" s="2" t="s">
        <v>407</v>
      </c>
      <c r="H617" s="2" t="str">
        <f aca="false">IFERROR(__xludf.dummyfunction("IF(I623="""", """", REGEXEXTRACT(I623, ""Padrao/([^/]+)""))"),"Conjunto Habitacional Silvio Passalacqua")</f>
        <v>Conjunto Habitacional Silvio Passalacqua</v>
      </c>
    </row>
    <row r="618" customFormat="false" ht="15.75" hidden="false" customHeight="false" outlineLevel="0" collapsed="false">
      <c r="A618" s="2" t="n">
        <v>197078</v>
      </c>
      <c r="B618" s="2" t="s">
        <v>731</v>
      </c>
      <c r="C618" s="2" t="n">
        <v>2</v>
      </c>
      <c r="D618" s="2" t="n">
        <v>1</v>
      </c>
      <c r="E618" s="2" t="n">
        <v>1</v>
      </c>
      <c r="F618" s="2" t="n">
        <v>40</v>
      </c>
      <c r="G618" s="2" t="s">
        <v>407</v>
      </c>
      <c r="H618" s="2" t="str">
        <f aca="false">IFERROR(__xludf.dummyfunction("IF(I624="""", """", REGEXEXTRACT(I624, ""Padrao/([^/]+)""))"),"Parque dos Pinus")</f>
        <v>Parque dos Pinus</v>
      </c>
    </row>
    <row r="619" customFormat="false" ht="15.75" hidden="false" customHeight="false" outlineLevel="0" collapsed="false">
      <c r="A619" s="2" t="n">
        <v>193376</v>
      </c>
      <c r="B619" s="2" t="s">
        <v>386</v>
      </c>
      <c r="C619" s="2" t="n">
        <v>2</v>
      </c>
      <c r="D619" s="2" t="n">
        <v>1</v>
      </c>
      <c r="E619" s="2" t="n">
        <v>1</v>
      </c>
      <c r="F619" s="2" t="n">
        <v>48</v>
      </c>
      <c r="G619" s="2" t="s">
        <v>407</v>
      </c>
      <c r="H619" s="2" t="str">
        <f aca="false">IFERROR(__xludf.dummyfunction("IF(I625="""", """", REGEXEXTRACT(I625, ""Padrao/([^/]+)""))"),"Quintino Facci II")</f>
        <v>Quintino Facci II</v>
      </c>
    </row>
    <row r="620" customFormat="false" ht="15.75" hidden="false" customHeight="false" outlineLevel="0" collapsed="false">
      <c r="A620" s="2" t="n">
        <v>179885</v>
      </c>
      <c r="B620" s="2" t="s">
        <v>732</v>
      </c>
      <c r="C620" s="2" t="n">
        <v>1</v>
      </c>
      <c r="D620" s="2" t="n">
        <v>1</v>
      </c>
      <c r="E620" s="2" t="n">
        <v>1</v>
      </c>
      <c r="F620" s="2" t="n">
        <v>48</v>
      </c>
      <c r="G620" s="2" t="s">
        <v>407</v>
      </c>
      <c r="H620" s="2" t="str">
        <f aca="false">IFERROR(__xludf.dummyfunction("IF(I626="""", """", REGEXEXTRACT(I626, ""Padrao/([^/]+)""))"),"Residencial das Americas")</f>
        <v>Residencial das Americas</v>
      </c>
    </row>
    <row r="621" customFormat="false" ht="15.75" hidden="false" customHeight="false" outlineLevel="0" collapsed="false">
      <c r="A621" s="2" t="n">
        <v>179177</v>
      </c>
      <c r="B621" s="2" t="s">
        <v>733</v>
      </c>
      <c r="C621" s="2" t="n">
        <v>2</v>
      </c>
      <c r="D621" s="2" t="n">
        <v>1</v>
      </c>
      <c r="E621" s="2" t="n">
        <v>1</v>
      </c>
      <c r="F621" s="2" t="n">
        <v>48</v>
      </c>
      <c r="G621" s="2" t="s">
        <v>407</v>
      </c>
      <c r="H621" s="2" t="str">
        <f aca="false">IFERROR(__xludf.dummyfunction("IF(I627="""", """", REGEXEXTRACT(I627, ""Padrao/([^/]+)""))"),"Ipiranga")</f>
        <v>Ipiranga</v>
      </c>
    </row>
    <row r="622" customFormat="false" ht="15.75" hidden="false" customHeight="false" outlineLevel="0" collapsed="false">
      <c r="A622" s="2" t="n">
        <v>163787</v>
      </c>
      <c r="B622" s="2" t="s">
        <v>734</v>
      </c>
      <c r="C622" s="2" t="n">
        <v>2</v>
      </c>
      <c r="D622" s="2" t="n">
        <v>1</v>
      </c>
      <c r="E622" s="2" t="n">
        <v>1</v>
      </c>
      <c r="F622" s="2" t="n">
        <v>40</v>
      </c>
      <c r="G622" s="2" t="s">
        <v>407</v>
      </c>
      <c r="H622" s="2" t="str">
        <f aca="false">IFERROR(__xludf.dummyfunction("IF(I628="""", """", REGEXEXTRACT(I628, ""Padrao/([^/]+)""))"),"Reserva Real")</f>
        <v>Reserva Real</v>
      </c>
    </row>
    <row r="623" customFormat="false" ht="15.75" hidden="false" customHeight="false" outlineLevel="0" collapsed="false">
      <c r="A623" s="2" t="n">
        <v>33935</v>
      </c>
      <c r="B623" s="2" t="s">
        <v>461</v>
      </c>
      <c r="C623" s="2" t="n">
        <v>1</v>
      </c>
      <c r="D623" s="2" t="n">
        <v>1</v>
      </c>
      <c r="E623" s="2" t="n">
        <v>1</v>
      </c>
      <c r="F623" s="2" t="n">
        <v>42</v>
      </c>
      <c r="G623" s="2" t="s">
        <v>407</v>
      </c>
      <c r="H623" s="2" t="str">
        <f aca="false">IFERROR(__xludf.dummyfunction("IF(I629="""", """", REGEXEXTRACT(I629, ""Padrao/([^/]+)""))"),"Centro")</f>
        <v>Centro</v>
      </c>
    </row>
    <row r="624" customFormat="false" ht="15.75" hidden="false" customHeight="false" outlineLevel="0" collapsed="false">
      <c r="A624" s="2" t="n">
        <v>142373</v>
      </c>
      <c r="B624" s="2" t="s">
        <v>735</v>
      </c>
      <c r="C624" s="2" t="n">
        <v>2</v>
      </c>
      <c r="D624" s="2" t="n">
        <v>1</v>
      </c>
      <c r="E624" s="2" t="n">
        <v>1</v>
      </c>
      <c r="F624" s="2" t="n">
        <v>48</v>
      </c>
      <c r="G624" s="2" t="s">
        <v>736</v>
      </c>
      <c r="H624" s="2" t="str">
        <f aca="false">IFERROR(__xludf.dummyfunction("IF(I630="""", """", REGEXEXTRACT(I630, ""Padrao/([^/]+)""))"),"Jardim Heitor Rigon")</f>
        <v>Jardim Heitor Rigon</v>
      </c>
    </row>
    <row r="625" customFormat="false" ht="15.75" hidden="false" customHeight="false" outlineLevel="0" collapsed="false">
      <c r="A625" s="2" t="n">
        <v>183785</v>
      </c>
      <c r="B625" s="2" t="s">
        <v>737</v>
      </c>
      <c r="C625" s="2" t="n">
        <v>2</v>
      </c>
      <c r="D625" s="2" t="n">
        <v>1</v>
      </c>
      <c r="E625" s="2" t="n">
        <v>1</v>
      </c>
      <c r="F625" s="2" t="n">
        <v>46</v>
      </c>
      <c r="G625" s="2" t="s">
        <v>738</v>
      </c>
      <c r="H625" s="2" t="str">
        <f aca="false">IFERROR(__xludf.dummyfunction("IF(I631="""", """", REGEXEXTRACT(I631, ""Padrao/([^/]+)""))"),"Vila Abranches")</f>
        <v>Vila Abranches</v>
      </c>
    </row>
    <row r="626" customFormat="false" ht="15.75" hidden="false" customHeight="false" outlineLevel="0" collapsed="false">
      <c r="A626" s="2" t="n">
        <v>206732</v>
      </c>
      <c r="B626" s="2" t="s">
        <v>739</v>
      </c>
      <c r="C626" s="2" t="n">
        <v>2</v>
      </c>
      <c r="D626" s="2" t="n">
        <v>1</v>
      </c>
      <c r="E626" s="2" t="n">
        <v>1</v>
      </c>
      <c r="F626" s="2" t="n">
        <v>42</v>
      </c>
      <c r="G626" s="2" t="s">
        <v>410</v>
      </c>
      <c r="H626" s="2" t="str">
        <f aca="false">IFERROR(__xludf.dummyfunction("IF(I632="""", """", REGEXEXTRACT(I632, ""Padrao/([^/]+)""))"),"Campos Eliseos")</f>
        <v>Campos Eliseos</v>
      </c>
    </row>
    <row r="627" customFormat="false" ht="15.75" hidden="false" customHeight="false" outlineLevel="0" collapsed="false">
      <c r="A627" s="2" t="n">
        <v>179267</v>
      </c>
      <c r="B627" s="2" t="s">
        <v>363</v>
      </c>
      <c r="C627" s="2" t="n">
        <v>2</v>
      </c>
      <c r="D627" s="2" t="n">
        <v>1</v>
      </c>
      <c r="E627" s="2" t="n">
        <v>1</v>
      </c>
      <c r="F627" s="2" t="n">
        <v>39</v>
      </c>
      <c r="G627" s="2" t="s">
        <v>410</v>
      </c>
      <c r="H627" s="2" t="str">
        <f aca="false">IFERROR(__xludf.dummyfunction("IF(I633="""", """", REGEXEXTRACT(I633, ""Padrao/([^/]+)""))"),"Residencial das Americas")</f>
        <v>Residencial das Americas</v>
      </c>
    </row>
    <row r="628" customFormat="false" ht="15.75" hidden="false" customHeight="false" outlineLevel="0" collapsed="false">
      <c r="A628" s="2" t="n">
        <v>125093</v>
      </c>
      <c r="B628" s="2" t="s">
        <v>740</v>
      </c>
      <c r="C628" s="2" t="n">
        <v>2</v>
      </c>
      <c r="D628" s="2" t="n">
        <v>1</v>
      </c>
      <c r="E628" s="2" t="n">
        <v>1</v>
      </c>
      <c r="F628" s="2" t="n">
        <v>42</v>
      </c>
      <c r="G628" s="2" t="s">
        <v>681</v>
      </c>
      <c r="H628" s="2" t="str">
        <f aca="false">IFERROR(__xludf.dummyfunction("IF(I634="""", """", REGEXEXTRACT(I634, ""Padrao/([^/]+)""))"),"Jardim Heitor Rigon")</f>
        <v>Jardim Heitor Rigon</v>
      </c>
    </row>
    <row r="629" customFormat="false" ht="15.75" hidden="false" customHeight="false" outlineLevel="0" collapsed="false">
      <c r="A629" s="2" t="n">
        <v>215108</v>
      </c>
      <c r="B629" s="2" t="s">
        <v>415</v>
      </c>
      <c r="C629" s="2" t="n">
        <v>2</v>
      </c>
      <c r="D629" s="2" t="n">
        <v>1</v>
      </c>
      <c r="E629" s="2" t="n">
        <v>1</v>
      </c>
      <c r="F629" s="2" t="n">
        <v>43</v>
      </c>
      <c r="G629" s="2" t="s">
        <v>688</v>
      </c>
      <c r="H629" s="2" t="str">
        <f aca="false">IFERROR(__xludf.dummyfunction("IF(I635="""", """", REGEXEXTRACT(I635, ""Padrao/([^/]+)""))"),"Jardim Heitor Rigon")</f>
        <v>Jardim Heitor Rigon</v>
      </c>
    </row>
    <row r="630" customFormat="false" ht="15.75" hidden="false" customHeight="false" outlineLevel="0" collapsed="false">
      <c r="A630" s="2" t="n">
        <v>129473</v>
      </c>
      <c r="B630" s="2" t="s">
        <v>162</v>
      </c>
      <c r="C630" s="2" t="n">
        <v>2</v>
      </c>
      <c r="D630" s="2" t="n">
        <v>1</v>
      </c>
      <c r="E630" s="2" t="n">
        <v>1</v>
      </c>
      <c r="F630" s="2" t="n">
        <v>46</v>
      </c>
      <c r="G630" s="2" t="s">
        <v>741</v>
      </c>
      <c r="H630" s="2" t="str">
        <f aca="false">IFERROR(__xludf.dummyfunction("IF(I636="""", """", REGEXEXTRACT(I636, ""Padrao/([^/]+)""))"),"Parque Sao Sebastiao")</f>
        <v>Parque Sao Sebastiao</v>
      </c>
    </row>
    <row r="631" customFormat="false" ht="15.75" hidden="false" customHeight="false" outlineLevel="0" collapsed="false">
      <c r="A631" s="2" t="n">
        <v>175973</v>
      </c>
      <c r="B631" s="2" t="s">
        <v>363</v>
      </c>
      <c r="C631" s="2" t="n">
        <v>2</v>
      </c>
      <c r="D631" s="2" t="n">
        <v>1</v>
      </c>
      <c r="E631" s="2" t="n">
        <v>1</v>
      </c>
      <c r="F631" s="2" t="n">
        <v>44</v>
      </c>
      <c r="G631" s="2" t="s">
        <v>742</v>
      </c>
      <c r="H631" s="2" t="str">
        <f aca="false">IFERROR(__xludf.dummyfunction("IF(I637="""", """", REGEXEXTRACT(I637, ""Padrao/([^/]+)""))"),"Residencial das Americas")</f>
        <v>Residencial das Americas</v>
      </c>
    </row>
    <row r="632" customFormat="false" ht="15.75" hidden="false" customHeight="false" outlineLevel="0" collapsed="false">
      <c r="A632" s="2" t="n">
        <v>147956</v>
      </c>
      <c r="B632" s="2" t="s">
        <v>743</v>
      </c>
      <c r="C632" s="2" t="n">
        <v>2</v>
      </c>
      <c r="D632" s="2" t="n">
        <v>1</v>
      </c>
      <c r="E632" s="2" t="n">
        <v>1</v>
      </c>
      <c r="F632" s="2" t="n">
        <v>41</v>
      </c>
      <c r="G632" s="2" t="s">
        <v>742</v>
      </c>
      <c r="H632" s="2" t="str">
        <f aca="false">IFERROR(__xludf.dummyfunction("IF(I639="""", """", REGEXEXTRACT(I639, ""Padrao/([^/]+)""))"),"Jardim Joao Rossi")</f>
        <v>Jardim Joao Rossi</v>
      </c>
    </row>
    <row r="633" customFormat="false" ht="15.75" hidden="false" customHeight="false" outlineLevel="0" collapsed="false">
      <c r="A633" s="2" t="n">
        <v>147110</v>
      </c>
      <c r="B633" s="2" t="s">
        <v>744</v>
      </c>
      <c r="C633" s="2" t="n">
        <v>2</v>
      </c>
      <c r="D633" s="2" t="n">
        <v>1</v>
      </c>
      <c r="E633" s="2" t="n">
        <v>1</v>
      </c>
      <c r="F633" s="2" t="n">
        <v>46</v>
      </c>
      <c r="G633" s="2" t="s">
        <v>742</v>
      </c>
      <c r="H633" s="2" t="str">
        <f aca="false">IFERROR(__xludf.dummyfunction("IF(I640="""", """", REGEXEXTRACT(I640, ""Padrao/([^/]+)""))"),"Conjunto Habitacional Jardim das Palmeiras")</f>
        <v>Conjunto Habitacional Jardim das Palmeiras</v>
      </c>
    </row>
    <row r="634" customFormat="false" ht="15.75" hidden="false" customHeight="false" outlineLevel="0" collapsed="false">
      <c r="A634" s="2" t="n">
        <v>147083</v>
      </c>
      <c r="B634" s="2" t="s">
        <v>386</v>
      </c>
      <c r="C634" s="2" t="n">
        <v>2</v>
      </c>
      <c r="D634" s="2" t="n">
        <v>1</v>
      </c>
      <c r="E634" s="2" t="n">
        <v>1</v>
      </c>
      <c r="F634" s="2" t="n">
        <v>48</v>
      </c>
      <c r="G634" s="2" t="s">
        <v>742</v>
      </c>
      <c r="H634" s="2" t="str">
        <f aca="false">IFERROR(__xludf.dummyfunction("IF(I641="""", """", REGEXEXTRACT(I641, ""Padrao/([^/]+)""))"),"Quintino Facci II")</f>
        <v>Quintino Facci II</v>
      </c>
    </row>
    <row r="635" customFormat="false" ht="15.75" hidden="false" customHeight="false" outlineLevel="0" collapsed="false">
      <c r="A635" s="2" t="n">
        <v>137801</v>
      </c>
      <c r="B635" s="2" t="s">
        <v>745</v>
      </c>
      <c r="C635" s="2" t="n">
        <v>2</v>
      </c>
      <c r="D635" s="2" t="n">
        <v>1</v>
      </c>
      <c r="E635" s="2" t="n">
        <v>1</v>
      </c>
      <c r="F635" s="2" t="n">
        <v>55</v>
      </c>
      <c r="G635" s="2" t="s">
        <v>742</v>
      </c>
      <c r="H635" s="2" t="str">
        <f aca="false">IFERROR(__xludf.dummyfunction("IF(I642="""", """", REGEXEXTRACT(I642, ""Padrao/([^/]+)""))"),"Vila Virginia")</f>
        <v>Vila Virginia</v>
      </c>
    </row>
    <row r="636" customFormat="false" ht="15.75" hidden="false" customHeight="false" outlineLevel="0" collapsed="false">
      <c r="A636" s="2" t="n">
        <v>123983</v>
      </c>
      <c r="B636" s="2" t="s">
        <v>746</v>
      </c>
      <c r="C636" s="2" t="n">
        <v>2</v>
      </c>
      <c r="D636" s="2" t="n">
        <v>1</v>
      </c>
      <c r="E636" s="2" t="n">
        <v>1</v>
      </c>
      <c r="F636" s="2" t="n">
        <v>43</v>
      </c>
      <c r="G636" s="2" t="s">
        <v>742</v>
      </c>
      <c r="H636" s="2" t="str">
        <f aca="false">IFERROR(__xludf.dummyfunction("IF(I643="""", """", REGEXEXTRACT(I643, ""Padrao/([^/]+)""))"),"Condominio Uirapuru")</f>
        <v>Condominio Uirapuru</v>
      </c>
    </row>
    <row r="637" customFormat="false" ht="15.75" hidden="false" customHeight="false" outlineLevel="0" collapsed="false">
      <c r="A637" s="2" t="n">
        <v>235421</v>
      </c>
      <c r="B637" s="2" t="s">
        <v>747</v>
      </c>
      <c r="C637" s="2" t="n">
        <v>2</v>
      </c>
      <c r="D637" s="2" t="n">
        <v>1</v>
      </c>
      <c r="E637" s="2" t="n">
        <v>1</v>
      </c>
      <c r="F637" s="2" t="n">
        <v>42</v>
      </c>
      <c r="G637" s="2" t="s">
        <v>688</v>
      </c>
      <c r="H637" s="2" t="str">
        <f aca="false">IFERROR(__xludf.dummyfunction("IF(I644="""", """", REGEXEXTRACT(I644, ""Padrao/([^/]+)""))"),"Quintino Facci II")</f>
        <v>Quintino Facci II</v>
      </c>
    </row>
    <row r="638" customFormat="false" ht="15.75" hidden="false" customHeight="false" outlineLevel="0" collapsed="false">
      <c r="A638" s="2" t="n">
        <v>169865</v>
      </c>
      <c r="B638" s="2" t="s">
        <v>748</v>
      </c>
      <c r="C638" s="2" t="n">
        <v>2</v>
      </c>
      <c r="D638" s="2" t="n">
        <v>1</v>
      </c>
      <c r="E638" s="2" t="n">
        <v>1</v>
      </c>
      <c r="F638" s="2" t="n">
        <v>45</v>
      </c>
      <c r="G638" s="2" t="s">
        <v>700</v>
      </c>
      <c r="H638" s="2" t="str">
        <f aca="false">IFERROR(__xludf.dummyfunction("IF(I645="""", """", REGEXEXTRACT(I645, ""Padrao/([^/]+)""))"),"Parque Sao Sebastiao")</f>
        <v>Parque Sao Sebastiao</v>
      </c>
    </row>
    <row r="639" customFormat="false" ht="15.75" hidden="false" customHeight="false" outlineLevel="0" collapsed="false">
      <c r="A639" s="2" t="n">
        <v>244898</v>
      </c>
      <c r="B639" s="2" t="s">
        <v>749</v>
      </c>
      <c r="C639" s="2" t="n">
        <v>1</v>
      </c>
      <c r="D639" s="2" t="n">
        <v>1</v>
      </c>
      <c r="E639" s="2" t="n">
        <v>1</v>
      </c>
      <c r="F639" s="2" t="n">
        <v>37</v>
      </c>
      <c r="G639" s="2" t="s">
        <v>412</v>
      </c>
      <c r="H639" s="2" t="str">
        <f aca="false">IFERROR(__xludf.dummyfunction("IF(I646="""", """", REGEXEXTRACT(I646, ""Padrao/([^/]+)""))"),"Ribeirania")</f>
        <v>Ribeirania</v>
      </c>
    </row>
    <row r="640" customFormat="false" ht="15.75" hidden="false" customHeight="false" outlineLevel="0" collapsed="false">
      <c r="A640" s="2" t="n">
        <v>244871</v>
      </c>
      <c r="B640" s="2" t="s">
        <v>701</v>
      </c>
      <c r="C640" s="2" t="n">
        <v>2</v>
      </c>
      <c r="D640" s="2" t="n">
        <v>1</v>
      </c>
      <c r="E640" s="2" t="n">
        <v>1</v>
      </c>
      <c r="F640" s="2" t="n">
        <v>43</v>
      </c>
      <c r="G640" s="2" t="s">
        <v>412</v>
      </c>
      <c r="H640" s="2" t="str">
        <f aca="false">IFERROR(__xludf.dummyfunction("IF(I647="""", """", REGEXEXTRACT(I647, ""Padrao/([^/]+)""))"),"Valentina Figueiredo")</f>
        <v>Valentina Figueiredo</v>
      </c>
    </row>
    <row r="641" customFormat="false" ht="15.75" hidden="false" customHeight="false" outlineLevel="0" collapsed="false">
      <c r="A641" s="2" t="n">
        <v>235475</v>
      </c>
      <c r="B641" s="2" t="s">
        <v>709</v>
      </c>
      <c r="C641" s="2" t="n">
        <v>2</v>
      </c>
      <c r="D641" s="2" t="n">
        <v>1</v>
      </c>
      <c r="E641" s="2" t="n">
        <v>1</v>
      </c>
      <c r="F641" s="2" t="n">
        <v>43</v>
      </c>
      <c r="G641" s="2" t="s">
        <v>412</v>
      </c>
      <c r="H641" s="2" t="str">
        <f aca="false">IFERROR(__xludf.dummyfunction("IF(I648="""", """", REGEXEXTRACT(I648, ""Padrao/([^/]+)""))"),"Jardim Diva Tarla de Carvalho")</f>
        <v>Jardim Diva Tarla de Carvalho</v>
      </c>
    </row>
    <row r="642" customFormat="false" ht="15.75" hidden="false" customHeight="false" outlineLevel="0" collapsed="false">
      <c r="A642" s="2" t="n">
        <v>228845</v>
      </c>
      <c r="B642" s="2" t="s">
        <v>750</v>
      </c>
      <c r="C642" s="2" t="n">
        <v>2</v>
      </c>
      <c r="D642" s="2" t="n">
        <v>1</v>
      </c>
      <c r="E642" s="2" t="n">
        <v>1</v>
      </c>
      <c r="F642" s="2" t="n">
        <v>42</v>
      </c>
      <c r="G642" s="2" t="s">
        <v>412</v>
      </c>
      <c r="H642" s="2" t="str">
        <f aca="false">IFERROR(__xludf.dummyfunction("IF(I649="""", """", REGEXEXTRACT(I649, ""Padrao/([^/]+)""))"),"Ipiranga")</f>
        <v>Ipiranga</v>
      </c>
    </row>
    <row r="643" customFormat="false" ht="15.75" hidden="false" customHeight="false" outlineLevel="0" collapsed="false">
      <c r="A643" s="2" t="n">
        <v>224645</v>
      </c>
      <c r="B643" s="2" t="s">
        <v>751</v>
      </c>
      <c r="C643" s="2" t="n">
        <v>2</v>
      </c>
      <c r="D643" s="2" t="n">
        <v>1</v>
      </c>
      <c r="E643" s="2" t="n">
        <v>1</v>
      </c>
      <c r="F643" s="2" t="n">
        <v>42</v>
      </c>
      <c r="G643" s="2" t="s">
        <v>412</v>
      </c>
      <c r="H643" s="2" t="str">
        <f aca="false">IFERROR(__xludf.dummyfunction("IF(I650="""", """", REGEXEXTRACT(I650, ""Padrao/([^/]+)""))"),"Valentina Figueiredo")</f>
        <v>Valentina Figueiredo</v>
      </c>
    </row>
    <row r="644" customFormat="false" ht="15.75" hidden="false" customHeight="false" outlineLevel="0" collapsed="false">
      <c r="A644" s="2" t="n">
        <v>183188</v>
      </c>
      <c r="B644" s="2" t="s">
        <v>752</v>
      </c>
      <c r="C644" s="2" t="n">
        <v>2</v>
      </c>
      <c r="D644" s="2" t="n">
        <v>1</v>
      </c>
      <c r="E644" s="2" t="n">
        <v>1</v>
      </c>
      <c r="F644" s="2" t="n">
        <v>48</v>
      </c>
      <c r="G644" s="2" t="s">
        <v>412</v>
      </c>
      <c r="H644" s="2" t="str">
        <f aca="false">IFERROR(__xludf.dummyfunction("IF(I651="""", """", REGEXEXTRACT(I651, ""Padrao/([^/]+)""))"),"Parque Sao Sebastiao")</f>
        <v>Parque Sao Sebastiao</v>
      </c>
    </row>
    <row r="645" customFormat="false" ht="15.75" hidden="false" customHeight="false" outlineLevel="0" collapsed="false">
      <c r="A645" s="2" t="n">
        <v>169922</v>
      </c>
      <c r="B645" s="2" t="s">
        <v>378</v>
      </c>
      <c r="C645" s="2" t="n">
        <v>2</v>
      </c>
      <c r="D645" s="2" t="n">
        <v>1</v>
      </c>
      <c r="E645" s="2" t="n">
        <v>1</v>
      </c>
      <c r="F645" s="2" t="n">
        <v>42</v>
      </c>
      <c r="G645" s="2" t="s">
        <v>412</v>
      </c>
      <c r="H645" s="2" t="str">
        <f aca="false">IFERROR(__xludf.dummyfunction("IF(I652="""", """", REGEXEXTRACT(I652, ""Padrao/([^/]+)""))"),"Jardim Joao Rossi")</f>
        <v>Jardim Joao Rossi</v>
      </c>
    </row>
    <row r="646" customFormat="false" ht="15.75" hidden="false" customHeight="false" outlineLevel="0" collapsed="false">
      <c r="A646" s="2" t="n">
        <v>139487</v>
      </c>
      <c r="B646" s="2" t="s">
        <v>753</v>
      </c>
      <c r="C646" s="2" t="n">
        <v>2</v>
      </c>
      <c r="D646" s="2" t="n">
        <v>1</v>
      </c>
      <c r="E646" s="2" t="n">
        <v>1</v>
      </c>
      <c r="F646" s="2" t="n">
        <v>45</v>
      </c>
      <c r="G646" s="2" t="s">
        <v>412</v>
      </c>
      <c r="H646" s="2" t="str">
        <f aca="false">IFERROR(__xludf.dummyfunction("IF(I653="""", """", REGEXEXTRACT(I653, ""Padrao/([^/]+)""))"),"Parque dos Lagos")</f>
        <v>Parque dos Lagos</v>
      </c>
    </row>
    <row r="647" customFormat="false" ht="15.75" hidden="false" customHeight="false" outlineLevel="0" collapsed="false">
      <c r="A647" s="2" t="n">
        <v>128798</v>
      </c>
      <c r="B647" s="2" t="s">
        <v>162</v>
      </c>
      <c r="C647" s="2" t="n">
        <v>2</v>
      </c>
      <c r="D647" s="2" t="n">
        <v>1</v>
      </c>
      <c r="E647" s="2" t="n">
        <v>1</v>
      </c>
      <c r="F647" s="2" t="n">
        <v>53</v>
      </c>
      <c r="G647" s="2" t="s">
        <v>412</v>
      </c>
      <c r="H647" s="2" t="str">
        <f aca="false">IFERROR(__xludf.dummyfunction("IF(I654="""", """", REGEXEXTRACT(I654, ""Padrao/([^/]+)""))"),"Jardim Heitor Rigon")</f>
        <v>Jardim Heitor Rigon</v>
      </c>
    </row>
    <row r="648" customFormat="false" ht="15.75" hidden="false" customHeight="false" outlineLevel="0" collapsed="false">
      <c r="A648" s="2" t="n">
        <v>227600</v>
      </c>
      <c r="B648" s="2" t="s">
        <v>323</v>
      </c>
      <c r="C648" s="2" t="n">
        <v>4</v>
      </c>
      <c r="D648" s="2" t="n">
        <v>6</v>
      </c>
      <c r="E648" s="2" t="n">
        <v>4</v>
      </c>
      <c r="F648" s="2" t="n">
        <v>227</v>
      </c>
      <c r="G648" s="2" t="s">
        <v>354</v>
      </c>
      <c r="H648" s="2" t="str">
        <f aca="false">IFERROR(__xludf.dummyfunction("IF(I655="""", """", REGEXEXTRACT(I655, ""Padrao/([^/]+)""))"),"Jardim Ilhas do Sul")</f>
        <v>Jardim Ilhas do Sul</v>
      </c>
    </row>
    <row r="649" customFormat="false" ht="15.75" hidden="false" customHeight="false" outlineLevel="0" collapsed="false">
      <c r="A649" s="2" t="n">
        <v>234023</v>
      </c>
      <c r="B649" s="2" t="s">
        <v>754</v>
      </c>
      <c r="C649" s="2" t="n">
        <v>4</v>
      </c>
      <c r="D649" s="2" t="n">
        <v>6</v>
      </c>
      <c r="E649" s="2" t="n">
        <v>4</v>
      </c>
      <c r="F649" s="2" t="n">
        <v>254</v>
      </c>
      <c r="G649" s="2" t="s">
        <v>755</v>
      </c>
      <c r="H649" s="2" t="str">
        <f aca="false">IFERROR(__xludf.dummyfunction("IF(I656="""", """", REGEXEXTRACT(I656, ""Padrao/([^/]+)""))"),"Jardim Olhos DAgua")</f>
        <v>Jardim Olhos DAgua</v>
      </c>
    </row>
    <row r="650" customFormat="false" ht="15.75" hidden="false" customHeight="false" outlineLevel="0" collapsed="false">
      <c r="A650" s="2" t="n">
        <v>225467</v>
      </c>
      <c r="B650" s="2" t="s">
        <v>162</v>
      </c>
      <c r="C650" s="2" t="n">
        <v>4</v>
      </c>
      <c r="D650" s="2" t="n">
        <v>6</v>
      </c>
      <c r="E650" s="2" t="n">
        <v>4</v>
      </c>
      <c r="F650" s="2" t="n">
        <v>243</v>
      </c>
      <c r="G650" s="2" t="s">
        <v>494</v>
      </c>
      <c r="H650" s="2" t="str">
        <f aca="false">IFERROR(__xludf.dummyfunction("IF(I657="""", """", REGEXEXTRACT(I657, ""Padrao/([^/]+)""))"),"Jardim Ilhas do Sul")</f>
        <v>Jardim Ilhas do Sul</v>
      </c>
    </row>
    <row r="651" customFormat="false" ht="15.75" hidden="false" customHeight="false" outlineLevel="0" collapsed="false">
      <c r="A651" s="2" t="n">
        <v>202016</v>
      </c>
      <c r="B651" s="2" t="s">
        <v>756</v>
      </c>
      <c r="C651" s="2" t="n">
        <v>2</v>
      </c>
      <c r="D651" s="2" t="n">
        <v>1</v>
      </c>
      <c r="E651" s="2" t="n">
        <v>1</v>
      </c>
      <c r="F651" s="2" t="n">
        <v>48</v>
      </c>
      <c r="G651" s="2" t="s">
        <v>394</v>
      </c>
      <c r="H651" s="2" t="str">
        <f aca="false">IFERROR(__xludf.dummyfunction("IF(I658="""", """", REGEXEXTRACT(I658, ""Padrao/([^/]+)""))"),"Geraldo Correia de Carvalho")</f>
        <v>Geraldo Correia de Carvalho</v>
      </c>
    </row>
    <row r="652" customFormat="false" ht="15.75" hidden="false" customHeight="false" outlineLevel="0" collapsed="false">
      <c r="A652" s="2" t="n">
        <v>127100</v>
      </c>
      <c r="B652" s="2" t="s">
        <v>757</v>
      </c>
      <c r="C652" s="2" t="n">
        <v>2</v>
      </c>
      <c r="D652" s="2" t="n">
        <v>1</v>
      </c>
      <c r="E652" s="2" t="n">
        <v>1</v>
      </c>
      <c r="F652" s="2" t="n">
        <v>42</v>
      </c>
      <c r="G652" s="2" t="s">
        <v>688</v>
      </c>
      <c r="H652" s="2" t="str">
        <f aca="false">IFERROR(__xludf.dummyfunction("IF(I659="""", """", REGEXEXTRACT(I659, ""Padrao/([^/]+)""))"),"Jardim Heitor Rigon")</f>
        <v>Jardim Heitor Rigon</v>
      </c>
    </row>
    <row r="653" customFormat="false" ht="15.75" hidden="false" customHeight="false" outlineLevel="0" collapsed="false">
      <c r="A653" s="2" t="n">
        <v>221429</v>
      </c>
      <c r="B653" s="2" t="s">
        <v>758</v>
      </c>
      <c r="C653" s="2" t="n">
        <v>2</v>
      </c>
      <c r="D653" s="2" t="n">
        <v>1</v>
      </c>
      <c r="E653" s="2" t="n">
        <v>1</v>
      </c>
      <c r="F653" s="2" t="n">
        <v>41</v>
      </c>
      <c r="G653" s="2" t="s">
        <v>700</v>
      </c>
      <c r="H653" s="2" t="str">
        <f aca="false">IFERROR(__xludf.dummyfunction("IF(I660="""", """", REGEXEXTRACT(I660, ""Padrao/([^/]+)""))"),"Conjunto Habitacional Silvio Passalacqua")</f>
        <v>Conjunto Habitacional Silvio Passalacqua</v>
      </c>
    </row>
    <row r="654" customFormat="false" ht="15.75" hidden="false" customHeight="false" outlineLevel="0" collapsed="false">
      <c r="A654" s="2" t="n">
        <v>82289</v>
      </c>
      <c r="B654" s="2" t="s">
        <v>162</v>
      </c>
      <c r="C654" s="2" t="n">
        <v>2</v>
      </c>
      <c r="D654" s="2" t="n">
        <v>1</v>
      </c>
      <c r="E654" s="2" t="n">
        <v>1</v>
      </c>
      <c r="F654" s="2" t="n">
        <v>55</v>
      </c>
      <c r="G654" s="2" t="s">
        <v>700</v>
      </c>
      <c r="H654" s="2" t="str">
        <f aca="false">IFERROR(__xludf.dummyfunction("IF(I661="""", """", REGEXEXTRACT(I661, ""Padrao/([^/]+)""))"),"Vila Virginia")</f>
        <v>Vila Virginia</v>
      </c>
    </row>
    <row r="655" customFormat="false" ht="15.75" hidden="false" customHeight="false" outlineLevel="0" collapsed="false">
      <c r="A655" s="2" t="n">
        <v>231086</v>
      </c>
      <c r="B655" s="2" t="s">
        <v>398</v>
      </c>
      <c r="C655" s="2" t="n">
        <v>2</v>
      </c>
      <c r="D655" s="2" t="n">
        <v>2</v>
      </c>
      <c r="E655" s="2" t="n">
        <v>1</v>
      </c>
      <c r="F655" s="2" t="n">
        <v>43</v>
      </c>
      <c r="G655" s="2" t="s">
        <v>407</v>
      </c>
      <c r="H655" s="2" t="str">
        <f aca="false">IFERROR(__xludf.dummyfunction("IF(I662="""", """", REGEXEXTRACT(I662, ""Padrao/([^/]+)""))"),"Jardim Heitor Rigon")</f>
        <v>Jardim Heitor Rigon</v>
      </c>
    </row>
    <row r="656" customFormat="false" ht="15.75" hidden="false" customHeight="false" outlineLevel="0" collapsed="false">
      <c r="A656" s="2" t="n">
        <v>200147</v>
      </c>
      <c r="B656" s="2" t="s">
        <v>759</v>
      </c>
      <c r="C656" s="2" t="n">
        <v>2</v>
      </c>
      <c r="D656" s="2" t="n">
        <v>1</v>
      </c>
      <c r="E656" s="2" t="n">
        <v>1</v>
      </c>
      <c r="F656" s="2" t="n">
        <v>44</v>
      </c>
      <c r="G656" s="2" t="s">
        <v>407</v>
      </c>
      <c r="H656" s="2" t="str">
        <f aca="false">IFERROR(__xludf.dummyfunction("IF(I663="""", """", REGEXEXTRACT(I663, ""Padrao/([^/]+)""))"),"Valentina Figueiredo")</f>
        <v>Valentina Figueiredo</v>
      </c>
    </row>
    <row r="657" customFormat="false" ht="15.75" hidden="false" customHeight="false" outlineLevel="0" collapsed="false">
      <c r="A657" s="2" t="n">
        <v>192353</v>
      </c>
      <c r="B657" s="2" t="s">
        <v>760</v>
      </c>
      <c r="C657" s="2" t="n">
        <v>1</v>
      </c>
      <c r="D657" s="2" t="n">
        <v>1</v>
      </c>
      <c r="E657" s="2" t="n">
        <v>1</v>
      </c>
      <c r="F657" s="2" t="n">
        <v>45</v>
      </c>
      <c r="G657" s="2" t="s">
        <v>407</v>
      </c>
      <c r="H657" s="2" t="str">
        <f aca="false">IFERROR(__xludf.dummyfunction("IF(I664="""", """", REGEXEXTRACT(I664, ""Padrao/([^/]+)""))"),"Ipiranga")</f>
        <v>Ipiranga</v>
      </c>
    </row>
    <row r="658" customFormat="false" ht="15.75" hidden="false" customHeight="false" outlineLevel="0" collapsed="false">
      <c r="A658" s="2" t="n">
        <v>242540</v>
      </c>
      <c r="B658" s="2" t="s">
        <v>761</v>
      </c>
      <c r="C658" s="2" t="n">
        <v>2</v>
      </c>
      <c r="D658" s="2" t="n">
        <v>1</v>
      </c>
      <c r="E658" s="2" t="n">
        <v>1</v>
      </c>
      <c r="F658" s="2" t="n">
        <v>44</v>
      </c>
      <c r="G658" s="2" t="s">
        <v>414</v>
      </c>
      <c r="H658" s="2" t="str">
        <f aca="false">IFERROR(__xludf.dummyfunction("IF(I665="""", """", REGEXEXTRACT(I665, ""Padrao/([^/]+)""))"),"Jardim Itau")</f>
        <v>Jardim Itau</v>
      </c>
    </row>
    <row r="659" customFormat="false" ht="15.75" hidden="false" customHeight="false" outlineLevel="0" collapsed="false">
      <c r="A659" s="2" t="n">
        <v>239669</v>
      </c>
      <c r="B659" s="2" t="s">
        <v>722</v>
      </c>
      <c r="C659" s="2" t="n">
        <v>2</v>
      </c>
      <c r="D659" s="2" t="n">
        <v>1</v>
      </c>
      <c r="E659" s="2" t="n">
        <v>1</v>
      </c>
      <c r="F659" s="2" t="n">
        <v>42</v>
      </c>
      <c r="G659" s="2" t="s">
        <v>414</v>
      </c>
      <c r="H659" s="2" t="str">
        <f aca="false">IFERROR(__xludf.dummyfunction("IF(I666="""", """", REGEXEXTRACT(I666, ""Padrao/([^/]+)""))"),"Jardim Heitor Rigon")</f>
        <v>Jardim Heitor Rigon</v>
      </c>
    </row>
    <row r="660" customFormat="false" ht="15.75" hidden="false" customHeight="false" outlineLevel="0" collapsed="false">
      <c r="A660" s="2" t="n">
        <v>239204</v>
      </c>
      <c r="B660" s="2" t="s">
        <v>704</v>
      </c>
      <c r="C660" s="2" t="n">
        <v>2</v>
      </c>
      <c r="D660" s="2" t="n">
        <v>1</v>
      </c>
      <c r="E660" s="2" t="n">
        <v>1</v>
      </c>
      <c r="F660" s="2" t="n">
        <v>42</v>
      </c>
      <c r="G660" s="2" t="s">
        <v>414</v>
      </c>
      <c r="H660" s="2" t="str">
        <f aca="false">IFERROR(__xludf.dummyfunction("IF(I667="""", """", REGEXEXTRACT(I667, ""Padrao/([^/]+)""))"),"Jardim Joao Rossi")</f>
        <v>Jardim Joao Rossi</v>
      </c>
    </row>
    <row r="661" customFormat="false" ht="15.75" hidden="false" customHeight="false" outlineLevel="0" collapsed="false">
      <c r="A661" s="2" t="n">
        <v>239174</v>
      </c>
      <c r="B661" s="2" t="s">
        <v>762</v>
      </c>
      <c r="C661" s="2" t="n">
        <v>2</v>
      </c>
      <c r="D661" s="2" t="n">
        <v>1</v>
      </c>
      <c r="E661" s="2" t="n">
        <v>1</v>
      </c>
      <c r="F661" s="2" t="n">
        <v>41</v>
      </c>
      <c r="G661" s="2" t="s">
        <v>414</v>
      </c>
      <c r="H661" s="2" t="str">
        <f aca="false">IFERROR(__xludf.dummyfunction("IF(I668="""", """", REGEXEXTRACT(I668, ""Padrao/([^/]+)""))"),"Conjunto Habitacional Silvio Passalacqua")</f>
        <v>Conjunto Habitacional Silvio Passalacqua</v>
      </c>
    </row>
    <row r="662" customFormat="false" ht="15.75" hidden="false" customHeight="false" outlineLevel="0" collapsed="false">
      <c r="A662" s="2" t="n">
        <v>237797</v>
      </c>
      <c r="B662" s="2" t="s">
        <v>763</v>
      </c>
      <c r="C662" s="2" t="n">
        <v>2</v>
      </c>
      <c r="D662" s="2" t="n">
        <v>1</v>
      </c>
      <c r="E662" s="2" t="n">
        <v>1</v>
      </c>
      <c r="F662" s="2" t="n">
        <v>50</v>
      </c>
      <c r="G662" s="2" t="s">
        <v>414</v>
      </c>
      <c r="H662" s="2" t="str">
        <f aca="false">IFERROR(__xludf.dummyfunction("IF(I669="""", """", REGEXEXTRACT(I669, ""Padrao/([^/]+)""))"),"Jardim Heitor Rigon")</f>
        <v>Jardim Heitor Rigon</v>
      </c>
    </row>
    <row r="663" customFormat="false" ht="15.75" hidden="false" customHeight="false" outlineLevel="0" collapsed="false">
      <c r="A663" s="2" t="n">
        <v>237263</v>
      </c>
      <c r="B663" s="2" t="s">
        <v>455</v>
      </c>
      <c r="C663" s="2" t="n">
        <v>2</v>
      </c>
      <c r="D663" s="2" t="n">
        <v>1</v>
      </c>
      <c r="E663" s="2" t="n">
        <v>1</v>
      </c>
      <c r="F663" s="2" t="n">
        <v>40</v>
      </c>
      <c r="G663" s="2" t="s">
        <v>414</v>
      </c>
      <c r="H663" s="2" t="str">
        <f aca="false">IFERROR(__xludf.dummyfunction("IF(I670="""", """", REGEXEXTRACT(I670, ""Padrao/([^/]+)""))"),"Reserva Real")</f>
        <v>Reserva Real</v>
      </c>
    </row>
    <row r="664" customFormat="false" ht="15.75" hidden="false" customHeight="false" outlineLevel="0" collapsed="false">
      <c r="A664" s="2" t="n">
        <v>236420</v>
      </c>
      <c r="B664" s="2" t="s">
        <v>722</v>
      </c>
      <c r="C664" s="2" t="n">
        <v>2</v>
      </c>
      <c r="D664" s="2" t="n">
        <v>1</v>
      </c>
      <c r="E664" s="2" t="n">
        <v>1</v>
      </c>
      <c r="F664" s="2" t="n">
        <v>42</v>
      </c>
      <c r="G664" s="2" t="s">
        <v>414</v>
      </c>
      <c r="H664" s="2" t="str">
        <f aca="false">IFERROR(__xludf.dummyfunction("IF(I671="""", """", REGEXEXTRACT(I671, ""Padrao/([^/]+)""))"),"Jardim Heitor Rigon")</f>
        <v>Jardim Heitor Rigon</v>
      </c>
    </row>
    <row r="665" customFormat="false" ht="15.75" hidden="false" customHeight="false" outlineLevel="0" collapsed="false">
      <c r="A665" s="2" t="n">
        <v>235907</v>
      </c>
      <c r="B665" s="2" t="s">
        <v>764</v>
      </c>
      <c r="C665" s="2" t="n">
        <v>2</v>
      </c>
      <c r="D665" s="2" t="n">
        <v>1</v>
      </c>
      <c r="E665" s="2" t="n">
        <v>1</v>
      </c>
      <c r="F665" s="2" t="n">
        <v>49</v>
      </c>
      <c r="G665" s="2" t="s">
        <v>414</v>
      </c>
      <c r="H665" s="2" t="str">
        <f aca="false">IFERROR(__xludf.dummyfunction("IF(I672="""", """", REGEXEXTRACT(I672, ""Padrao/([^/]+)""))"),"Jardim Marchesi")</f>
        <v>Jardim Marchesi</v>
      </c>
    </row>
    <row r="666" customFormat="false" ht="15.75" hidden="false" customHeight="false" outlineLevel="0" collapsed="false">
      <c r="A666" s="2" t="n">
        <v>233864</v>
      </c>
      <c r="B666" s="2" t="s">
        <v>765</v>
      </c>
      <c r="C666" s="2" t="n">
        <v>2</v>
      </c>
      <c r="D666" s="2" t="n">
        <v>1</v>
      </c>
      <c r="E666" s="2" t="n">
        <v>1</v>
      </c>
      <c r="F666" s="2" t="n">
        <v>42</v>
      </c>
      <c r="G666" s="2" t="s">
        <v>414</v>
      </c>
      <c r="H666" s="2" t="str">
        <f aca="false">IFERROR(__xludf.dummyfunction("IF(I673="""", """", REGEXEXTRACT(I673, ""Padrao/([^/]+)""))"),"Ribeirao Verde")</f>
        <v>Ribeirao Verde</v>
      </c>
    </row>
    <row r="667" customFormat="false" ht="15.75" hidden="false" customHeight="false" outlineLevel="0" collapsed="false">
      <c r="A667" s="2" t="n">
        <v>232424</v>
      </c>
      <c r="B667" s="2" t="s">
        <v>766</v>
      </c>
      <c r="C667" s="2" t="n">
        <v>2</v>
      </c>
      <c r="D667" s="2" t="n">
        <v>1</v>
      </c>
      <c r="E667" s="2" t="n">
        <v>1</v>
      </c>
      <c r="F667" s="2" t="n">
        <v>42</v>
      </c>
      <c r="G667" s="2" t="s">
        <v>414</v>
      </c>
      <c r="H667" s="2" t="str">
        <f aca="false">IFERROR(__xludf.dummyfunction("IF(I674="""", """", REGEXEXTRACT(I674, ""Padrao/([^/]+)""))"),"Residencial Parque dos Servidores")</f>
        <v>Residencial Parque dos Servidores</v>
      </c>
    </row>
    <row r="668" customFormat="false" ht="15.75" hidden="false" customHeight="false" outlineLevel="0" collapsed="false">
      <c r="A668" s="2" t="n">
        <v>229754</v>
      </c>
      <c r="B668" s="2" t="s">
        <v>767</v>
      </c>
      <c r="C668" s="2" t="n">
        <v>2</v>
      </c>
      <c r="D668" s="2" t="n">
        <v>1</v>
      </c>
      <c r="E668" s="2" t="n">
        <v>1</v>
      </c>
      <c r="F668" s="2" t="n">
        <v>42</v>
      </c>
      <c r="G668" s="2" t="s">
        <v>414</v>
      </c>
      <c r="H668" s="2" t="str">
        <f aca="false">IFERROR(__xludf.dummyfunction("IF(I675="""", """", REGEXEXTRACT(I675, ""Padrao/([^/]+)""))"),"Jardim Heitor Rigon")</f>
        <v>Jardim Heitor Rigon</v>
      </c>
    </row>
    <row r="669" customFormat="false" ht="15.75" hidden="false" customHeight="false" outlineLevel="0" collapsed="false">
      <c r="A669" s="2" t="n">
        <v>229505</v>
      </c>
      <c r="B669" s="2" t="s">
        <v>768</v>
      </c>
      <c r="C669" s="2" t="n">
        <v>2</v>
      </c>
      <c r="D669" s="2" t="n">
        <v>1</v>
      </c>
      <c r="E669" s="2" t="n">
        <v>1</v>
      </c>
      <c r="F669" s="2" t="n">
        <v>40</v>
      </c>
      <c r="G669" s="2" t="s">
        <v>414</v>
      </c>
      <c r="H669" s="2" t="str">
        <f aca="false">IFERROR(__xludf.dummyfunction("IF(I676="""", """", REGEXEXTRACT(I676, ""Padrao/([^/]+)""))"),"Parque dos Pinus")</f>
        <v>Parque dos Pinus</v>
      </c>
    </row>
    <row r="670" customFormat="false" ht="15.75" hidden="false" customHeight="false" outlineLevel="0" collapsed="false">
      <c r="A670" s="2" t="n">
        <v>228608</v>
      </c>
      <c r="B670" s="2" t="s">
        <v>769</v>
      </c>
      <c r="C670" s="2" t="n">
        <v>2</v>
      </c>
      <c r="D670" s="2" t="n">
        <v>1</v>
      </c>
      <c r="E670" s="2" t="n">
        <v>1</v>
      </c>
      <c r="F670" s="2" t="n">
        <v>47</v>
      </c>
      <c r="G670" s="2" t="s">
        <v>414</v>
      </c>
      <c r="H670" s="2" t="str">
        <f aca="false">IFERROR(__xludf.dummyfunction("IF(I677="""", """", REGEXEXTRACT(I677, ""Padrao/([^/]+)""))"),"Jardim Jose Figueira")</f>
        <v>Jardim Jose Figueira</v>
      </c>
    </row>
    <row r="671" customFormat="false" ht="15.75" hidden="false" customHeight="false" outlineLevel="0" collapsed="false">
      <c r="A671" s="2" t="n">
        <v>227138</v>
      </c>
      <c r="B671" s="2" t="s">
        <v>750</v>
      </c>
      <c r="C671" s="2" t="n">
        <v>2</v>
      </c>
      <c r="D671" s="2" t="n">
        <v>1</v>
      </c>
      <c r="E671" s="2" t="n">
        <v>1</v>
      </c>
      <c r="F671" s="2" t="n">
        <v>42</v>
      </c>
      <c r="G671" s="2" t="s">
        <v>414</v>
      </c>
      <c r="H671" s="2" t="str">
        <f aca="false">IFERROR(__xludf.dummyfunction("IF(I678="""", """", REGEXEXTRACT(I678, ""Padrao/([^/]+)""))"),"Ipiranga")</f>
        <v>Ipiranga</v>
      </c>
    </row>
    <row r="672" customFormat="false" ht="15.75" hidden="false" customHeight="false" outlineLevel="0" collapsed="false">
      <c r="A672" s="2" t="n">
        <v>224588</v>
      </c>
      <c r="B672" s="2" t="s">
        <v>770</v>
      </c>
      <c r="C672" s="2" t="n">
        <v>2</v>
      </c>
      <c r="D672" s="2" t="n">
        <v>1</v>
      </c>
      <c r="E672" s="2" t="n">
        <v>1</v>
      </c>
      <c r="F672" s="2" t="n">
        <v>42</v>
      </c>
      <c r="G672" s="2" t="s">
        <v>414</v>
      </c>
      <c r="H672" s="2" t="str">
        <f aca="false">IFERROR(__xludf.dummyfunction("IF(I679="""", """", REGEXEXTRACT(I679, ""Padrao/([^/]+)""))"),"Ipiranga")</f>
        <v>Ipiranga</v>
      </c>
    </row>
    <row r="673" customFormat="false" ht="15.75" hidden="false" customHeight="false" outlineLevel="0" collapsed="false">
      <c r="A673" s="2" t="n">
        <v>216680</v>
      </c>
      <c r="B673" s="2" t="s">
        <v>771</v>
      </c>
      <c r="C673" s="2" t="n">
        <v>2</v>
      </c>
      <c r="D673" s="2" t="n">
        <v>1</v>
      </c>
      <c r="E673" s="2" t="n">
        <v>1</v>
      </c>
      <c r="F673" s="2" t="n">
        <v>43</v>
      </c>
      <c r="G673" s="2" t="s">
        <v>414</v>
      </c>
      <c r="H673" s="2" t="str">
        <f aca="false">IFERROR(__xludf.dummyfunction("IF(I680="""", """", REGEXEXTRACT(I680, ""Padrao/([^/]+)""))"),"Jardim Diva Tarla de Carvalho")</f>
        <v>Jardim Diva Tarla de Carvalho</v>
      </c>
    </row>
    <row r="674" customFormat="false" ht="15.75" hidden="false" customHeight="false" outlineLevel="0" collapsed="false">
      <c r="A674" s="2" t="n">
        <v>190784</v>
      </c>
      <c r="B674" s="2" t="s">
        <v>772</v>
      </c>
      <c r="C674" s="2" t="n">
        <v>2</v>
      </c>
      <c r="D674" s="2" t="n">
        <v>1</v>
      </c>
      <c r="E674" s="2" t="n">
        <v>1</v>
      </c>
      <c r="F674" s="2" t="n">
        <v>42</v>
      </c>
      <c r="G674" s="2" t="s">
        <v>414</v>
      </c>
      <c r="H674" s="2" t="str">
        <f aca="false">IFERROR(__xludf.dummyfunction("IF(I681="""", """", REGEXEXTRACT(I681, ""Padrao/([^/]+)""))"),"Ipiranga")</f>
        <v>Ipiranga</v>
      </c>
    </row>
    <row r="675" customFormat="false" ht="15.75" hidden="false" customHeight="false" outlineLevel="0" collapsed="false">
      <c r="A675" s="2" t="n">
        <v>178775</v>
      </c>
      <c r="B675" s="2" t="s">
        <v>773</v>
      </c>
      <c r="C675" s="2" t="n">
        <v>2</v>
      </c>
      <c r="D675" s="2" t="n">
        <v>1</v>
      </c>
      <c r="E675" s="2" t="n">
        <v>1</v>
      </c>
      <c r="F675" s="2" t="n">
        <v>55</v>
      </c>
      <c r="G675" s="2" t="s">
        <v>414</v>
      </c>
      <c r="H675" s="2" t="str">
        <f aca="false">IFERROR(__xludf.dummyfunction("IF(I682="""", """", REGEXEXTRACT(I682, ""Padrao/([^/]+)""))"),"Jardim Presidente Dutra II")</f>
        <v>Jardim Presidente Dutra II</v>
      </c>
    </row>
    <row r="676" customFormat="false" ht="15.75" hidden="false" customHeight="false" outlineLevel="0" collapsed="false">
      <c r="A676" s="2" t="n">
        <v>162665</v>
      </c>
      <c r="B676" s="2" t="s">
        <v>162</v>
      </c>
      <c r="C676" s="2" t="n">
        <v>2</v>
      </c>
      <c r="D676" s="2" t="n">
        <v>1</v>
      </c>
      <c r="E676" s="2" t="n">
        <v>1</v>
      </c>
      <c r="F676" s="2" t="n">
        <v>43</v>
      </c>
      <c r="G676" s="2" t="s">
        <v>414</v>
      </c>
      <c r="H676" s="2" t="str">
        <f aca="false">IFERROR(__xludf.dummyfunction("IF(I683="""", """", REGEXEXTRACT(I683, ""Padrao/([^/]+)""))"),"Jardim Diva Tarla de Carvalho")</f>
        <v>Jardim Diva Tarla de Carvalho</v>
      </c>
    </row>
    <row r="677" customFormat="false" ht="15.75" hidden="false" customHeight="false" outlineLevel="0" collapsed="false">
      <c r="A677" s="2" t="n">
        <v>161699</v>
      </c>
      <c r="B677" s="2" t="s">
        <v>386</v>
      </c>
      <c r="C677" s="2" t="n">
        <v>2</v>
      </c>
      <c r="D677" s="2" t="n">
        <v>1</v>
      </c>
      <c r="E677" s="2" t="n">
        <v>1</v>
      </c>
      <c r="F677" s="2" t="n">
        <v>44</v>
      </c>
      <c r="G677" s="2" t="s">
        <v>414</v>
      </c>
      <c r="H677" s="2" t="str">
        <f aca="false">IFERROR(__xludf.dummyfunction("IF(I684="""", """", REGEXEXTRACT(I684, ""Padrao/([^/]+)""))"),"Residencial Greenville")</f>
        <v>Residencial Greenville</v>
      </c>
    </row>
    <row r="678" customFormat="false" ht="15.75" hidden="false" customHeight="false" outlineLevel="0" collapsed="false">
      <c r="A678" s="2" t="n">
        <v>159653</v>
      </c>
      <c r="B678" s="2" t="s">
        <v>386</v>
      </c>
      <c r="C678" s="2" t="n">
        <v>1</v>
      </c>
      <c r="D678" s="2" t="n">
        <v>1</v>
      </c>
      <c r="E678" s="2" t="n">
        <v>1</v>
      </c>
      <c r="F678" s="2" t="n">
        <v>40</v>
      </c>
      <c r="G678" s="2" t="s">
        <v>414</v>
      </c>
      <c r="H678" s="2" t="str">
        <f aca="false">IFERROR(__xludf.dummyfunction("IF(I685="""", """", REGEXEXTRACT(I685, ""Padrao/([^/]+)""))"),"Residencial e Comercial Palmares")</f>
        <v>Residencial e Comercial Palmares</v>
      </c>
    </row>
    <row r="679" customFormat="false" ht="15.75" hidden="false" customHeight="false" outlineLevel="0" collapsed="false">
      <c r="A679" s="2" t="n">
        <v>158024</v>
      </c>
      <c r="B679" s="2" t="s">
        <v>668</v>
      </c>
      <c r="C679" s="2" t="n">
        <v>2</v>
      </c>
      <c r="D679" s="2" t="n">
        <v>1</v>
      </c>
      <c r="E679" s="2" t="n">
        <v>1</v>
      </c>
      <c r="F679" s="2" t="n">
        <v>42</v>
      </c>
      <c r="G679" s="2" t="s">
        <v>414</v>
      </c>
      <c r="H679" s="2" t="str">
        <f aca="false">IFERROR(__xludf.dummyfunction("IF(I686="""", """", REGEXEXTRACT(I686, ""Padrao/([^/]+)""))"),"Jardim Javari")</f>
        <v>Jardim Javari</v>
      </c>
    </row>
    <row r="680" customFormat="false" ht="15.75" hidden="false" customHeight="false" outlineLevel="0" collapsed="false">
      <c r="A680" s="2" t="n">
        <v>157856</v>
      </c>
      <c r="B680" s="2" t="s">
        <v>774</v>
      </c>
      <c r="C680" s="2" t="n">
        <v>2</v>
      </c>
      <c r="D680" s="2" t="n">
        <v>1</v>
      </c>
      <c r="E680" s="2" t="n">
        <v>1</v>
      </c>
      <c r="F680" s="2" t="n">
        <v>49</v>
      </c>
      <c r="G680" s="2" t="s">
        <v>414</v>
      </c>
      <c r="H680" s="2" t="str">
        <f aca="false">IFERROR(__xludf.dummyfunction("IF(I687="""", """", REGEXEXTRACT(I687, ""Padrao/([^/]+)""))"),"Jardim Jose Wilson Toni")</f>
        <v>Jardim Jose Wilson Toni</v>
      </c>
    </row>
    <row r="681" customFormat="false" ht="15.75" hidden="false" customHeight="false" outlineLevel="0" collapsed="false">
      <c r="A681" s="2" t="n">
        <v>148994</v>
      </c>
      <c r="B681" s="2" t="s">
        <v>368</v>
      </c>
      <c r="C681" s="2" t="n">
        <v>2</v>
      </c>
      <c r="D681" s="2" t="n">
        <v>1</v>
      </c>
      <c r="E681" s="2" t="n">
        <v>1</v>
      </c>
      <c r="F681" s="2" t="n">
        <v>42</v>
      </c>
      <c r="G681" s="2" t="s">
        <v>414</v>
      </c>
      <c r="H681" s="2" t="str">
        <f aca="false">IFERROR(__xludf.dummyfunction("IF(I688="""", """", REGEXEXTRACT(I688, ""Padrao/([^/]+)""))"),"Jardim Heitor Rigon")</f>
        <v>Jardim Heitor Rigon</v>
      </c>
    </row>
    <row r="682" customFormat="false" ht="15.75" hidden="false" customHeight="false" outlineLevel="0" collapsed="false">
      <c r="A682" s="2" t="n">
        <v>148433</v>
      </c>
      <c r="B682" s="2" t="s">
        <v>775</v>
      </c>
      <c r="C682" s="2" t="n">
        <v>2</v>
      </c>
      <c r="D682" s="2" t="n">
        <v>1</v>
      </c>
      <c r="E682" s="2" t="n">
        <v>1</v>
      </c>
      <c r="F682" s="2" t="n">
        <v>56</v>
      </c>
      <c r="G682" s="2" t="s">
        <v>414</v>
      </c>
      <c r="H682" s="2" t="str">
        <f aca="false">IFERROR(__xludf.dummyfunction("IF(I689="""", """", REGEXEXTRACT(I689, ""Padrao/([^/]+)""))"),"Vila Virginia")</f>
        <v>Vila Virginia</v>
      </c>
    </row>
    <row r="683" customFormat="false" ht="15.75" hidden="false" customHeight="false" outlineLevel="0" collapsed="false">
      <c r="A683" s="2" t="n">
        <v>147413</v>
      </c>
      <c r="B683" s="2" t="s">
        <v>776</v>
      </c>
      <c r="C683" s="2" t="n">
        <v>1</v>
      </c>
      <c r="D683" s="2" t="n">
        <v>1</v>
      </c>
      <c r="E683" s="2" t="n">
        <v>1</v>
      </c>
      <c r="F683" s="2" t="n">
        <v>41</v>
      </c>
      <c r="G683" s="2" t="s">
        <v>414</v>
      </c>
      <c r="H683" s="2" t="str">
        <f aca="false">IFERROR(__xludf.dummyfunction("IF(I690="""", """", REGEXEXTRACT(I690, ""Padrao/([^/]+)""))"),"Jardim Castelo Branco")</f>
        <v>Jardim Castelo Branco</v>
      </c>
    </row>
    <row r="684" customFormat="false" ht="15.75" hidden="false" customHeight="false" outlineLevel="0" collapsed="false">
      <c r="A684" s="2" t="n">
        <v>146777</v>
      </c>
      <c r="B684" s="2" t="s">
        <v>777</v>
      </c>
      <c r="C684" s="2" t="n">
        <v>2</v>
      </c>
      <c r="D684" s="2" t="n">
        <v>1</v>
      </c>
      <c r="E684" s="2" t="n">
        <v>1</v>
      </c>
      <c r="F684" s="2" t="n">
        <v>45</v>
      </c>
      <c r="G684" s="2" t="s">
        <v>414</v>
      </c>
      <c r="H684" s="2" t="str">
        <f aca="false">IFERROR(__xludf.dummyfunction("IF(I691="""", """", REGEXEXTRACT(I691, ""Padrao/([^/]+)""))"),"Jardim Vilico Cantarelli")</f>
        <v>Jardim Vilico Cantarelli</v>
      </c>
    </row>
    <row r="685" customFormat="false" ht="15.75" hidden="false" customHeight="false" outlineLevel="0" collapsed="false">
      <c r="A685" s="2" t="n">
        <v>146240</v>
      </c>
      <c r="B685" s="2" t="s">
        <v>733</v>
      </c>
      <c r="C685" s="2" t="n">
        <v>2</v>
      </c>
      <c r="D685" s="2" t="n">
        <v>1</v>
      </c>
      <c r="E685" s="2" t="n">
        <v>1</v>
      </c>
      <c r="F685" s="2" t="n">
        <v>48</v>
      </c>
      <c r="G685" s="2" t="s">
        <v>414</v>
      </c>
      <c r="H685" s="2" t="str">
        <f aca="false">IFERROR(__xludf.dummyfunction("IF(I692="""", """", REGEXEXTRACT(I692, ""Padrao/([^/]+)""))"),"Ipiranga")</f>
        <v>Ipiranga</v>
      </c>
    </row>
    <row r="686" customFormat="false" ht="15.75" hidden="false" customHeight="false" outlineLevel="0" collapsed="false">
      <c r="A686" s="2" t="n">
        <v>144869</v>
      </c>
      <c r="B686" s="2" t="s">
        <v>419</v>
      </c>
      <c r="C686" s="2" t="n">
        <v>2</v>
      </c>
      <c r="D686" s="2" t="n">
        <v>1</v>
      </c>
      <c r="E686" s="2" t="n">
        <v>1</v>
      </c>
      <c r="F686" s="2" t="n">
        <v>42</v>
      </c>
      <c r="G686" s="2" t="s">
        <v>414</v>
      </c>
      <c r="H686" s="2" t="str">
        <f aca="false">IFERROR(__xludf.dummyfunction("IF(I693="""", """", REGEXEXTRACT(I693, ""Padrao/([^/]+)""))"),"Valentina Figueiredo")</f>
        <v>Valentina Figueiredo</v>
      </c>
    </row>
    <row r="687" customFormat="false" ht="15.75" hidden="false" customHeight="false" outlineLevel="0" collapsed="false">
      <c r="A687" s="2" t="n">
        <v>141398</v>
      </c>
      <c r="B687" s="2" t="s">
        <v>778</v>
      </c>
      <c r="C687" s="2" t="n">
        <v>2</v>
      </c>
      <c r="D687" s="2" t="n">
        <v>1</v>
      </c>
      <c r="E687" s="2" t="n">
        <v>1</v>
      </c>
      <c r="F687" s="2" t="n">
        <v>43</v>
      </c>
      <c r="G687" s="2" t="s">
        <v>414</v>
      </c>
      <c r="H687" s="2" t="str">
        <f aca="false">IFERROR(__xludf.dummyfunction("IF(I694="""", """", REGEXEXTRACT(I694, ""Padrao/([^/]+)""))"),"Valentina Figueiredo")</f>
        <v>Valentina Figueiredo</v>
      </c>
    </row>
    <row r="688" customFormat="false" ht="15.75" hidden="false" customHeight="false" outlineLevel="0" collapsed="false">
      <c r="A688" s="2" t="n">
        <v>135302</v>
      </c>
      <c r="B688" s="2" t="s">
        <v>779</v>
      </c>
      <c r="C688" s="2" t="n">
        <v>2</v>
      </c>
      <c r="D688" s="2" t="n">
        <v>1</v>
      </c>
      <c r="E688" s="2" t="n">
        <v>1</v>
      </c>
      <c r="F688" s="2" t="n">
        <v>47</v>
      </c>
      <c r="G688" s="2" t="s">
        <v>414</v>
      </c>
      <c r="H688" s="2" t="str">
        <f aca="false">IFERROR(__xludf.dummyfunction("IF(I695="""", """", REGEXEXTRACT(I695, ""Padrao/([^/]+)""))"),"Jardim das Palmeiras")</f>
        <v>Jardim das Palmeiras</v>
      </c>
    </row>
    <row r="689" customFormat="false" ht="15.75" hidden="false" customHeight="false" outlineLevel="0" collapsed="false">
      <c r="A689" s="2" t="n">
        <v>127865</v>
      </c>
      <c r="B689" s="2" t="s">
        <v>780</v>
      </c>
      <c r="C689" s="2" t="n">
        <v>1</v>
      </c>
      <c r="D689" s="2" t="n">
        <v>1</v>
      </c>
      <c r="E689" s="2" t="n">
        <v>1</v>
      </c>
      <c r="F689" s="2" t="n">
        <v>32</v>
      </c>
      <c r="G689" s="2" t="s">
        <v>414</v>
      </c>
      <c r="H689" s="2" t="str">
        <f aca="false">IFERROR(__xludf.dummyfunction("IF(I696="""", """", REGEXEXTRACT(I696, ""Padrao/([^/]+)""))"),"Vila Seixas")</f>
        <v>Vila Seixas</v>
      </c>
    </row>
    <row r="690" customFormat="false" ht="15.75" hidden="false" customHeight="false" outlineLevel="0" collapsed="false">
      <c r="A690" s="2" t="n">
        <v>125375</v>
      </c>
      <c r="B690" s="2" t="s">
        <v>162</v>
      </c>
      <c r="C690" s="2" t="n">
        <v>2</v>
      </c>
      <c r="D690" s="2" t="n">
        <v>1</v>
      </c>
      <c r="E690" s="2" t="n">
        <v>1</v>
      </c>
      <c r="F690" s="2" t="n">
        <v>48</v>
      </c>
      <c r="G690" s="2" t="s">
        <v>414</v>
      </c>
      <c r="H690" s="2" t="str">
        <f aca="false">IFERROR(__xludf.dummyfunction("IF(I697="""", """", REGEXEXTRACT(I697, ""Padrao/([^/]+)""))"),"Ipiranga")</f>
        <v>Ipiranga</v>
      </c>
    </row>
    <row r="691" customFormat="false" ht="15.75" hidden="false" customHeight="false" outlineLevel="0" collapsed="false">
      <c r="A691" s="2" t="n">
        <v>123971</v>
      </c>
      <c r="B691" s="2" t="s">
        <v>162</v>
      </c>
      <c r="C691" s="2" t="n">
        <v>2</v>
      </c>
      <c r="D691" s="2" t="n">
        <v>1</v>
      </c>
      <c r="E691" s="2" t="n">
        <v>1</v>
      </c>
      <c r="F691" s="2" t="n">
        <v>45</v>
      </c>
      <c r="G691" s="2" t="s">
        <v>414</v>
      </c>
      <c r="H691" s="2" t="str">
        <f aca="false">IFERROR(__xludf.dummyfunction("IF(I698="""", """", REGEXEXTRACT(I698, ""Padrao/([^/]+)""))"),"Parque Sao Sebastiao")</f>
        <v>Parque Sao Sebastiao</v>
      </c>
    </row>
    <row r="692" customFormat="false" ht="15.75" hidden="false" customHeight="false" outlineLevel="0" collapsed="false">
      <c r="A692" s="2" t="n">
        <v>121670</v>
      </c>
      <c r="B692" s="2" t="s">
        <v>781</v>
      </c>
      <c r="C692" s="2" t="n">
        <v>1</v>
      </c>
      <c r="D692" s="2" t="n">
        <v>1</v>
      </c>
      <c r="E692" s="2" t="n">
        <v>1</v>
      </c>
      <c r="F692" s="2" t="n">
        <v>34</v>
      </c>
      <c r="G692" s="2" t="s">
        <v>414</v>
      </c>
      <c r="H692" s="2" t="str">
        <f aca="false">IFERROR(__xludf.dummyfunction("IF(I699="""", """", REGEXEXTRACT(I699, ""Padrao/([^/]+)""))"),"Centro")</f>
        <v>Centro</v>
      </c>
    </row>
    <row r="693" customFormat="false" ht="15.75" hidden="false" customHeight="false" outlineLevel="0" collapsed="false">
      <c r="A693" s="2" t="n">
        <v>115061</v>
      </c>
      <c r="B693" s="2" t="s">
        <v>782</v>
      </c>
      <c r="C693" s="2" t="n">
        <v>2</v>
      </c>
      <c r="D693" s="2" t="n">
        <v>1</v>
      </c>
      <c r="E693" s="2" t="n">
        <v>1</v>
      </c>
      <c r="F693" s="2" t="n">
        <v>42</v>
      </c>
      <c r="G693" s="2" t="s">
        <v>414</v>
      </c>
      <c r="H693" s="2" t="str">
        <f aca="false">IFERROR(__xludf.dummyfunction("IF(I700="""", """", REGEXEXTRACT(I700, ""Padrao/([^/]+)""))"),"Jardim Zara")</f>
        <v>Jardim Zara</v>
      </c>
    </row>
    <row r="694" customFormat="false" ht="15.75" hidden="false" customHeight="false" outlineLevel="0" collapsed="false">
      <c r="A694" s="2" t="n">
        <v>100088</v>
      </c>
      <c r="B694" s="2" t="s">
        <v>783</v>
      </c>
      <c r="C694" s="2" t="n">
        <v>1</v>
      </c>
      <c r="D694" s="2" t="n">
        <v>1</v>
      </c>
      <c r="E694" s="2" t="n">
        <v>1</v>
      </c>
      <c r="F694" s="2" t="n">
        <v>34</v>
      </c>
      <c r="G694" s="2" t="s">
        <v>414</v>
      </c>
      <c r="H694" s="2" t="str">
        <f aca="false">IFERROR(__xludf.dummyfunction("IF(I701="""", """", REGEXEXTRACT(I701, ""Padrao/([^/]+)""))"),"Centro")</f>
        <v>Centro</v>
      </c>
    </row>
    <row r="695" customFormat="false" ht="15.75" hidden="false" customHeight="false" outlineLevel="0" collapsed="false">
      <c r="A695" s="2" t="n">
        <v>70310</v>
      </c>
      <c r="B695" s="2" t="s">
        <v>784</v>
      </c>
      <c r="C695" s="2" t="n">
        <v>1</v>
      </c>
      <c r="D695" s="2" t="n">
        <v>1</v>
      </c>
      <c r="E695" s="2" t="n">
        <v>1</v>
      </c>
      <c r="F695" s="2" t="n">
        <v>32</v>
      </c>
      <c r="G695" s="2" t="s">
        <v>414</v>
      </c>
      <c r="H695" s="2" t="str">
        <f aca="false">IFERROR(__xludf.dummyfunction("IF(I702="""", """", REGEXEXTRACT(I702, ""Padrao/([^/]+)""))"),"Vila Monte Alegre")</f>
        <v>Vila Monte Alegre</v>
      </c>
    </row>
    <row r="696" customFormat="false" ht="15.75" hidden="false" customHeight="false" outlineLevel="0" collapsed="false">
      <c r="A696" s="2" t="n">
        <v>173528</v>
      </c>
      <c r="B696" s="2" t="s">
        <v>785</v>
      </c>
      <c r="C696" s="2" t="n">
        <v>2</v>
      </c>
      <c r="D696" s="2" t="n">
        <v>1</v>
      </c>
      <c r="E696" s="2" t="n">
        <v>1</v>
      </c>
      <c r="F696" s="2" t="n">
        <v>43</v>
      </c>
      <c r="G696" s="2" t="s">
        <v>786</v>
      </c>
      <c r="H696" s="2" t="str">
        <f aca="false">IFERROR(__xludf.dummyfunction("IF(I703="""", """", REGEXEXTRACT(I703, ""Padrao/([^/]+)""))"),"Condominio Uirapuru")</f>
        <v>Condominio Uirapuru</v>
      </c>
    </row>
    <row r="697" customFormat="false" ht="15.75" hidden="false" customHeight="false" outlineLevel="0" collapsed="false">
      <c r="A697" s="2" t="n">
        <v>243164</v>
      </c>
      <c r="B697" s="2" t="s">
        <v>787</v>
      </c>
      <c r="C697" s="2" t="n">
        <v>2</v>
      </c>
      <c r="D697" s="2" t="n">
        <v>1</v>
      </c>
      <c r="E697" s="2" t="n">
        <v>1</v>
      </c>
      <c r="F697" s="2" t="n">
        <v>42</v>
      </c>
      <c r="G697" s="2" t="s">
        <v>736</v>
      </c>
      <c r="H697" s="2" t="str">
        <f aca="false">IFERROR(__xludf.dummyfunction("IF(I704="""", """", REGEXEXTRACT(I704, ""Padrao/([^/]+)""))"),"Valentina Figueiredo")</f>
        <v>Valentina Figueiredo</v>
      </c>
    </row>
    <row r="698" customFormat="false" ht="15.75" hidden="false" customHeight="false" outlineLevel="0" collapsed="false">
      <c r="A698" s="2" t="n">
        <v>232616</v>
      </c>
      <c r="B698" s="2" t="s">
        <v>788</v>
      </c>
      <c r="C698" s="2" t="n">
        <v>2</v>
      </c>
      <c r="D698" s="2" t="n">
        <v>1</v>
      </c>
      <c r="E698" s="2" t="n">
        <v>1</v>
      </c>
      <c r="F698" s="2" t="n">
        <v>42</v>
      </c>
      <c r="G698" s="2" t="s">
        <v>789</v>
      </c>
      <c r="H698" s="2" t="str">
        <f aca="false">IFERROR(__xludf.dummyfunction("IF(I705="""", """", REGEXEXTRACT(I705, ""Padrao/([^/]+)""))"),"Jardim Jose Wilson Toni")</f>
        <v>Jardim Jose Wilson Toni</v>
      </c>
    </row>
    <row r="699" customFormat="false" ht="15.75" hidden="false" customHeight="false" outlineLevel="0" collapsed="false">
      <c r="A699" s="2" t="n">
        <v>239534</v>
      </c>
      <c r="B699" s="2" t="s">
        <v>454</v>
      </c>
      <c r="C699" s="2" t="n">
        <v>2</v>
      </c>
      <c r="D699" s="2" t="n">
        <v>1</v>
      </c>
      <c r="E699" s="2" t="n">
        <v>1</v>
      </c>
      <c r="F699" s="2" t="n">
        <v>41</v>
      </c>
      <c r="G699" s="2" t="s">
        <v>790</v>
      </c>
      <c r="H699" s="2" t="str">
        <f aca="false">IFERROR(__xludf.dummyfunction("IF(I706="""", """", REGEXEXTRACT(I706, ""Padrao/([^/]+)""))"),"Reserva Real")</f>
        <v>Reserva Real</v>
      </c>
    </row>
    <row r="700" customFormat="false" ht="15.75" hidden="false" customHeight="false" outlineLevel="0" collapsed="false">
      <c r="A700" s="2" t="n">
        <v>225929</v>
      </c>
      <c r="B700" s="2" t="s">
        <v>791</v>
      </c>
      <c r="C700" s="2" t="n">
        <v>2</v>
      </c>
      <c r="D700" s="2" t="n">
        <v>1</v>
      </c>
      <c r="E700" s="2" t="n">
        <v>2</v>
      </c>
      <c r="F700" s="2" t="n">
        <v>48</v>
      </c>
      <c r="G700" s="2" t="s">
        <v>790</v>
      </c>
      <c r="H700" s="2" t="str">
        <f aca="false">IFERROR(__xludf.dummyfunction("IF(I707="""", """", REGEXEXTRACT(I707, ""Padrao/([^/]+)""))"),"Parque Sao Sebastiao")</f>
        <v>Parque Sao Sebastiao</v>
      </c>
    </row>
    <row r="701" customFormat="false" ht="15.75" hidden="false" customHeight="false" outlineLevel="0" collapsed="false">
      <c r="A701" s="2" t="n">
        <v>175244</v>
      </c>
      <c r="B701" s="2" t="s">
        <v>792</v>
      </c>
      <c r="C701" s="2" t="n">
        <v>2</v>
      </c>
      <c r="D701" s="2" t="n">
        <v>1</v>
      </c>
      <c r="E701" s="2" t="n">
        <v>1</v>
      </c>
      <c r="F701" s="2" t="n">
        <v>42</v>
      </c>
      <c r="G701" s="2" t="s">
        <v>790</v>
      </c>
      <c r="H701" s="2" t="str">
        <f aca="false">IFERROR(__xludf.dummyfunction("IF(I708="""", """", REGEXEXTRACT(I708, ""Padrao/([^/]+)""))"),"Quintino Facci II")</f>
        <v>Quintino Facci II</v>
      </c>
    </row>
    <row r="702" customFormat="false" ht="15.75" hidden="false" customHeight="false" outlineLevel="0" collapsed="false">
      <c r="A702" s="2" t="n">
        <v>120023</v>
      </c>
      <c r="B702" s="2" t="s">
        <v>162</v>
      </c>
      <c r="C702" s="2" t="n">
        <v>2</v>
      </c>
      <c r="D702" s="2" t="n">
        <v>1</v>
      </c>
      <c r="E702" s="2" t="n">
        <v>1</v>
      </c>
      <c r="F702" s="2" t="n">
        <v>61</v>
      </c>
      <c r="G702" s="2" t="s">
        <v>790</v>
      </c>
      <c r="H702" s="2" t="str">
        <f aca="false">IFERROR(__xludf.dummyfunction("IF(I709="""", """", REGEXEXTRACT(I709, ""Padrao/([^/]+)""))"),"Jardim Marchesi")</f>
        <v>Jardim Marchesi</v>
      </c>
    </row>
    <row r="703" customFormat="false" ht="15.75" hidden="false" customHeight="false" outlineLevel="0" collapsed="false">
      <c r="A703" s="2" t="n">
        <v>99227</v>
      </c>
      <c r="B703" s="2" t="s">
        <v>793</v>
      </c>
      <c r="C703" s="2" t="n">
        <v>2</v>
      </c>
      <c r="D703" s="2" t="n">
        <v>1</v>
      </c>
      <c r="E703" s="2" t="n">
        <v>1</v>
      </c>
      <c r="F703" s="2" t="n">
        <v>48</v>
      </c>
      <c r="G703" s="2" t="s">
        <v>790</v>
      </c>
      <c r="H703" s="2" t="str">
        <f aca="false">IFERROR(__xludf.dummyfunction("IF(I710="""", """", REGEXEXTRACT(I710, ""Padrao/([^/]+)""))"),"Jardim Jose Sampaio Junior")</f>
        <v>Jardim Jose Sampaio Junior</v>
      </c>
    </row>
    <row r="704" customFormat="false" ht="15.75" hidden="false" customHeight="false" outlineLevel="0" collapsed="false">
      <c r="A704" s="2" t="n">
        <v>228716</v>
      </c>
      <c r="B704" s="2" t="s">
        <v>794</v>
      </c>
      <c r="C704" s="2" t="n">
        <v>2</v>
      </c>
      <c r="D704" s="2" t="n">
        <v>1</v>
      </c>
      <c r="E704" s="2" t="n">
        <v>1</v>
      </c>
      <c r="F704" s="2" t="n">
        <v>42</v>
      </c>
      <c r="G704" s="2" t="s">
        <v>795</v>
      </c>
      <c r="H704" s="2" t="str">
        <f aca="false">IFERROR(__xludf.dummyfunction("IF(I711="""", """", REGEXEXTRACT(I711, ""Padrao/([^/]+)""))"),"Jardim Heitor Rigon")</f>
        <v>Jardim Heitor Rigon</v>
      </c>
    </row>
    <row r="705" customFormat="false" ht="15.75" hidden="false" customHeight="false" outlineLevel="0" collapsed="false">
      <c r="A705" s="2" t="n">
        <v>221609</v>
      </c>
      <c r="B705" s="2" t="s">
        <v>675</v>
      </c>
      <c r="C705" s="2" t="n">
        <v>2</v>
      </c>
      <c r="D705" s="2" t="n">
        <v>1</v>
      </c>
      <c r="E705" s="2" t="n">
        <v>1</v>
      </c>
      <c r="F705" s="2" t="n">
        <v>43</v>
      </c>
      <c r="G705" s="2" t="s">
        <v>414</v>
      </c>
      <c r="H705" s="2" t="str">
        <f aca="false">IFERROR(__xludf.dummyfunction("IF(I712="""", """", REGEXEXTRACT(I712, ""Padrao/([^/]+)""))"),"Condominio Uirapuru")</f>
        <v>Condominio Uirapuru</v>
      </c>
    </row>
    <row r="706" customFormat="false" ht="15.75" hidden="false" customHeight="false" outlineLevel="0" collapsed="false">
      <c r="A706" s="2" t="n">
        <v>245621</v>
      </c>
      <c r="B706" s="2" t="s">
        <v>796</v>
      </c>
      <c r="C706" s="2" t="n">
        <v>2</v>
      </c>
      <c r="D706" s="2" t="n">
        <v>1</v>
      </c>
      <c r="E706" s="2" t="n">
        <v>1</v>
      </c>
      <c r="F706" s="2" t="n">
        <v>42</v>
      </c>
      <c r="G706" s="2" t="s">
        <v>797</v>
      </c>
      <c r="H706" s="2" t="str">
        <f aca="false">IFERROR(__xludf.dummyfunction("IF(I713="""", """", REGEXEXTRACT(I713, ""Padrao/([^/]+)""))"),"Jardim Joao Rossi")</f>
        <v>Jardim Joao Rossi</v>
      </c>
    </row>
    <row r="707" customFormat="false" ht="15.75" hidden="false" customHeight="false" outlineLevel="0" collapsed="false">
      <c r="A707" s="2" t="n">
        <v>244109</v>
      </c>
      <c r="B707" s="2" t="s">
        <v>454</v>
      </c>
      <c r="C707" s="2" t="n">
        <v>2</v>
      </c>
      <c r="D707" s="2" t="n">
        <v>1</v>
      </c>
      <c r="E707" s="2" t="n">
        <v>1</v>
      </c>
      <c r="F707" s="2" t="n">
        <v>41</v>
      </c>
      <c r="G707" s="2" t="s">
        <v>797</v>
      </c>
      <c r="H707" s="2" t="str">
        <f aca="false">IFERROR(__xludf.dummyfunction("IF(I714="""", """", REGEXEXTRACT(I714, ""Padrao/([^/]+)""))"),"Reserva Real")</f>
        <v>Reserva Real</v>
      </c>
    </row>
    <row r="708" customFormat="false" ht="15.75" hidden="false" customHeight="false" outlineLevel="0" collapsed="false">
      <c r="A708" s="2" t="n">
        <v>243317</v>
      </c>
      <c r="B708" s="2" t="s">
        <v>701</v>
      </c>
      <c r="C708" s="2" t="n">
        <v>2</v>
      </c>
      <c r="D708" s="2" t="n">
        <v>1</v>
      </c>
      <c r="E708" s="2" t="n">
        <v>1</v>
      </c>
      <c r="F708" s="2" t="n">
        <v>43</v>
      </c>
      <c r="G708" s="2" t="s">
        <v>797</v>
      </c>
      <c r="H708" s="2" t="str">
        <f aca="false">IFERROR(__xludf.dummyfunction("IF(I715="""", """", REGEXEXTRACT(I715, ""Padrao/([^/]+)""))"),"Valentina Figueiredo")</f>
        <v>Valentina Figueiredo</v>
      </c>
    </row>
    <row r="709" customFormat="false" ht="15.75" hidden="false" customHeight="false" outlineLevel="0" collapsed="false">
      <c r="A709" s="2" t="n">
        <v>239126</v>
      </c>
      <c r="B709" s="2" t="s">
        <v>770</v>
      </c>
      <c r="C709" s="2" t="n">
        <v>2</v>
      </c>
      <c r="D709" s="2" t="n">
        <v>1</v>
      </c>
      <c r="E709" s="2" t="n">
        <v>1</v>
      </c>
      <c r="F709" s="2" t="n">
        <v>42</v>
      </c>
      <c r="G709" s="2" t="s">
        <v>797</v>
      </c>
      <c r="H709" s="2" t="str">
        <f aca="false">IFERROR(__xludf.dummyfunction("IF(I716="""", """", REGEXEXTRACT(I716, ""Padrao/([^/]+)""))"),"Ipiranga")</f>
        <v>Ipiranga</v>
      </c>
    </row>
    <row r="710" customFormat="false" ht="15.75" hidden="false" customHeight="false" outlineLevel="0" collapsed="false">
      <c r="A710" s="2" t="n">
        <v>237293</v>
      </c>
      <c r="B710" s="2" t="s">
        <v>408</v>
      </c>
      <c r="C710" s="2" t="n">
        <v>2</v>
      </c>
      <c r="D710" s="2" t="n">
        <v>1</v>
      </c>
      <c r="E710" s="2" t="n">
        <v>1</v>
      </c>
      <c r="F710" s="2" t="n">
        <v>40</v>
      </c>
      <c r="G710" s="2" t="s">
        <v>797</v>
      </c>
      <c r="H710" s="2" t="str">
        <f aca="false">IFERROR(__xludf.dummyfunction("IF(I717="""", """", REGEXEXTRACT(I717, ""Padrao/([^/]+)""))"),"Reserva Real")</f>
        <v>Reserva Real</v>
      </c>
    </row>
    <row r="711" customFormat="false" ht="15.75" hidden="false" customHeight="false" outlineLevel="0" collapsed="false">
      <c r="A711" s="2" t="n">
        <v>236216</v>
      </c>
      <c r="B711" s="2" t="s">
        <v>415</v>
      </c>
      <c r="C711" s="2" t="n">
        <v>2</v>
      </c>
      <c r="D711" s="2" t="n">
        <v>1</v>
      </c>
      <c r="E711" s="2" t="n">
        <v>1</v>
      </c>
      <c r="F711" s="2" t="n">
        <v>43</v>
      </c>
      <c r="G711" s="2" t="s">
        <v>797</v>
      </c>
      <c r="H711" s="2" t="str">
        <f aca="false">IFERROR(__xludf.dummyfunction("IF(I718="""", """", REGEXEXTRACT(I718, ""Padrao/([^/]+)""))"),"Jardim Heitor Rigon")</f>
        <v>Jardim Heitor Rigon</v>
      </c>
    </row>
    <row r="712" customFormat="false" ht="15.75" hidden="false" customHeight="false" outlineLevel="0" collapsed="false">
      <c r="A712" s="2" t="n">
        <v>235799</v>
      </c>
      <c r="B712" s="2" t="s">
        <v>798</v>
      </c>
      <c r="C712" s="2" t="n">
        <v>2</v>
      </c>
      <c r="D712" s="2" t="n">
        <v>1</v>
      </c>
      <c r="E712" s="2" t="n">
        <v>1</v>
      </c>
      <c r="F712" s="2" t="n">
        <v>43</v>
      </c>
      <c r="G712" s="2" t="s">
        <v>797</v>
      </c>
      <c r="H712" s="2" t="str">
        <f aca="false">IFERROR(__xludf.dummyfunction("IF(I719="""", """", REGEXEXTRACT(I719, ""Padrao/([^/]+)""))"),"Jardim Diva Tarla de Carvalho")</f>
        <v>Jardim Diva Tarla de Carvalho</v>
      </c>
    </row>
    <row r="713" customFormat="false" ht="15.75" hidden="false" customHeight="false" outlineLevel="0" collapsed="false">
      <c r="A713" s="2" t="n">
        <v>233396</v>
      </c>
      <c r="B713" s="2" t="s">
        <v>799</v>
      </c>
      <c r="C713" s="2" t="n">
        <v>2</v>
      </c>
      <c r="D713" s="2" t="n">
        <v>1</v>
      </c>
      <c r="E713" s="2" t="n">
        <v>1</v>
      </c>
      <c r="F713" s="2" t="n">
        <v>43</v>
      </c>
      <c r="G713" s="2" t="s">
        <v>797</v>
      </c>
      <c r="H713" s="2" t="str">
        <f aca="false">IFERROR(__xludf.dummyfunction("IF(I720="""", """", REGEXEXTRACT(I720, ""Padrao/([^/]+)""))"),"Jardim Diva Tarla de Carvalho")</f>
        <v>Jardim Diva Tarla de Carvalho</v>
      </c>
    </row>
    <row r="714" customFormat="false" ht="15.75" hidden="false" customHeight="false" outlineLevel="0" collapsed="false">
      <c r="A714" s="2" t="n">
        <v>233096</v>
      </c>
      <c r="B714" s="2" t="s">
        <v>800</v>
      </c>
      <c r="C714" s="2" t="n">
        <v>1</v>
      </c>
      <c r="D714" s="2" t="n">
        <v>1</v>
      </c>
      <c r="E714" s="2" t="n">
        <v>1</v>
      </c>
      <c r="F714" s="2" t="n">
        <v>37</v>
      </c>
      <c r="G714" s="2" t="s">
        <v>797</v>
      </c>
      <c r="H714" s="2" t="str">
        <f aca="false">IFERROR(__xludf.dummyfunction("IF(I721="""", """", REGEXEXTRACT(I721, ""Padrao/([^/]+)""))"),"Alto do Ipiranga")</f>
        <v>Alto do Ipiranga</v>
      </c>
    </row>
    <row r="715" customFormat="false" ht="15.75" hidden="false" customHeight="false" outlineLevel="0" collapsed="false">
      <c r="A715" s="2" t="n">
        <v>222617</v>
      </c>
      <c r="B715" s="2" t="s">
        <v>768</v>
      </c>
      <c r="C715" s="2" t="n">
        <v>2</v>
      </c>
      <c r="D715" s="2" t="n">
        <v>1</v>
      </c>
      <c r="E715" s="2" t="n">
        <v>1</v>
      </c>
      <c r="F715" s="2" t="n">
        <v>40</v>
      </c>
      <c r="G715" s="2" t="s">
        <v>797</v>
      </c>
      <c r="H715" s="2" t="str">
        <f aca="false">IFERROR(__xludf.dummyfunction("IF(I722="""", """", REGEXEXTRACT(I722, ""Padrao/([^/]+)""))"),"Parque dos Pinus")</f>
        <v>Parque dos Pinus</v>
      </c>
    </row>
    <row r="716" customFormat="false" ht="15.75" hidden="false" customHeight="false" outlineLevel="0" collapsed="false">
      <c r="A716" s="2" t="n">
        <v>212219</v>
      </c>
      <c r="B716" s="2" t="s">
        <v>771</v>
      </c>
      <c r="C716" s="2" t="n">
        <v>2</v>
      </c>
      <c r="D716" s="2" t="n">
        <v>1</v>
      </c>
      <c r="E716" s="2" t="n">
        <v>1</v>
      </c>
      <c r="F716" s="2" t="n">
        <v>43</v>
      </c>
      <c r="G716" s="2" t="s">
        <v>797</v>
      </c>
      <c r="H716" s="2" t="str">
        <f aca="false">IFERROR(__xludf.dummyfunction("IF(I723="""", """", REGEXEXTRACT(I723, ""Padrao/([^/]+)""))"),"Jardim Diva Tarla de Carvalho")</f>
        <v>Jardim Diva Tarla de Carvalho</v>
      </c>
    </row>
    <row r="717" customFormat="false" ht="15.75" hidden="false" customHeight="false" outlineLevel="0" collapsed="false">
      <c r="A717" s="2" t="n">
        <v>207578</v>
      </c>
      <c r="B717" s="2" t="s">
        <v>801</v>
      </c>
      <c r="C717" s="2" t="n">
        <v>2</v>
      </c>
      <c r="D717" s="2" t="n">
        <v>1</v>
      </c>
      <c r="E717" s="2" t="n">
        <v>1</v>
      </c>
      <c r="F717" s="2" t="n">
        <v>85</v>
      </c>
      <c r="G717" s="2" t="s">
        <v>797</v>
      </c>
      <c r="H717" s="2" t="str">
        <f aca="false">IFERROR(__xludf.dummyfunction("IF(I724="""", """", REGEXEXTRACT(I724, ""Padrao/([^/]+)""))"),"Reserva Real")</f>
        <v>Reserva Real</v>
      </c>
    </row>
    <row r="718" customFormat="false" ht="15.75" hidden="false" customHeight="false" outlineLevel="0" collapsed="false">
      <c r="A718" s="2" t="n">
        <v>207365</v>
      </c>
      <c r="B718" s="2" t="s">
        <v>802</v>
      </c>
      <c r="C718" s="2" t="n">
        <v>2</v>
      </c>
      <c r="D718" s="2" t="n">
        <v>1</v>
      </c>
      <c r="E718" s="2" t="n">
        <v>1</v>
      </c>
      <c r="F718" s="2" t="n">
        <v>41</v>
      </c>
      <c r="G718" s="2" t="s">
        <v>797</v>
      </c>
      <c r="H718" s="2" t="str">
        <f aca="false">IFERROR(__xludf.dummyfunction("IF(I725="""", """", REGEXEXTRACT(I725, ""Padrao/([^/]+)""))"),"Conjunto Habitacional Silvio Passalacqua")</f>
        <v>Conjunto Habitacional Silvio Passalacqua</v>
      </c>
    </row>
    <row r="719" customFormat="false" ht="15.75" hidden="false" customHeight="false" outlineLevel="0" collapsed="false">
      <c r="A719" s="2" t="n">
        <v>199151</v>
      </c>
      <c r="B719" s="2" t="s">
        <v>803</v>
      </c>
      <c r="C719" s="2" t="n">
        <v>2</v>
      </c>
      <c r="D719" s="2" t="n">
        <v>1</v>
      </c>
      <c r="E719" s="2" t="n">
        <v>1</v>
      </c>
      <c r="F719" s="2" t="n">
        <v>42</v>
      </c>
      <c r="G719" s="2" t="s">
        <v>797</v>
      </c>
      <c r="H719" s="2" t="str">
        <f aca="false">IFERROR(__xludf.dummyfunction("IF(I726="""", """", REGEXEXTRACT(I726, ""Padrao/([^/]+)""))"),"Jardim Jose Wilson Toni")</f>
        <v>Jardim Jose Wilson Toni</v>
      </c>
    </row>
    <row r="720" customFormat="false" ht="15.75" hidden="false" customHeight="false" outlineLevel="0" collapsed="false">
      <c r="A720" s="2" t="n">
        <v>189365</v>
      </c>
      <c r="B720" s="2" t="s">
        <v>804</v>
      </c>
      <c r="C720" s="2" t="n">
        <v>2</v>
      </c>
      <c r="D720" s="2" t="n">
        <v>1</v>
      </c>
      <c r="E720" s="2" t="n">
        <v>1</v>
      </c>
      <c r="F720" s="2" t="n">
        <v>49</v>
      </c>
      <c r="G720" s="2" t="s">
        <v>797</v>
      </c>
      <c r="H720" s="2" t="str">
        <f aca="false">IFERROR(__xludf.dummyfunction("IF(I727="""", """", REGEXEXTRACT(I727, ""Padrao/([^/]+)""))"),"Vila Virginia")</f>
        <v>Vila Virginia</v>
      </c>
    </row>
    <row r="721" customFormat="false" ht="15.75" hidden="false" customHeight="false" outlineLevel="0" collapsed="false">
      <c r="A721" s="2" t="n">
        <v>186296</v>
      </c>
      <c r="B721" s="2" t="s">
        <v>805</v>
      </c>
      <c r="C721" s="2" t="n">
        <v>2</v>
      </c>
      <c r="D721" s="2" t="n">
        <v>1</v>
      </c>
      <c r="E721" s="2" t="n">
        <v>1</v>
      </c>
      <c r="F721" s="2" t="n">
        <v>42</v>
      </c>
      <c r="G721" s="2" t="s">
        <v>797</v>
      </c>
      <c r="H721" s="2" t="str">
        <f aca="false">IFERROR(__xludf.dummyfunction("IF(I728="""", """", REGEXEXTRACT(I728, ""Padrao/([^/]+)""))"),"Jardim Jose Sampaio Junior")</f>
        <v>Jardim Jose Sampaio Junior</v>
      </c>
    </row>
    <row r="722" customFormat="false" ht="15.75" hidden="false" customHeight="false" outlineLevel="0" collapsed="false">
      <c r="A722" s="2" t="n">
        <v>183074</v>
      </c>
      <c r="B722" s="2" t="s">
        <v>806</v>
      </c>
      <c r="C722" s="2" t="n">
        <v>2</v>
      </c>
      <c r="D722" s="2" t="n">
        <v>1</v>
      </c>
      <c r="E722" s="2" t="n">
        <v>1</v>
      </c>
      <c r="F722" s="2" t="n">
        <v>52</v>
      </c>
      <c r="G722" s="2" t="s">
        <v>797</v>
      </c>
      <c r="H722" s="2" t="str">
        <f aca="false">IFERROR(__xludf.dummyfunction("IF(I729="""", """", REGEXEXTRACT(I729, ""Padrao/([^/]+)""))"),"Jardim Palma Travassos")</f>
        <v>Jardim Palma Travassos</v>
      </c>
    </row>
    <row r="723" customFormat="false" ht="15.75" hidden="false" customHeight="false" outlineLevel="0" collapsed="false">
      <c r="A723" s="2" t="n">
        <v>170834</v>
      </c>
      <c r="B723" s="2" t="s">
        <v>807</v>
      </c>
      <c r="C723" s="2" t="n">
        <v>2</v>
      </c>
      <c r="D723" s="2" t="n">
        <v>1</v>
      </c>
      <c r="E723" s="2" t="n">
        <v>1</v>
      </c>
      <c r="F723" s="2" t="n">
        <v>40</v>
      </c>
      <c r="G723" s="2" t="s">
        <v>797</v>
      </c>
      <c r="H723" s="2" t="str">
        <f aca="false">IFERROR(__xludf.dummyfunction("IF(I731="""", """", REGEXEXTRACT(I731, ""Padrao/([^/]+)""))"),"Jardim Vilico Cantarelli")</f>
        <v>Jardim Vilico Cantarelli</v>
      </c>
    </row>
    <row r="724" customFormat="false" ht="15.75" hidden="false" customHeight="false" outlineLevel="0" collapsed="false">
      <c r="A724" s="2" t="n">
        <v>159545</v>
      </c>
      <c r="B724" s="2" t="s">
        <v>162</v>
      </c>
      <c r="C724" s="2" t="n">
        <v>2</v>
      </c>
      <c r="D724" s="2" t="n">
        <v>1</v>
      </c>
      <c r="E724" s="2" t="n">
        <v>1</v>
      </c>
      <c r="F724" s="2" t="n">
        <v>42</v>
      </c>
      <c r="G724" s="2" t="s">
        <v>797</v>
      </c>
      <c r="H724" s="2" t="str">
        <f aca="false">IFERROR(__xludf.dummyfunction("IF(I732="""", """", REGEXEXTRACT(I732, ""Padrao/([^/]+)""))"),"Jardim Vilico Cantarelli")</f>
        <v>Jardim Vilico Cantarelli</v>
      </c>
    </row>
    <row r="725" customFormat="false" ht="15.75" hidden="false" customHeight="false" outlineLevel="0" collapsed="false">
      <c r="A725" s="2" t="n">
        <v>148451</v>
      </c>
      <c r="B725" s="2" t="s">
        <v>386</v>
      </c>
      <c r="C725" s="2" t="n">
        <v>2</v>
      </c>
      <c r="D725" s="2" t="n">
        <v>1</v>
      </c>
      <c r="E725" s="2" t="n">
        <v>1</v>
      </c>
      <c r="F725" s="2" t="n">
        <v>42</v>
      </c>
      <c r="G725" s="2" t="s">
        <v>797</v>
      </c>
      <c r="H725" s="2" t="str">
        <f aca="false">IFERROR(__xludf.dummyfunction("IF(I733="""", """", REGEXEXTRACT(I733, ""Padrao/([^/]+)""))"),"Ribeirao Verde")</f>
        <v>Ribeirao Verde</v>
      </c>
    </row>
    <row r="726" customFormat="false" ht="15.75" hidden="false" customHeight="false" outlineLevel="0" collapsed="false">
      <c r="A726" s="2" t="n">
        <v>146255</v>
      </c>
      <c r="B726" s="2" t="s">
        <v>808</v>
      </c>
      <c r="C726" s="2" t="n">
        <v>2</v>
      </c>
      <c r="D726" s="2" t="n">
        <v>1</v>
      </c>
      <c r="E726" s="2" t="n">
        <v>1</v>
      </c>
      <c r="F726" s="2" t="n">
        <v>56</v>
      </c>
      <c r="G726" s="2" t="s">
        <v>797</v>
      </c>
      <c r="H726" s="2" t="str">
        <f aca="false">IFERROR(__xludf.dummyfunction("IF(I734="""", """", REGEXEXTRACT(I734, ""Padrao/([^/]+)""))"),"Condominio Uirapuru")</f>
        <v>Condominio Uirapuru</v>
      </c>
    </row>
    <row r="727" customFormat="false" ht="15.75" hidden="false" customHeight="false" outlineLevel="0" collapsed="false">
      <c r="A727" s="2" t="n">
        <v>141053</v>
      </c>
      <c r="B727" s="2" t="s">
        <v>770</v>
      </c>
      <c r="C727" s="2" t="n">
        <v>2</v>
      </c>
      <c r="D727" s="2" t="n">
        <v>1</v>
      </c>
      <c r="E727" s="2" t="n">
        <v>1</v>
      </c>
      <c r="F727" s="2" t="n">
        <v>42</v>
      </c>
      <c r="G727" s="2" t="s">
        <v>797</v>
      </c>
      <c r="H727" s="2" t="str">
        <f aca="false">IFERROR(__xludf.dummyfunction("IF(I735="""", """", REGEXEXTRACT(I735, ""Padrao/([^/]+)""))"),"Ipiranga")</f>
        <v>Ipiranga</v>
      </c>
    </row>
    <row r="728" customFormat="false" ht="15.75" hidden="false" customHeight="false" outlineLevel="0" collapsed="false">
      <c r="A728" s="2" t="n">
        <v>112163</v>
      </c>
      <c r="B728" s="2" t="s">
        <v>809</v>
      </c>
      <c r="C728" s="2" t="n">
        <v>2</v>
      </c>
      <c r="D728" s="2" t="n">
        <v>1</v>
      </c>
      <c r="E728" s="2" t="n">
        <v>1</v>
      </c>
      <c r="F728" s="2" t="n">
        <v>47</v>
      </c>
      <c r="G728" s="2" t="s">
        <v>700</v>
      </c>
      <c r="H728" s="2" t="str">
        <f aca="false">IFERROR(__xludf.dummyfunction("IF(I736="""", """", REGEXEXTRACT(I736, ""Padrao/([^/]+)""))"),"Jardim Paulistano")</f>
        <v>Jardim Paulistano</v>
      </c>
    </row>
    <row r="729" customFormat="false" ht="15.75" hidden="false" customHeight="false" outlineLevel="0" collapsed="false">
      <c r="A729" s="2" t="n">
        <v>185951</v>
      </c>
      <c r="B729" s="2" t="s">
        <v>810</v>
      </c>
      <c r="C729" s="2" t="n">
        <v>2</v>
      </c>
      <c r="D729" s="2" t="n">
        <v>1</v>
      </c>
      <c r="E729" s="2" t="n">
        <v>1</v>
      </c>
      <c r="F729" s="2" t="n">
        <v>42</v>
      </c>
      <c r="G729" s="2" t="s">
        <v>811</v>
      </c>
      <c r="H729" s="2" t="str">
        <f aca="false">IFERROR(__xludf.dummyfunction("IF(I737="""", """", REGEXEXTRACT(I737, ""Padrao/([^/]+)""))"),"Ribeirao Verde")</f>
        <v>Ribeirao Verde</v>
      </c>
    </row>
    <row r="730" customFormat="false" ht="15.75" hidden="false" customHeight="false" outlineLevel="0" collapsed="false">
      <c r="A730" s="2" t="n">
        <v>233765</v>
      </c>
      <c r="B730" s="2" t="s">
        <v>812</v>
      </c>
      <c r="C730" s="2" t="n">
        <v>2</v>
      </c>
      <c r="D730" s="2" t="n">
        <v>1</v>
      </c>
      <c r="E730" s="2" t="n">
        <v>1</v>
      </c>
      <c r="F730" s="2" t="n">
        <v>41</v>
      </c>
      <c r="G730" s="2" t="s">
        <v>414</v>
      </c>
      <c r="H730" s="2" t="str">
        <f aca="false">IFERROR(__xludf.dummyfunction("IF(I738="""", """", REGEXEXTRACT(I738, ""Padrao/([^/]+)""))"),"Jardim Jose Sampaio Junior")</f>
        <v>Jardim Jose Sampaio Junior</v>
      </c>
    </row>
    <row r="731" customFormat="false" ht="15.75" hidden="false" customHeight="false" outlineLevel="0" collapsed="false">
      <c r="A731" s="2" t="n">
        <v>244532</v>
      </c>
      <c r="B731" s="2" t="s">
        <v>813</v>
      </c>
      <c r="C731" s="2" t="n">
        <v>2</v>
      </c>
      <c r="D731" s="2" t="n">
        <v>1</v>
      </c>
      <c r="E731" s="2" t="n">
        <v>1</v>
      </c>
      <c r="F731" s="2" t="n">
        <v>40</v>
      </c>
      <c r="G731" s="2" t="s">
        <v>814</v>
      </c>
      <c r="H731" s="2" t="str">
        <f aca="false">IFERROR(__xludf.dummyfunction("IF(I739="""", """", REGEXEXTRACT(I739, ""Padrao/([^/]+)""))"),"Reserva Real")</f>
        <v>Reserva Real</v>
      </c>
    </row>
    <row r="732" customFormat="false" ht="15.75" hidden="false" customHeight="false" outlineLevel="0" collapsed="false">
      <c r="A732" s="2" t="n">
        <v>234368</v>
      </c>
      <c r="B732" s="2" t="s">
        <v>815</v>
      </c>
      <c r="C732" s="2" t="n">
        <v>2</v>
      </c>
      <c r="D732" s="2" t="n">
        <v>1</v>
      </c>
      <c r="E732" s="2" t="n">
        <v>1</v>
      </c>
      <c r="F732" s="2" t="n">
        <v>42</v>
      </c>
      <c r="G732" s="2" t="s">
        <v>814</v>
      </c>
      <c r="H732" s="2" t="str">
        <f aca="false">IFERROR(__xludf.dummyfunction("IF(I740="""", """", REGEXEXTRACT(I740, ""Padrao/([^/]+)""))"),"Jardim Jose Wilson Toni")</f>
        <v>Jardim Jose Wilson Toni</v>
      </c>
    </row>
    <row r="733" customFormat="false" ht="15.75" hidden="false" customHeight="false" outlineLevel="0" collapsed="false">
      <c r="A733" s="2" t="n">
        <v>220316</v>
      </c>
      <c r="B733" s="2" t="s">
        <v>816</v>
      </c>
      <c r="C733" s="2" t="n">
        <v>2</v>
      </c>
      <c r="D733" s="2" t="n">
        <v>1</v>
      </c>
      <c r="E733" s="2" t="n">
        <v>1</v>
      </c>
      <c r="F733" s="2" t="n">
        <v>43</v>
      </c>
      <c r="G733" s="2" t="s">
        <v>700</v>
      </c>
      <c r="H733" s="2" t="str">
        <f aca="false">IFERROR(__xludf.dummyfunction("IF(I741="""", """", REGEXEXTRACT(I741, ""Padrao/([^/]+)""))"),"Jardim Heitor Rigon")</f>
        <v>Jardim Heitor Rigon</v>
      </c>
    </row>
    <row r="734" customFormat="false" ht="15.75" hidden="false" customHeight="false" outlineLevel="0" collapsed="false">
      <c r="A734" s="2" t="n">
        <v>231314</v>
      </c>
      <c r="B734" s="2" t="s">
        <v>415</v>
      </c>
      <c r="C734" s="2" t="n">
        <v>2</v>
      </c>
      <c r="D734" s="2" t="n">
        <v>1</v>
      </c>
      <c r="E734" s="2" t="n">
        <v>1</v>
      </c>
      <c r="F734" s="2" t="n">
        <v>43</v>
      </c>
      <c r="G734" s="2" t="s">
        <v>817</v>
      </c>
      <c r="H734" s="2" t="str">
        <f aca="false">IFERROR(__xludf.dummyfunction("IF(I742="""", """", REGEXEXTRACT(I742, ""Padrao/([^/]+)""))"),"Jardim Heitor Rigon")</f>
        <v>Jardim Heitor Rigon</v>
      </c>
    </row>
    <row r="735" customFormat="false" ht="15.75" hidden="false" customHeight="false" outlineLevel="0" collapsed="false">
      <c r="A735" s="2" t="n">
        <v>203855</v>
      </c>
      <c r="B735" s="2" t="s">
        <v>818</v>
      </c>
      <c r="C735" s="2" t="n">
        <v>2</v>
      </c>
      <c r="D735" s="2" t="n">
        <v>1</v>
      </c>
      <c r="E735" s="2" t="n">
        <v>1</v>
      </c>
      <c r="F735" s="2" t="n">
        <v>42</v>
      </c>
      <c r="G735" s="2" t="s">
        <v>817</v>
      </c>
      <c r="H735" s="2" t="str">
        <f aca="false">IFERROR(__xludf.dummyfunction("IF(I743="""", """", REGEXEXTRACT(I743, ""Padrao/([^/]+)""))"),"Valentina Figueiredo")</f>
        <v>Valentina Figueiredo</v>
      </c>
    </row>
    <row r="736" customFormat="false" ht="15.75" hidden="false" customHeight="false" outlineLevel="0" collapsed="false">
      <c r="A736" s="2" t="n">
        <v>125096</v>
      </c>
      <c r="B736" s="2" t="s">
        <v>740</v>
      </c>
      <c r="C736" s="2" t="n">
        <v>2</v>
      </c>
      <c r="D736" s="2" t="n">
        <v>1</v>
      </c>
      <c r="E736" s="2" t="n">
        <v>1</v>
      </c>
      <c r="F736" s="2" t="n">
        <v>42</v>
      </c>
      <c r="G736" s="2" t="s">
        <v>700</v>
      </c>
      <c r="H736" s="2" t="str">
        <f aca="false">IFERROR(__xludf.dummyfunction("IF(I744="""", """", REGEXEXTRACT(I744, ""Padrao/([^/]+)""))"),"Jardim Heitor Rigon")</f>
        <v>Jardim Heitor Rigon</v>
      </c>
    </row>
    <row r="737" customFormat="false" ht="15.75" hidden="false" customHeight="false" outlineLevel="0" collapsed="false">
      <c r="A737" s="2" t="n">
        <v>245471</v>
      </c>
      <c r="B737" s="2" t="s">
        <v>701</v>
      </c>
      <c r="C737" s="2" t="n">
        <v>2</v>
      </c>
      <c r="D737" s="2" t="n">
        <v>1</v>
      </c>
      <c r="E737" s="2" t="n">
        <v>1</v>
      </c>
      <c r="F737" s="2" t="n">
        <v>43</v>
      </c>
      <c r="G737" s="2" t="s">
        <v>422</v>
      </c>
      <c r="H737" s="2" t="str">
        <f aca="false">IFERROR(__xludf.dummyfunction("IF(I745="""", """", REGEXEXTRACT(I745, ""Padrao/([^/]+)""))"),"Valentina Figueiredo")</f>
        <v>Valentina Figueiredo</v>
      </c>
    </row>
    <row r="738" customFormat="false" ht="15.75" hidden="false" customHeight="false" outlineLevel="0" collapsed="false">
      <c r="A738" s="2" t="n">
        <v>223892</v>
      </c>
      <c r="B738" s="2" t="s">
        <v>788</v>
      </c>
      <c r="C738" s="2" t="n">
        <v>2</v>
      </c>
      <c r="D738" s="2" t="n">
        <v>1</v>
      </c>
      <c r="E738" s="2" t="n">
        <v>1</v>
      </c>
      <c r="F738" s="2" t="n">
        <v>42</v>
      </c>
      <c r="G738" s="2" t="s">
        <v>422</v>
      </c>
      <c r="H738" s="2" t="str">
        <f aca="false">IFERROR(__xludf.dummyfunction("IF(I746="""", """", REGEXEXTRACT(I746, ""Padrao/([^/]+)""))"),"Jardim Jose Wilson Toni")</f>
        <v>Jardim Jose Wilson Toni</v>
      </c>
    </row>
    <row r="739" customFormat="false" ht="15.75" hidden="false" customHeight="false" outlineLevel="0" collapsed="false">
      <c r="A739" s="2" t="n">
        <v>223829</v>
      </c>
      <c r="B739" s="2" t="s">
        <v>819</v>
      </c>
      <c r="C739" s="2" t="n">
        <v>2</v>
      </c>
      <c r="D739" s="2" t="n">
        <v>1</v>
      </c>
      <c r="E739" s="2" t="n">
        <v>1</v>
      </c>
      <c r="F739" s="2" t="n">
        <v>42</v>
      </c>
      <c r="G739" s="2" t="s">
        <v>422</v>
      </c>
      <c r="H739" s="2" t="str">
        <f aca="false">IFERROR(__xludf.dummyfunction("IF(I747="""", """", REGEXEXTRACT(I747, ""Padrao/([^/]+)""))"),"Valentina Figueiredo")</f>
        <v>Valentina Figueiredo</v>
      </c>
    </row>
    <row r="740" customFormat="false" ht="15.75" hidden="false" customHeight="false" outlineLevel="0" collapsed="false">
      <c r="A740" s="2" t="n">
        <v>219449</v>
      </c>
      <c r="B740" s="2" t="s">
        <v>729</v>
      </c>
      <c r="C740" s="2" t="n">
        <v>2</v>
      </c>
      <c r="D740" s="2" t="n">
        <v>1</v>
      </c>
      <c r="E740" s="2" t="n">
        <v>1</v>
      </c>
      <c r="F740" s="2" t="n">
        <v>41</v>
      </c>
      <c r="G740" s="2" t="s">
        <v>422</v>
      </c>
      <c r="H740" s="2" t="str">
        <f aca="false">IFERROR(__xludf.dummyfunction("IF(I748="""", """", REGEXEXTRACT(I748, ""Padrao/([^/]+)""))"),"Ipiranga")</f>
        <v>Ipiranga</v>
      </c>
    </row>
    <row r="741" customFormat="false" ht="15.75" hidden="false" customHeight="false" outlineLevel="0" collapsed="false">
      <c r="A741" s="2" t="n">
        <v>167549</v>
      </c>
      <c r="B741" s="2" t="s">
        <v>397</v>
      </c>
      <c r="C741" s="2" t="n">
        <v>2</v>
      </c>
      <c r="D741" s="2" t="n">
        <v>1</v>
      </c>
      <c r="E741" s="2" t="n">
        <v>1</v>
      </c>
      <c r="F741" s="2" t="n">
        <v>48</v>
      </c>
      <c r="G741" s="2" t="s">
        <v>422</v>
      </c>
      <c r="H741" s="2" t="str">
        <f aca="false">IFERROR(__xludf.dummyfunction("IF(I749="""", """", REGEXEXTRACT(I749, ""Padrao/([^/]+)""))"),"Jardim Heitor Rigon")</f>
        <v>Jardim Heitor Rigon</v>
      </c>
    </row>
    <row r="742" customFormat="false" ht="15.75" hidden="false" customHeight="false" outlineLevel="0" collapsed="false">
      <c r="A742" s="2" t="n">
        <v>165956</v>
      </c>
      <c r="B742" s="2" t="s">
        <v>602</v>
      </c>
      <c r="C742" s="2" t="n">
        <v>1</v>
      </c>
      <c r="D742" s="2" t="n">
        <v>1</v>
      </c>
      <c r="E742" s="2" t="n">
        <v>1</v>
      </c>
      <c r="F742" s="2" t="n">
        <v>40</v>
      </c>
      <c r="G742" s="2" t="s">
        <v>422</v>
      </c>
      <c r="H742" s="2" t="str">
        <f aca="false">IFERROR(__xludf.dummyfunction("IF(I750="""", """", REGEXEXTRACT(I750, ""Padrao/([^/]+)""))"),"Centro")</f>
        <v>Centro</v>
      </c>
    </row>
    <row r="743" customFormat="false" ht="15.75" hidden="false" customHeight="false" outlineLevel="0" collapsed="false">
      <c r="A743" s="2" t="n">
        <v>151424</v>
      </c>
      <c r="B743" s="2" t="s">
        <v>386</v>
      </c>
      <c r="C743" s="2" t="n">
        <v>2</v>
      </c>
      <c r="D743" s="2" t="n">
        <v>1</v>
      </c>
      <c r="E743" s="2" t="n">
        <v>1</v>
      </c>
      <c r="F743" s="2" t="n">
        <v>42</v>
      </c>
      <c r="G743" s="2" t="s">
        <v>422</v>
      </c>
      <c r="H743" s="2" t="str">
        <f aca="false">IFERROR(__xludf.dummyfunction("IF(I751="""", """", REGEXEXTRACT(I751, ""Padrao/([^/]+)""))"),"Jardim Florestan Fernandes")</f>
        <v>Jardim Florestan Fernandes</v>
      </c>
    </row>
    <row r="744" customFormat="false" ht="15.75" hidden="false" customHeight="false" outlineLevel="0" collapsed="false">
      <c r="A744" s="2" t="n">
        <v>149369</v>
      </c>
      <c r="B744" s="2" t="s">
        <v>386</v>
      </c>
      <c r="C744" s="2" t="n">
        <v>2</v>
      </c>
      <c r="D744" s="2" t="n">
        <v>1</v>
      </c>
      <c r="E744" s="2" t="n">
        <v>1</v>
      </c>
      <c r="F744" s="2" t="n">
        <v>42</v>
      </c>
      <c r="G744" s="2" t="s">
        <v>422</v>
      </c>
      <c r="H744" s="2" t="str">
        <f aca="false">IFERROR(__xludf.dummyfunction("IF(I752="""", """", REGEXEXTRACT(I752, ""Padrao/([^/]+)""))"),"Jardim Florestan Fernandes")</f>
        <v>Jardim Florestan Fernandes</v>
      </c>
    </row>
    <row r="745" customFormat="false" ht="15.75" hidden="false" customHeight="false" outlineLevel="0" collapsed="false">
      <c r="A745" s="2" t="n">
        <v>236417</v>
      </c>
      <c r="B745" s="2" t="s">
        <v>408</v>
      </c>
      <c r="C745" s="2" t="n">
        <v>2</v>
      </c>
      <c r="D745" s="2" t="n">
        <v>1</v>
      </c>
      <c r="E745" s="2" t="n">
        <v>1</v>
      </c>
      <c r="F745" s="2" t="n">
        <v>40</v>
      </c>
      <c r="G745" s="2" t="s">
        <v>820</v>
      </c>
      <c r="H745" s="2" t="str">
        <f aca="false">IFERROR(__xludf.dummyfunction("IF(I753="""", """", REGEXEXTRACT(I753, ""Padrao/([^/]+)""))"),"Reserva Real")</f>
        <v>Reserva Real</v>
      </c>
    </row>
    <row r="746" customFormat="false" ht="15.75" hidden="false" customHeight="false" outlineLevel="0" collapsed="false">
      <c r="A746" s="2" t="n">
        <v>182480</v>
      </c>
      <c r="B746" s="2" t="s">
        <v>821</v>
      </c>
      <c r="C746" s="2" t="n">
        <v>3</v>
      </c>
      <c r="D746" s="2" t="n">
        <v>5</v>
      </c>
      <c r="E746" s="2" t="n">
        <v>3</v>
      </c>
      <c r="F746" s="2" t="n">
        <v>170</v>
      </c>
      <c r="G746" s="2" t="s">
        <v>354</v>
      </c>
      <c r="H746" s="2" t="str">
        <f aca="false">IFERROR(__xludf.dummyfunction("IF(I754="""", """", REGEXEXTRACT(I754, ""Padrao/([^/]+)""))"),"Vila do Golf")</f>
        <v>Vila do Golf</v>
      </c>
    </row>
    <row r="747" customFormat="false" ht="15.75" hidden="false" customHeight="false" outlineLevel="0" collapsed="false">
      <c r="A747" s="2" t="n">
        <v>212750</v>
      </c>
      <c r="B747" s="2" t="s">
        <v>822</v>
      </c>
      <c r="C747" s="2" t="n">
        <v>4</v>
      </c>
      <c r="D747" s="2" t="n">
        <v>7</v>
      </c>
      <c r="E747" s="2" t="n">
        <v>4</v>
      </c>
      <c r="F747" s="2" t="n">
        <v>298</v>
      </c>
      <c r="G747" s="2" t="s">
        <v>823</v>
      </c>
      <c r="H747" s="2" t="str">
        <f aca="false">IFERROR(__xludf.dummyfunction("IF(I755="""", """", REGEXEXTRACT(I755, ""Padrao/([^/]+)""))"),"Jardim Olhos DAgua")</f>
        <v>Jardim Olhos DAgua</v>
      </c>
    </row>
    <row r="748" customFormat="false" ht="15.75" hidden="false" customHeight="false" outlineLevel="0" collapsed="false">
      <c r="A748" s="2" t="n">
        <v>231308</v>
      </c>
      <c r="B748" s="2" t="s">
        <v>824</v>
      </c>
      <c r="C748" s="2" t="n">
        <v>5</v>
      </c>
      <c r="D748" s="2" t="n">
        <v>8</v>
      </c>
      <c r="E748" s="2" t="n">
        <v>4</v>
      </c>
      <c r="F748" s="2" t="n">
        <v>278</v>
      </c>
      <c r="G748" s="2" t="s">
        <v>825</v>
      </c>
      <c r="H748" s="2" t="str">
        <f aca="false">IFERROR(__xludf.dummyfunction("IF(I756="""", """", REGEXEXTRACT(I756, ""Padrao/([^/]+)""))"),"Ribeirania")</f>
        <v>Ribeirania</v>
      </c>
    </row>
    <row r="749" customFormat="false" ht="15.75" hidden="false" customHeight="false" outlineLevel="0" collapsed="false">
      <c r="A749" s="2" t="n">
        <v>234722</v>
      </c>
      <c r="B749" s="2" t="s">
        <v>826</v>
      </c>
      <c r="C749" s="2" t="n">
        <v>3</v>
      </c>
      <c r="D749" s="2" t="n">
        <v>7</v>
      </c>
      <c r="E749" s="2" t="n">
        <v>4</v>
      </c>
      <c r="F749" s="2" t="n">
        <v>292</v>
      </c>
      <c r="G749" s="2" t="s">
        <v>827</v>
      </c>
      <c r="H749" s="2" t="str">
        <f aca="false">IFERROR(__xludf.dummyfunction("IF(I757="""", """", REGEXEXTRACT(I757, ""Padrao/([^/]+)""))"),"Jardim Botanico")</f>
        <v>Jardim Botanico</v>
      </c>
    </row>
    <row r="750" customFormat="false" ht="15.75" hidden="false" customHeight="false" outlineLevel="0" collapsed="false">
      <c r="A750" s="2" t="n">
        <v>223040</v>
      </c>
      <c r="B750" s="2" t="s">
        <v>770</v>
      </c>
      <c r="C750" s="2" t="n">
        <v>2</v>
      </c>
      <c r="D750" s="2" t="n">
        <v>1</v>
      </c>
      <c r="E750" s="2" t="n">
        <v>1</v>
      </c>
      <c r="F750" s="2" t="n">
        <v>42</v>
      </c>
      <c r="G750" s="2" t="s">
        <v>688</v>
      </c>
      <c r="H750" s="2" t="str">
        <f aca="false">IFERROR(__xludf.dummyfunction("IF(I758="""", """", REGEXEXTRACT(I758, ""Padrao/([^/]+)""))"),"Ipiranga")</f>
        <v>Ipiranga</v>
      </c>
    </row>
    <row r="751" customFormat="false" ht="15.75" hidden="false" customHeight="false" outlineLevel="0" collapsed="false">
      <c r="A751" s="2" t="n">
        <v>173258</v>
      </c>
      <c r="B751" s="2" t="s">
        <v>785</v>
      </c>
      <c r="C751" s="2" t="n">
        <v>2</v>
      </c>
      <c r="D751" s="2" t="n">
        <v>1</v>
      </c>
      <c r="E751" s="2" t="n">
        <v>1</v>
      </c>
      <c r="F751" s="2" t="n">
        <v>60</v>
      </c>
      <c r="G751" s="2" t="s">
        <v>700</v>
      </c>
      <c r="H751" s="2" t="str">
        <f aca="false">IFERROR(__xludf.dummyfunction("IF(I759="""", """", REGEXEXTRACT(I759, ""Padrao/([^/]+)""))"),"Parque Ribeirao Preto")</f>
        <v>Parque Ribeirao Preto</v>
      </c>
    </row>
    <row r="752" customFormat="false" ht="15.75" hidden="false" customHeight="false" outlineLevel="0" collapsed="false">
      <c r="A752" s="2" t="n">
        <v>186368</v>
      </c>
      <c r="B752" s="2" t="s">
        <v>828</v>
      </c>
      <c r="C752" s="2" t="n">
        <v>2</v>
      </c>
      <c r="D752" s="2" t="n">
        <v>1</v>
      </c>
      <c r="E752" s="2" t="n">
        <v>1</v>
      </c>
      <c r="F752" s="2" t="n">
        <v>40</v>
      </c>
      <c r="G752" s="2" t="s">
        <v>742</v>
      </c>
      <c r="H752" s="2" t="str">
        <f aca="false">IFERROR(__xludf.dummyfunction("IF(I760="""", """", REGEXEXTRACT(I760, ""Padrao/([^/]+)""))"),"Reserva Real")</f>
        <v>Reserva Real</v>
      </c>
    </row>
    <row r="753" customFormat="false" ht="15.75" hidden="false" customHeight="false" outlineLevel="0" collapsed="false">
      <c r="A753" s="2" t="n">
        <v>125903</v>
      </c>
      <c r="B753" s="2" t="s">
        <v>829</v>
      </c>
      <c r="C753" s="2" t="n">
        <v>2</v>
      </c>
      <c r="D753" s="2" t="n">
        <v>1</v>
      </c>
      <c r="E753" s="2" t="n">
        <v>1</v>
      </c>
      <c r="F753" s="2" t="n">
        <v>49</v>
      </c>
      <c r="G753" s="2" t="s">
        <v>742</v>
      </c>
      <c r="H753" s="2" t="str">
        <f aca="false">IFERROR(__xludf.dummyfunction("IF(I761="""", """", REGEXEXTRACT(I761, ""Padrao/([^/]+)""))"),"Vila Abranches")</f>
        <v>Vila Abranches</v>
      </c>
    </row>
    <row r="754" customFormat="false" ht="15.75" hidden="false" customHeight="false" outlineLevel="0" collapsed="false">
      <c r="A754" s="2" t="n">
        <v>212540</v>
      </c>
      <c r="B754" s="2" t="s">
        <v>830</v>
      </c>
      <c r="C754" s="2" t="n">
        <v>2</v>
      </c>
      <c r="D754" s="2" t="n">
        <v>1</v>
      </c>
      <c r="E754" s="2" t="n">
        <v>1</v>
      </c>
      <c r="F754" s="2" t="n">
        <v>48</v>
      </c>
      <c r="G754" s="2" t="s">
        <v>414</v>
      </c>
      <c r="H754" s="2" t="str">
        <f aca="false">IFERROR(__xludf.dummyfunction("IF(I762="""", """", REGEXEXTRACT(I762, ""Padrao/([^/]+)""))"),"Ipiranga")</f>
        <v>Ipiranga</v>
      </c>
    </row>
    <row r="755" customFormat="false" ht="15.75" hidden="false" customHeight="false" outlineLevel="0" collapsed="false">
      <c r="A755" s="2" t="n">
        <v>122201</v>
      </c>
      <c r="B755" s="2" t="s">
        <v>386</v>
      </c>
      <c r="C755" s="2" t="n">
        <v>2</v>
      </c>
      <c r="D755" s="2" t="n">
        <v>1</v>
      </c>
      <c r="E755" s="2" t="n">
        <v>1</v>
      </c>
      <c r="F755" s="2" t="n">
        <v>42</v>
      </c>
      <c r="G755" s="2" t="s">
        <v>414</v>
      </c>
      <c r="H755" s="2" t="str">
        <f aca="false">IFERROR(__xludf.dummyfunction("IF(I763="""", """", REGEXEXTRACT(I763, ""Padrao/([^/]+)""))"),"Ribeirao Verde")</f>
        <v>Ribeirao Verde</v>
      </c>
    </row>
    <row r="756" customFormat="false" ht="15.75" hidden="false" customHeight="false" outlineLevel="0" collapsed="false">
      <c r="A756" s="2" t="n">
        <v>121835</v>
      </c>
      <c r="B756" s="2" t="s">
        <v>602</v>
      </c>
      <c r="C756" s="2" t="n">
        <v>1</v>
      </c>
      <c r="D756" s="2" t="n">
        <v>1</v>
      </c>
      <c r="E756" s="2" t="n">
        <v>1</v>
      </c>
      <c r="F756" s="2" t="n">
        <v>34</v>
      </c>
      <c r="G756" s="2" t="s">
        <v>414</v>
      </c>
      <c r="H756" s="2" t="str">
        <f aca="false">IFERROR(__xludf.dummyfunction("IF(I764="""", """", REGEXEXTRACT(I764, ""Padrao/([^/]+)""))"),"Centro")</f>
        <v>Centro</v>
      </c>
    </row>
    <row r="757" customFormat="false" ht="15.75" hidden="false" customHeight="false" outlineLevel="0" collapsed="false">
      <c r="A757" s="2" t="n">
        <v>192146</v>
      </c>
      <c r="B757" s="2" t="s">
        <v>831</v>
      </c>
      <c r="C757" s="2" t="n">
        <v>2</v>
      </c>
      <c r="D757" s="2" t="n">
        <v>1</v>
      </c>
      <c r="E757" s="2" t="n">
        <v>1</v>
      </c>
      <c r="F757" s="2" t="n">
        <v>43</v>
      </c>
      <c r="G757" s="2" t="s">
        <v>797</v>
      </c>
      <c r="H757" s="2" t="str">
        <f aca="false">IFERROR(__xludf.dummyfunction("IF(I765="""", """", REGEXEXTRACT(I765, ""Padrao/([^/]+)""))"),"Jardim Heitor Rigon")</f>
        <v>Jardim Heitor Rigon</v>
      </c>
    </row>
    <row r="758" customFormat="false" ht="15.75" hidden="false" customHeight="false" outlineLevel="0" collapsed="false">
      <c r="A758" s="2" t="n">
        <v>183395</v>
      </c>
      <c r="B758" s="2" t="s">
        <v>832</v>
      </c>
      <c r="C758" s="2" t="n">
        <v>2</v>
      </c>
      <c r="D758" s="2" t="n">
        <v>1</v>
      </c>
      <c r="E758" s="2" t="n">
        <v>1</v>
      </c>
      <c r="F758" s="2" t="n">
        <v>46</v>
      </c>
      <c r="G758" s="2" t="s">
        <v>797</v>
      </c>
      <c r="H758" s="2" t="str">
        <f aca="false">IFERROR(__xludf.dummyfunction("IF(I766="""", """", REGEXEXTRACT(I766, ""Padrao/([^/]+)""))"),"Residencial das Americas")</f>
        <v>Residencial das Americas</v>
      </c>
    </row>
    <row r="759" customFormat="false" ht="15.75" hidden="false" customHeight="false" outlineLevel="0" collapsed="false">
      <c r="A759" s="2" t="n">
        <v>244703</v>
      </c>
      <c r="B759" s="2" t="s">
        <v>421</v>
      </c>
      <c r="C759" s="2" t="n">
        <v>2</v>
      </c>
      <c r="D759" s="2" t="n">
        <v>1</v>
      </c>
      <c r="E759" s="2" t="n">
        <v>1</v>
      </c>
      <c r="F759" s="2" t="n">
        <v>41</v>
      </c>
      <c r="G759" s="2" t="s">
        <v>425</v>
      </c>
      <c r="H759" s="2" t="str">
        <f aca="false">IFERROR(__xludf.dummyfunction("IF(I767="""", """", REGEXEXTRACT(I767, ""Padrao/([^/]+)""))"),"Conjunto Habitacional Silvio Passalacqua")</f>
        <v>Conjunto Habitacional Silvio Passalacqua</v>
      </c>
    </row>
    <row r="760" customFormat="false" ht="15.75" hidden="false" customHeight="false" outlineLevel="0" collapsed="false">
      <c r="A760" s="2" t="n">
        <v>244079</v>
      </c>
      <c r="B760" s="2" t="s">
        <v>833</v>
      </c>
      <c r="C760" s="2" t="n">
        <v>2</v>
      </c>
      <c r="D760" s="2" t="n">
        <v>1</v>
      </c>
      <c r="E760" s="2" t="n">
        <v>1</v>
      </c>
      <c r="F760" s="2" t="n">
        <v>45</v>
      </c>
      <c r="G760" s="2" t="s">
        <v>425</v>
      </c>
      <c r="H760" s="2" t="str">
        <f aca="false">IFERROR(__xludf.dummyfunction("IF(I768="""", """", REGEXEXTRACT(I768, ""Padrao/([^/]+)""))"),"Jardim Vilico Cantarelli")</f>
        <v>Jardim Vilico Cantarelli</v>
      </c>
    </row>
    <row r="761" customFormat="false" ht="15.75" hidden="false" customHeight="false" outlineLevel="0" collapsed="false">
      <c r="A761" s="2" t="n">
        <v>243158</v>
      </c>
      <c r="B761" s="2" t="s">
        <v>834</v>
      </c>
      <c r="C761" s="2" t="n">
        <v>1</v>
      </c>
      <c r="D761" s="2" t="n">
        <v>1</v>
      </c>
      <c r="E761" s="2" t="n">
        <v>1</v>
      </c>
      <c r="F761" s="2" t="n">
        <v>41</v>
      </c>
      <c r="G761" s="2" t="s">
        <v>425</v>
      </c>
      <c r="H761" s="2" t="str">
        <f aca="false">IFERROR(__xludf.dummyfunction("IF(I769="""", """", REGEXEXTRACT(I769, ""Padrao/([^/]+)""))"),"Nova Alianca")</f>
        <v>Nova Alianca</v>
      </c>
    </row>
    <row r="762" customFormat="false" ht="15.75" hidden="false" customHeight="false" outlineLevel="0" collapsed="false">
      <c r="A762" s="2" t="n">
        <v>241511</v>
      </c>
      <c r="B762" s="2" t="s">
        <v>815</v>
      </c>
      <c r="C762" s="2" t="n">
        <v>2</v>
      </c>
      <c r="D762" s="2" t="n">
        <v>1</v>
      </c>
      <c r="E762" s="2" t="n">
        <v>1</v>
      </c>
      <c r="F762" s="2" t="n">
        <v>42</v>
      </c>
      <c r="G762" s="2" t="s">
        <v>425</v>
      </c>
      <c r="H762" s="2" t="str">
        <f aca="false">IFERROR(__xludf.dummyfunction("IF(I770="""", """", REGEXEXTRACT(I770, ""Padrao/([^/]+)""))"),"Planalto Verde")</f>
        <v>Planalto Verde</v>
      </c>
    </row>
    <row r="763" customFormat="false" ht="15.75" hidden="false" customHeight="false" outlineLevel="0" collapsed="false">
      <c r="A763" s="2" t="n">
        <v>240707</v>
      </c>
      <c r="B763" s="2" t="s">
        <v>429</v>
      </c>
      <c r="C763" s="2" t="n">
        <v>2</v>
      </c>
      <c r="D763" s="2" t="n">
        <v>1</v>
      </c>
      <c r="E763" s="2" t="n">
        <v>1</v>
      </c>
      <c r="F763" s="2" t="n">
        <v>43</v>
      </c>
      <c r="G763" s="2" t="s">
        <v>425</v>
      </c>
      <c r="H763" s="2" t="str">
        <f aca="false">IFERROR(__xludf.dummyfunction("IF(I771="""", """", REGEXEXTRACT(I771, ""Padrao/([^/]+)""))"),"Reserva Macauba")</f>
        <v>Reserva Macauba</v>
      </c>
    </row>
    <row r="764" customFormat="false" ht="15.75" hidden="false" customHeight="false" outlineLevel="0" collapsed="false">
      <c r="A764" s="2" t="n">
        <v>240683</v>
      </c>
      <c r="B764" s="2" t="s">
        <v>835</v>
      </c>
      <c r="C764" s="2" t="n">
        <v>2</v>
      </c>
      <c r="D764" s="2" t="n">
        <v>1</v>
      </c>
      <c r="E764" s="2" t="n">
        <v>1</v>
      </c>
      <c r="F764" s="2" t="n">
        <v>52</v>
      </c>
      <c r="G764" s="2" t="s">
        <v>425</v>
      </c>
      <c r="H764" s="2" t="str">
        <f aca="false">IFERROR(__xludf.dummyfunction("IF(I772="""", """", REGEXEXTRACT(I772, ""Padrao/([^/]+)""))"),"Jardim Palma Travassos")</f>
        <v>Jardim Palma Travassos</v>
      </c>
    </row>
    <row r="765" customFormat="false" ht="15.75" hidden="false" customHeight="false" outlineLevel="0" collapsed="false">
      <c r="A765" s="2" t="n">
        <v>238103</v>
      </c>
      <c r="B765" s="2" t="s">
        <v>815</v>
      </c>
      <c r="C765" s="2" t="n">
        <v>2</v>
      </c>
      <c r="D765" s="2" t="n">
        <v>1</v>
      </c>
      <c r="E765" s="2" t="n">
        <v>1</v>
      </c>
      <c r="F765" s="2" t="n">
        <v>42</v>
      </c>
      <c r="G765" s="2" t="s">
        <v>425</v>
      </c>
      <c r="H765" s="2" t="str">
        <f aca="false">IFERROR(__xludf.dummyfunction("IF(I773="""", """", REGEXEXTRACT(I773, ""Padrao/([^/]+)""))"),"Planalto Verde")</f>
        <v>Planalto Verde</v>
      </c>
    </row>
    <row r="766" customFormat="false" ht="15.75" hidden="false" customHeight="false" outlineLevel="0" collapsed="false">
      <c r="A766" s="2" t="n">
        <v>237560</v>
      </c>
      <c r="B766" s="2" t="s">
        <v>836</v>
      </c>
      <c r="C766" s="2" t="n">
        <v>2</v>
      </c>
      <c r="D766" s="2" t="n">
        <v>1</v>
      </c>
      <c r="E766" s="2" t="n">
        <v>1</v>
      </c>
      <c r="F766" s="2" t="n">
        <v>48</v>
      </c>
      <c r="G766" s="2" t="s">
        <v>425</v>
      </c>
      <c r="H766" s="2" t="str">
        <f aca="false">IFERROR(__xludf.dummyfunction("IF(I774="""", """", REGEXEXTRACT(I774, ""Padrao/([^/]+)""))"),"Recreio Anhanguera")</f>
        <v>Recreio Anhanguera</v>
      </c>
    </row>
    <row r="767" customFormat="false" ht="15.75" hidden="false" customHeight="false" outlineLevel="0" collapsed="false">
      <c r="A767" s="2" t="n">
        <v>235622</v>
      </c>
      <c r="B767" s="2" t="s">
        <v>727</v>
      </c>
      <c r="C767" s="2" t="n">
        <v>2</v>
      </c>
      <c r="D767" s="2" t="n">
        <v>1</v>
      </c>
      <c r="E767" s="2" t="n">
        <v>1</v>
      </c>
      <c r="F767" s="2" t="n">
        <v>41</v>
      </c>
      <c r="G767" s="2" t="s">
        <v>425</v>
      </c>
      <c r="H767" s="2" t="str">
        <f aca="false">IFERROR(__xludf.dummyfunction("IF(I775="""", """", REGEXEXTRACT(I775, ""Padrao/([^/]+)""))"),"Jardim Joao Rossi")</f>
        <v>Jardim Joao Rossi</v>
      </c>
    </row>
    <row r="768" customFormat="false" ht="15.75" hidden="false" customHeight="false" outlineLevel="0" collapsed="false">
      <c r="A768" s="2" t="n">
        <v>235337</v>
      </c>
      <c r="B768" s="2" t="s">
        <v>837</v>
      </c>
      <c r="C768" s="2" t="n">
        <v>2</v>
      </c>
      <c r="D768" s="2" t="n">
        <v>1</v>
      </c>
      <c r="E768" s="2" t="n">
        <v>1</v>
      </c>
      <c r="F768" s="2" t="n">
        <v>41</v>
      </c>
      <c r="G768" s="2" t="s">
        <v>425</v>
      </c>
      <c r="H768" s="2" t="str">
        <f aca="false">IFERROR(__xludf.dummyfunction("IF(I776="""", """", REGEXEXTRACT(I776, ""Padrao/([^/]+)""))"),"Reserva Real")</f>
        <v>Reserva Real</v>
      </c>
    </row>
    <row r="769" customFormat="false" ht="15.75" hidden="false" customHeight="false" outlineLevel="0" collapsed="false">
      <c r="A769" s="2" t="n">
        <v>235121</v>
      </c>
      <c r="B769" s="2" t="s">
        <v>837</v>
      </c>
      <c r="C769" s="2" t="n">
        <v>2</v>
      </c>
      <c r="D769" s="2" t="n">
        <v>1</v>
      </c>
      <c r="E769" s="2" t="n">
        <v>1</v>
      </c>
      <c r="F769" s="2" t="n">
        <v>41</v>
      </c>
      <c r="G769" s="2" t="s">
        <v>425</v>
      </c>
      <c r="H769" s="2" t="str">
        <f aca="false">IFERROR(__xludf.dummyfunction("IF(I777="""", """", REGEXEXTRACT(I777, ""Padrao/([^/]+)""))"),"Reserva Real")</f>
        <v>Reserva Real</v>
      </c>
    </row>
    <row r="770" customFormat="false" ht="15.75" hidden="false" customHeight="false" outlineLevel="0" collapsed="false">
      <c r="A770" s="2" t="n">
        <v>234941</v>
      </c>
      <c r="B770" s="2" t="s">
        <v>386</v>
      </c>
      <c r="C770" s="2" t="n">
        <v>2</v>
      </c>
      <c r="D770" s="2" t="n">
        <v>1</v>
      </c>
      <c r="E770" s="2" t="n">
        <v>1</v>
      </c>
      <c r="F770" s="2" t="n">
        <v>42</v>
      </c>
      <c r="G770" s="2" t="s">
        <v>425</v>
      </c>
      <c r="H770" s="2" t="str">
        <f aca="false">IFERROR(__xludf.dummyfunction("IF(I778="""", """", REGEXEXTRACT(I778, ""Padrao/([^/]+)""))"),"Jardim Florestan Fernandes")</f>
        <v>Jardim Florestan Fernandes</v>
      </c>
    </row>
    <row r="771" customFormat="false" ht="15.75" hidden="false" customHeight="false" outlineLevel="0" collapsed="false">
      <c r="A771" s="2" t="n">
        <v>233882</v>
      </c>
      <c r="B771" s="2" t="s">
        <v>726</v>
      </c>
      <c r="C771" s="2" t="n">
        <v>2</v>
      </c>
      <c r="D771" s="2" t="n">
        <v>1</v>
      </c>
      <c r="E771" s="2" t="n">
        <v>1</v>
      </c>
      <c r="F771" s="2" t="n">
        <v>48</v>
      </c>
      <c r="G771" s="2" t="s">
        <v>425</v>
      </c>
      <c r="H771" s="2" t="str">
        <f aca="false">IFERROR(__xludf.dummyfunction("IF(I779="""", """", REGEXEXTRACT(I779, ""Padrao/([^/]+)""))"),"Quintino Facci II")</f>
        <v>Quintino Facci II</v>
      </c>
    </row>
    <row r="772" customFormat="false" ht="15.75" hidden="false" customHeight="false" outlineLevel="0" collapsed="false">
      <c r="A772" s="2" t="n">
        <v>232940</v>
      </c>
      <c r="B772" s="2" t="s">
        <v>838</v>
      </c>
      <c r="C772" s="2" t="n">
        <v>2</v>
      </c>
      <c r="D772" s="2" t="n">
        <v>1</v>
      </c>
      <c r="E772" s="2" t="n">
        <v>1</v>
      </c>
      <c r="F772" s="2" t="n">
        <v>45</v>
      </c>
      <c r="G772" s="2" t="s">
        <v>425</v>
      </c>
      <c r="H772" s="2" t="str">
        <f aca="false">IFERROR(__xludf.dummyfunction("IF(I780="""", """", REGEXEXTRACT(I780, ""Padrao/([^/]+)""))"),"Parque Sao Sebastiao")</f>
        <v>Parque Sao Sebastiao</v>
      </c>
    </row>
    <row r="773" customFormat="false" ht="15.75" hidden="false" customHeight="false" outlineLevel="0" collapsed="false">
      <c r="A773" s="2" t="n">
        <v>231017</v>
      </c>
      <c r="B773" s="2" t="s">
        <v>839</v>
      </c>
      <c r="C773" s="2" t="n">
        <v>2</v>
      </c>
      <c r="D773" s="2" t="n">
        <v>1</v>
      </c>
      <c r="E773" s="2" t="n">
        <v>1</v>
      </c>
      <c r="F773" s="2" t="n">
        <v>40</v>
      </c>
      <c r="G773" s="2" t="s">
        <v>425</v>
      </c>
      <c r="H773" s="2" t="str">
        <f aca="false">IFERROR(__xludf.dummyfunction("IF(I781="""", """", REGEXEXTRACT(I781, ""Padrao/([^/]+)""))"),"Jardim Itau")</f>
        <v>Jardim Itau</v>
      </c>
    </row>
    <row r="774" customFormat="false" ht="15.75" hidden="false" customHeight="false" outlineLevel="0" collapsed="false">
      <c r="A774" s="2" t="n">
        <v>230594</v>
      </c>
      <c r="B774" s="2" t="s">
        <v>763</v>
      </c>
      <c r="C774" s="2" t="n">
        <v>2</v>
      </c>
      <c r="D774" s="2" t="n">
        <v>1</v>
      </c>
      <c r="E774" s="2" t="n">
        <v>1</v>
      </c>
      <c r="F774" s="2" t="n">
        <v>50</v>
      </c>
      <c r="G774" s="2" t="s">
        <v>425</v>
      </c>
      <c r="H774" s="2" t="str">
        <f aca="false">IFERROR(__xludf.dummyfunction("IF(I782="""", """", REGEXEXTRACT(I782, ""Padrao/([^/]+)""))"),"Jardim Heitor Rigon")</f>
        <v>Jardim Heitor Rigon</v>
      </c>
    </row>
    <row r="775" customFormat="false" ht="15.75" hidden="false" customHeight="false" outlineLevel="0" collapsed="false">
      <c r="A775" s="2" t="n">
        <v>225122</v>
      </c>
      <c r="B775" s="2" t="s">
        <v>837</v>
      </c>
      <c r="C775" s="2" t="n">
        <v>2</v>
      </c>
      <c r="D775" s="2" t="n">
        <v>1</v>
      </c>
      <c r="E775" s="2" t="n">
        <v>1</v>
      </c>
      <c r="F775" s="2" t="n">
        <v>41</v>
      </c>
      <c r="G775" s="2" t="s">
        <v>425</v>
      </c>
      <c r="H775" s="2" t="str">
        <f aca="false">IFERROR(__xludf.dummyfunction("IF(I783="""", """", REGEXEXTRACT(I783, ""Padrao/([^/]+)""))"),"Reserva Real")</f>
        <v>Reserva Real</v>
      </c>
    </row>
    <row r="776" customFormat="false" ht="15.75" hidden="false" customHeight="false" outlineLevel="0" collapsed="false">
      <c r="A776" s="2" t="n">
        <v>223220</v>
      </c>
      <c r="B776" s="2" t="s">
        <v>840</v>
      </c>
      <c r="C776" s="2" t="n">
        <v>2</v>
      </c>
      <c r="D776" s="2" t="n">
        <v>1</v>
      </c>
      <c r="E776" s="2" t="n">
        <v>1</v>
      </c>
      <c r="F776" s="2" t="n">
        <v>46</v>
      </c>
      <c r="G776" s="2" t="s">
        <v>425</v>
      </c>
      <c r="H776" s="2" t="str">
        <f aca="false">IFERROR(__xludf.dummyfunction("IF(I784="""", """", REGEXEXTRACT(I784, ""Padrao/([^/]+)""))"),"Jardim Heitor Rigon")</f>
        <v>Jardim Heitor Rigon</v>
      </c>
    </row>
    <row r="777" customFormat="false" ht="15.75" hidden="false" customHeight="false" outlineLevel="0" collapsed="false">
      <c r="A777" s="2" t="n">
        <v>223160</v>
      </c>
      <c r="B777" s="2" t="s">
        <v>819</v>
      </c>
      <c r="C777" s="2" t="n">
        <v>2</v>
      </c>
      <c r="D777" s="2" t="n">
        <v>1</v>
      </c>
      <c r="E777" s="2" t="n">
        <v>1</v>
      </c>
      <c r="F777" s="2" t="n">
        <v>42</v>
      </c>
      <c r="G777" s="2" t="s">
        <v>425</v>
      </c>
      <c r="H777" s="2" t="str">
        <f aca="false">IFERROR(__xludf.dummyfunction("IF(I785="""", """", REGEXEXTRACT(I785, ""Padrao/([^/]+)""))"),"Valentina Figueiredo")</f>
        <v>Valentina Figueiredo</v>
      </c>
    </row>
    <row r="778" customFormat="false" ht="15.75" hidden="false" customHeight="false" outlineLevel="0" collapsed="false">
      <c r="A778" s="2" t="n">
        <v>222128</v>
      </c>
      <c r="B778" s="2" t="s">
        <v>841</v>
      </c>
      <c r="C778" s="2" t="n">
        <v>2</v>
      </c>
      <c r="D778" s="2" t="n">
        <v>1</v>
      </c>
      <c r="E778" s="2" t="n">
        <v>1</v>
      </c>
      <c r="F778" s="2" t="n">
        <v>42</v>
      </c>
      <c r="G778" s="2" t="s">
        <v>425</v>
      </c>
      <c r="H778" s="2" t="str">
        <f aca="false">IFERROR(__xludf.dummyfunction("IF(I786="""", """", REGEXEXTRACT(I786, ""Padrao/([^/]+)""))"),"Adao do Carmo Leonel")</f>
        <v>Adao do Carmo Leonel</v>
      </c>
    </row>
    <row r="779" customFormat="false" ht="15.75" hidden="false" customHeight="false" outlineLevel="0" collapsed="false">
      <c r="A779" s="2" t="n">
        <v>220370</v>
      </c>
      <c r="B779" s="2" t="s">
        <v>842</v>
      </c>
      <c r="C779" s="2" t="n">
        <v>2</v>
      </c>
      <c r="D779" s="2" t="n">
        <v>1</v>
      </c>
      <c r="E779" s="2" t="n">
        <v>1</v>
      </c>
      <c r="F779" s="2" t="n">
        <v>45</v>
      </c>
      <c r="G779" s="2" t="s">
        <v>425</v>
      </c>
      <c r="H779" s="2" t="str">
        <f aca="false">IFERROR(__xludf.dummyfunction("IF(I787="""", """", REGEXEXTRACT(I787, ""Padrao/([^/]+)""))"),"Jardim Zara")</f>
        <v>Jardim Zara</v>
      </c>
    </row>
    <row r="780" customFormat="false" ht="15.75" hidden="false" customHeight="false" outlineLevel="0" collapsed="false">
      <c r="A780" s="2" t="n">
        <v>220325</v>
      </c>
      <c r="B780" s="2" t="s">
        <v>417</v>
      </c>
      <c r="C780" s="2" t="n">
        <v>2</v>
      </c>
      <c r="D780" s="2" t="n">
        <v>1</v>
      </c>
      <c r="E780" s="2" t="n">
        <v>1</v>
      </c>
      <c r="F780" s="2" t="n">
        <v>42</v>
      </c>
      <c r="G780" s="2" t="s">
        <v>425</v>
      </c>
      <c r="H780" s="2" t="str">
        <f aca="false">IFERROR(__xludf.dummyfunction("IF(I788="""", """", REGEXEXTRACT(I788, ""Padrao/([^/]+)""))"),"Jardim Jose Wilson Toni")</f>
        <v>Jardim Jose Wilson Toni</v>
      </c>
    </row>
    <row r="781" customFormat="false" ht="15.75" hidden="false" customHeight="false" outlineLevel="0" collapsed="false">
      <c r="A781" s="2" t="n">
        <v>217958</v>
      </c>
      <c r="B781" s="2" t="s">
        <v>771</v>
      </c>
      <c r="C781" s="2" t="n">
        <v>2</v>
      </c>
      <c r="D781" s="2" t="n">
        <v>1</v>
      </c>
      <c r="E781" s="2" t="n">
        <v>1</v>
      </c>
      <c r="F781" s="2" t="n">
        <v>43</v>
      </c>
      <c r="G781" s="2" t="s">
        <v>425</v>
      </c>
      <c r="H781" s="2" t="str">
        <f aca="false">IFERROR(__xludf.dummyfunction("IF(I789="""", """", REGEXEXTRACT(I789, ""Padrao/([^/]+)""))"),"Jardim Diva Tarla de Carvalho")</f>
        <v>Jardim Diva Tarla de Carvalho</v>
      </c>
    </row>
    <row r="782" customFormat="false" ht="15.75" hidden="false" customHeight="false" outlineLevel="0" collapsed="false">
      <c r="A782" s="2" t="n">
        <v>216647</v>
      </c>
      <c r="B782" s="2" t="s">
        <v>430</v>
      </c>
      <c r="C782" s="2" t="n">
        <v>2</v>
      </c>
      <c r="D782" s="2" t="n">
        <v>1</v>
      </c>
      <c r="E782" s="2" t="n">
        <v>1</v>
      </c>
      <c r="F782" s="2" t="n">
        <v>41</v>
      </c>
      <c r="G782" s="2" t="s">
        <v>425</v>
      </c>
      <c r="H782" s="2" t="str">
        <f aca="false">IFERROR(__xludf.dummyfunction("IF(I790="""", """", REGEXEXTRACT(I790, ""Padrao/([^/]+)""))"),"Reserva Real")</f>
        <v>Reserva Real</v>
      </c>
    </row>
    <row r="783" customFormat="false" ht="15.75" hidden="false" customHeight="false" outlineLevel="0" collapsed="false">
      <c r="A783" s="2" t="n">
        <v>215741</v>
      </c>
      <c r="B783" s="2" t="s">
        <v>843</v>
      </c>
      <c r="C783" s="2" t="n">
        <v>2</v>
      </c>
      <c r="D783" s="2" t="n">
        <v>1</v>
      </c>
      <c r="E783" s="2" t="n">
        <v>1</v>
      </c>
      <c r="F783" s="2" t="n">
        <v>40</v>
      </c>
      <c r="G783" s="2" t="s">
        <v>425</v>
      </c>
      <c r="H783" s="2" t="str">
        <f aca="false">IFERROR(__xludf.dummyfunction("IF(I791="""", """", REGEXEXTRACT(I791, ""Padrao/([^/]+)""))"),"Jardim Ouro Branco")</f>
        <v>Jardim Ouro Branco</v>
      </c>
    </row>
    <row r="784" customFormat="false" ht="15.75" hidden="false" customHeight="false" outlineLevel="0" collapsed="false">
      <c r="A784" s="2" t="n">
        <v>212618</v>
      </c>
      <c r="B784" s="2" t="s">
        <v>844</v>
      </c>
      <c r="C784" s="2" t="n">
        <v>2</v>
      </c>
      <c r="D784" s="2" t="n">
        <v>1</v>
      </c>
      <c r="E784" s="2" t="n">
        <v>1</v>
      </c>
      <c r="F784" s="2" t="n">
        <v>46</v>
      </c>
      <c r="G784" s="2" t="s">
        <v>425</v>
      </c>
      <c r="H784" s="2" t="str">
        <f aca="false">IFERROR(__xludf.dummyfunction("IF(I792="""", """", REGEXEXTRACT(I792, ""Padrao/([^/]+)""))"),"Ipiranga")</f>
        <v>Ipiranga</v>
      </c>
    </row>
    <row r="785" customFormat="false" ht="15.75" hidden="false" customHeight="false" outlineLevel="0" collapsed="false">
      <c r="A785" s="2" t="n">
        <v>206204</v>
      </c>
      <c r="B785" s="2" t="s">
        <v>680</v>
      </c>
      <c r="C785" s="2" t="n">
        <v>2</v>
      </c>
      <c r="D785" s="2" t="n">
        <v>1</v>
      </c>
      <c r="E785" s="2" t="n">
        <v>1</v>
      </c>
      <c r="F785" s="2" t="n">
        <v>42</v>
      </c>
      <c r="G785" s="2" t="s">
        <v>425</v>
      </c>
      <c r="H785" s="2" t="str">
        <f aca="false">IFERROR(__xludf.dummyfunction("IF(I793="""", """", REGEXEXTRACT(I793, ""Padrao/([^/]+)""))"),"Quintino Facci II")</f>
        <v>Quintino Facci II</v>
      </c>
    </row>
    <row r="786" customFormat="false" ht="15.75" hidden="false" customHeight="false" outlineLevel="0" collapsed="false">
      <c r="A786" s="2" t="n">
        <v>205442</v>
      </c>
      <c r="B786" s="2" t="s">
        <v>694</v>
      </c>
      <c r="C786" s="2" t="n">
        <v>2</v>
      </c>
      <c r="D786" s="2" t="n">
        <v>1</v>
      </c>
      <c r="E786" s="2" t="n">
        <v>1</v>
      </c>
      <c r="F786" s="2" t="n">
        <v>39</v>
      </c>
      <c r="G786" s="2" t="s">
        <v>425</v>
      </c>
      <c r="H786" s="2" t="str">
        <f aca="false">IFERROR(__xludf.dummyfunction("IF(I794="""", """", REGEXEXTRACT(I794, ""Padrao/([^/]+)""))"),"Residencial das Americas")</f>
        <v>Residencial das Americas</v>
      </c>
    </row>
    <row r="787" customFormat="false" ht="15.75" hidden="false" customHeight="false" outlineLevel="0" collapsed="false">
      <c r="A787" s="2" t="n">
        <v>200360</v>
      </c>
      <c r="B787" s="2" t="s">
        <v>710</v>
      </c>
      <c r="C787" s="2" t="n">
        <v>2</v>
      </c>
      <c r="D787" s="2" t="n">
        <v>1</v>
      </c>
      <c r="E787" s="2" t="n">
        <v>1</v>
      </c>
      <c r="F787" s="2" t="n">
        <v>42</v>
      </c>
      <c r="G787" s="2" t="s">
        <v>425</v>
      </c>
      <c r="H787" s="2" t="str">
        <f aca="false">IFERROR(__xludf.dummyfunction("IF(I795="""", """", REGEXEXTRACT(I795, ""Padrao/([^/]+)""))"),"Jardim Joao Rossi")</f>
        <v>Jardim Joao Rossi</v>
      </c>
    </row>
    <row r="788" customFormat="false" ht="15.75" hidden="false" customHeight="false" outlineLevel="0" collapsed="false">
      <c r="A788" s="2" t="n">
        <v>199847</v>
      </c>
      <c r="B788" s="2" t="s">
        <v>845</v>
      </c>
      <c r="C788" s="2" t="n">
        <v>2</v>
      </c>
      <c r="D788" s="2" t="n">
        <v>1</v>
      </c>
      <c r="E788" s="2" t="n">
        <v>1</v>
      </c>
      <c r="F788" s="2" t="n">
        <v>47</v>
      </c>
      <c r="G788" s="2" t="s">
        <v>425</v>
      </c>
      <c r="H788" s="2" t="str">
        <f aca="false">IFERROR(__xludf.dummyfunction("IF(I796="""", """", REGEXEXTRACT(I796, ""Padrao/([^/]+)""))"),"Jardim Marchesi")</f>
        <v>Jardim Marchesi</v>
      </c>
    </row>
    <row r="789" customFormat="false" ht="15.75" hidden="false" customHeight="false" outlineLevel="0" collapsed="false">
      <c r="A789" s="2" t="n">
        <v>197807</v>
      </c>
      <c r="B789" s="2" t="s">
        <v>846</v>
      </c>
      <c r="C789" s="2" t="n">
        <v>1</v>
      </c>
      <c r="D789" s="2" t="n">
        <v>1</v>
      </c>
      <c r="E789" s="2" t="n">
        <v>1</v>
      </c>
      <c r="F789" s="2" t="n">
        <v>52</v>
      </c>
      <c r="G789" s="2" t="s">
        <v>425</v>
      </c>
      <c r="H789" s="2" t="str">
        <f aca="false">IFERROR(__xludf.dummyfunction("IF(I797="""", """", REGEXEXTRACT(I797, ""Padrao/([^/]+)""))"),"Sumarezinho")</f>
        <v>Sumarezinho</v>
      </c>
    </row>
    <row r="790" customFormat="false" ht="15.75" hidden="false" customHeight="false" outlineLevel="0" collapsed="false">
      <c r="A790" s="2" t="n">
        <v>193718</v>
      </c>
      <c r="B790" s="2" t="s">
        <v>162</v>
      </c>
      <c r="C790" s="2" t="n">
        <v>2</v>
      </c>
      <c r="D790" s="2" t="n">
        <v>1</v>
      </c>
      <c r="E790" s="2" t="n">
        <v>1</v>
      </c>
      <c r="F790" s="2" t="n">
        <v>42</v>
      </c>
      <c r="G790" s="2" t="s">
        <v>425</v>
      </c>
      <c r="H790" s="2" t="str">
        <f aca="false">IFERROR(__xludf.dummyfunction("IF(I798="""", """", REGEXEXTRACT(I798, ""Padrao/([^/]+)""))"),"Nova Alianca")</f>
        <v>Nova Alianca</v>
      </c>
    </row>
    <row r="791" customFormat="false" ht="15.75" hidden="false" customHeight="false" outlineLevel="0" collapsed="false">
      <c r="A791" s="2" t="n">
        <v>191246</v>
      </c>
      <c r="B791" s="2" t="s">
        <v>847</v>
      </c>
      <c r="C791" s="2" t="n">
        <v>1</v>
      </c>
      <c r="D791" s="2" t="n">
        <v>1</v>
      </c>
      <c r="E791" s="2" t="n">
        <v>1</v>
      </c>
      <c r="F791" s="2" t="n">
        <v>38</v>
      </c>
      <c r="G791" s="2" t="s">
        <v>425</v>
      </c>
      <c r="H791" s="2" t="str">
        <f aca="false">IFERROR(__xludf.dummyfunction("IF(I799="""", """", REGEXEXTRACT(I799, ""Padrao/([^/]+)""))"),"Jardim Paulista")</f>
        <v>Jardim Paulista</v>
      </c>
    </row>
    <row r="792" customFormat="false" ht="15.75" hidden="false" customHeight="false" outlineLevel="0" collapsed="false">
      <c r="A792" s="2" t="n">
        <v>184004</v>
      </c>
      <c r="B792" s="2" t="s">
        <v>848</v>
      </c>
      <c r="C792" s="2" t="n">
        <v>2</v>
      </c>
      <c r="D792" s="2" t="n">
        <v>1</v>
      </c>
      <c r="E792" s="2" t="n">
        <v>1</v>
      </c>
      <c r="F792" s="2" t="n">
        <v>42</v>
      </c>
      <c r="G792" s="2" t="s">
        <v>425</v>
      </c>
      <c r="H792" s="2" t="str">
        <f aca="false">IFERROR(__xludf.dummyfunction("IF(I800="""", """", REGEXEXTRACT(I800, ""Padrao/([^/]+)""))"),"Jardim Pedra Branca")</f>
        <v>Jardim Pedra Branca</v>
      </c>
    </row>
    <row r="793" customFormat="false" ht="15.75" hidden="false" customHeight="false" outlineLevel="0" collapsed="false">
      <c r="A793" s="2" t="n">
        <v>183449</v>
      </c>
      <c r="B793" s="2" t="s">
        <v>735</v>
      </c>
      <c r="C793" s="2" t="n">
        <v>2</v>
      </c>
      <c r="D793" s="2" t="n">
        <v>1</v>
      </c>
      <c r="E793" s="2" t="n">
        <v>1</v>
      </c>
      <c r="F793" s="2" t="n">
        <v>43</v>
      </c>
      <c r="G793" s="2" t="s">
        <v>425</v>
      </c>
      <c r="H793" s="2" t="str">
        <f aca="false">IFERROR(__xludf.dummyfunction("IF(I801="""", """", REGEXEXTRACT(I801, ""Padrao/([^/]+)""))"),"Valentina Figueiredo")</f>
        <v>Valentina Figueiredo</v>
      </c>
    </row>
    <row r="794" customFormat="false" ht="15.75" hidden="false" customHeight="false" outlineLevel="0" collapsed="false">
      <c r="A794" s="2" t="n">
        <v>183446</v>
      </c>
      <c r="B794" s="2" t="s">
        <v>735</v>
      </c>
      <c r="C794" s="2" t="n">
        <v>2</v>
      </c>
      <c r="D794" s="2" t="n">
        <v>1</v>
      </c>
      <c r="E794" s="2" t="n">
        <v>1</v>
      </c>
      <c r="F794" s="2" t="n">
        <v>43</v>
      </c>
      <c r="G794" s="2" t="s">
        <v>425</v>
      </c>
      <c r="H794" s="2" t="str">
        <f aca="false">IFERROR(__xludf.dummyfunction("IF(I802="""", """", REGEXEXTRACT(I802, ""Padrao/([^/]+)""))"),"Valentina Figueiredo")</f>
        <v>Valentina Figueiredo</v>
      </c>
    </row>
    <row r="795" customFormat="false" ht="15.75" hidden="false" customHeight="false" outlineLevel="0" collapsed="false">
      <c r="A795" s="2" t="n">
        <v>183443</v>
      </c>
      <c r="B795" s="2" t="s">
        <v>735</v>
      </c>
      <c r="C795" s="2" t="n">
        <v>2</v>
      </c>
      <c r="D795" s="2" t="n">
        <v>1</v>
      </c>
      <c r="E795" s="2" t="n">
        <v>1</v>
      </c>
      <c r="F795" s="2" t="n">
        <v>43</v>
      </c>
      <c r="G795" s="2" t="s">
        <v>425</v>
      </c>
      <c r="H795" s="2" t="str">
        <f aca="false">IFERROR(__xludf.dummyfunction("IF(I803="""", """", REGEXEXTRACT(I803, ""Padrao/([^/]+)""))"),"Valentina Figueiredo")</f>
        <v>Valentina Figueiredo</v>
      </c>
    </row>
    <row r="796" customFormat="false" ht="15.75" hidden="false" customHeight="false" outlineLevel="0" collapsed="false">
      <c r="A796" s="2" t="n">
        <v>183440</v>
      </c>
      <c r="B796" s="2" t="s">
        <v>735</v>
      </c>
      <c r="C796" s="2" t="n">
        <v>2</v>
      </c>
      <c r="D796" s="2" t="n">
        <v>1</v>
      </c>
      <c r="E796" s="2" t="n">
        <v>1</v>
      </c>
      <c r="F796" s="2" t="n">
        <v>43</v>
      </c>
      <c r="G796" s="2" t="s">
        <v>425</v>
      </c>
      <c r="H796" s="2" t="str">
        <f aca="false">IFERROR(__xludf.dummyfunction("IF(I804="""", """", REGEXEXTRACT(I804, ""Padrao/([^/]+)""))"),"Valentina Figueiredo")</f>
        <v>Valentina Figueiredo</v>
      </c>
    </row>
    <row r="797" customFormat="false" ht="15.75" hidden="false" customHeight="false" outlineLevel="0" collapsed="false">
      <c r="A797" s="2" t="n">
        <v>183437</v>
      </c>
      <c r="B797" s="2" t="s">
        <v>735</v>
      </c>
      <c r="C797" s="2" t="n">
        <v>2</v>
      </c>
      <c r="D797" s="2" t="n">
        <v>1</v>
      </c>
      <c r="E797" s="2" t="n">
        <v>1</v>
      </c>
      <c r="F797" s="2" t="n">
        <v>43</v>
      </c>
      <c r="G797" s="2" t="s">
        <v>425</v>
      </c>
      <c r="H797" s="2" t="str">
        <f aca="false">IFERROR(__xludf.dummyfunction("IF(I805="""", """", REGEXEXTRACT(I805, ""Padrao/([^/]+)""))"),"Valentina Figueiredo")</f>
        <v>Valentina Figueiredo</v>
      </c>
    </row>
    <row r="798" customFormat="false" ht="15.75" hidden="false" customHeight="false" outlineLevel="0" collapsed="false">
      <c r="A798" s="2" t="n">
        <v>183428</v>
      </c>
      <c r="B798" s="2" t="s">
        <v>735</v>
      </c>
      <c r="C798" s="2" t="n">
        <v>2</v>
      </c>
      <c r="D798" s="2" t="n">
        <v>1</v>
      </c>
      <c r="E798" s="2" t="n">
        <v>1</v>
      </c>
      <c r="F798" s="2" t="n">
        <v>43</v>
      </c>
      <c r="G798" s="2" t="s">
        <v>425</v>
      </c>
      <c r="H798" s="2" t="str">
        <f aca="false">IFERROR(__xludf.dummyfunction("IF(I806="""", """", REGEXEXTRACT(I806, ""Padrao/([^/]+)""))"),"Valentina Figueiredo")</f>
        <v>Valentina Figueiredo</v>
      </c>
    </row>
    <row r="799" customFormat="false" ht="15.75" hidden="false" customHeight="false" outlineLevel="0" collapsed="false">
      <c r="A799" s="2" t="n">
        <v>183425</v>
      </c>
      <c r="B799" s="2" t="s">
        <v>735</v>
      </c>
      <c r="C799" s="2" t="n">
        <v>2</v>
      </c>
      <c r="D799" s="2" t="n">
        <v>1</v>
      </c>
      <c r="E799" s="2" t="n">
        <v>1</v>
      </c>
      <c r="F799" s="2" t="n">
        <v>43</v>
      </c>
      <c r="G799" s="2" t="s">
        <v>425</v>
      </c>
      <c r="H799" s="2" t="str">
        <f aca="false">IFERROR(__xludf.dummyfunction("IF(I807="""", """", REGEXEXTRACT(I807, ""Padrao/([^/]+)""))"),"Valentina Figueiredo")</f>
        <v>Valentina Figueiredo</v>
      </c>
    </row>
    <row r="800" customFormat="false" ht="15.75" hidden="false" customHeight="false" outlineLevel="0" collapsed="false">
      <c r="A800" s="2" t="n">
        <v>183401</v>
      </c>
      <c r="B800" s="2" t="s">
        <v>849</v>
      </c>
      <c r="C800" s="2" t="n">
        <v>2</v>
      </c>
      <c r="D800" s="2" t="n">
        <v>1</v>
      </c>
      <c r="E800" s="2" t="n">
        <v>1</v>
      </c>
      <c r="F800" s="2" t="n">
        <v>42</v>
      </c>
      <c r="G800" s="2" t="s">
        <v>425</v>
      </c>
      <c r="H800" s="2" t="str">
        <f aca="false">IFERROR(__xludf.dummyfunction("IF(I808="""", """", REGEXEXTRACT(I808, ""Padrao/([^/]+)""))"),"Campos Eliseos")</f>
        <v>Campos Eliseos</v>
      </c>
    </row>
    <row r="801" customFormat="false" ht="15.75" hidden="false" customHeight="false" outlineLevel="0" collapsed="false">
      <c r="A801" s="2" t="n">
        <v>181778</v>
      </c>
      <c r="B801" s="2" t="s">
        <v>850</v>
      </c>
      <c r="C801" s="2" t="n">
        <v>2</v>
      </c>
      <c r="D801" s="2" t="n">
        <v>1</v>
      </c>
      <c r="E801" s="2" t="n">
        <v>1</v>
      </c>
      <c r="F801" s="2" t="n">
        <v>42</v>
      </c>
      <c r="G801" s="2" t="s">
        <v>425</v>
      </c>
      <c r="H801" s="2" t="str">
        <f aca="false">IFERROR(__xludf.dummyfunction("IF(I809="""", """", REGEXEXTRACT(I809, ""Padrao/([^/]+)""))"),"Jardim Vilico Cantarelli")</f>
        <v>Jardim Vilico Cantarelli</v>
      </c>
    </row>
    <row r="802" customFormat="false" ht="15.75" hidden="false" customHeight="false" outlineLevel="0" collapsed="false">
      <c r="A802" s="2" t="n">
        <v>180932</v>
      </c>
      <c r="B802" s="2" t="s">
        <v>851</v>
      </c>
      <c r="C802" s="2" t="n">
        <v>2</v>
      </c>
      <c r="D802" s="2" t="n">
        <v>1</v>
      </c>
      <c r="E802" s="2" t="n">
        <v>1</v>
      </c>
      <c r="F802" s="2" t="n">
        <v>49</v>
      </c>
      <c r="G802" s="2" t="s">
        <v>425</v>
      </c>
      <c r="H802" s="2" t="str">
        <f aca="false">IFERROR(__xludf.dummyfunction("IF(I810="""", """", REGEXEXTRACT(I810, ""Padrao/([^/]+)""))"),"Ipiranga")</f>
        <v>Ipiranga</v>
      </c>
    </row>
    <row r="803" customFormat="false" ht="15.75" hidden="false" customHeight="false" outlineLevel="0" collapsed="false">
      <c r="A803" s="2" t="n">
        <v>180053</v>
      </c>
      <c r="B803" s="2" t="s">
        <v>706</v>
      </c>
      <c r="C803" s="2" t="n">
        <v>2</v>
      </c>
      <c r="D803" s="2" t="n">
        <v>1</v>
      </c>
      <c r="E803" s="2" t="n">
        <v>1</v>
      </c>
      <c r="F803" s="2" t="n">
        <v>55</v>
      </c>
      <c r="G803" s="2" t="s">
        <v>425</v>
      </c>
      <c r="H803" s="2" t="str">
        <f aca="false">IFERROR(__xludf.dummyfunction("IF(I811="""", """", REGEXEXTRACT(I811, ""Padrao/([^/]+)""))"),"Vila Virginia")</f>
        <v>Vila Virginia</v>
      </c>
    </row>
    <row r="804" customFormat="false" ht="15.75" hidden="false" customHeight="false" outlineLevel="0" collapsed="false">
      <c r="A804" s="2" t="n">
        <v>176894</v>
      </c>
      <c r="B804" s="2" t="s">
        <v>852</v>
      </c>
      <c r="C804" s="2" t="n">
        <v>2</v>
      </c>
      <c r="D804" s="2" t="n">
        <v>1</v>
      </c>
      <c r="E804" s="2" t="n">
        <v>1</v>
      </c>
      <c r="F804" s="2" t="n">
        <v>43</v>
      </c>
      <c r="G804" s="2" t="s">
        <v>425</v>
      </c>
      <c r="H804" s="2" t="str">
        <f aca="false">IFERROR(__xludf.dummyfunction("IF(I812="""", """", REGEXEXTRACT(I812, ""Padrao/([^/]+)""))"),"Jardim Diva Tarla de Carvalho")</f>
        <v>Jardim Diva Tarla de Carvalho</v>
      </c>
    </row>
    <row r="805" customFormat="false" ht="15.75" hidden="false" customHeight="false" outlineLevel="0" collapsed="false">
      <c r="A805" s="2" t="n">
        <v>176057</v>
      </c>
      <c r="B805" s="2" t="s">
        <v>853</v>
      </c>
      <c r="C805" s="2" t="n">
        <v>2</v>
      </c>
      <c r="D805" s="2" t="n">
        <v>1</v>
      </c>
      <c r="E805" s="2" t="n">
        <v>1</v>
      </c>
      <c r="F805" s="2" t="n">
        <v>43</v>
      </c>
      <c r="G805" s="2" t="s">
        <v>425</v>
      </c>
      <c r="H805" s="2" t="str">
        <f aca="false">IFERROR(__xludf.dummyfunction("IF(I813="""", """", REGEXEXTRACT(I813, ""Padrao/([^/]+)""))"),"Jardim das Palmeiras")</f>
        <v>Jardim das Palmeiras</v>
      </c>
    </row>
    <row r="806" customFormat="false" ht="15.75" hidden="false" customHeight="false" outlineLevel="0" collapsed="false">
      <c r="A806" s="2" t="n">
        <v>174878</v>
      </c>
      <c r="B806" s="2" t="s">
        <v>852</v>
      </c>
      <c r="C806" s="2" t="n">
        <v>2</v>
      </c>
      <c r="D806" s="2" t="n">
        <v>1</v>
      </c>
      <c r="E806" s="2" t="n">
        <v>1</v>
      </c>
      <c r="F806" s="2" t="n">
        <v>43</v>
      </c>
      <c r="G806" s="2" t="s">
        <v>425</v>
      </c>
      <c r="H806" s="2" t="str">
        <f aca="false">IFERROR(__xludf.dummyfunction("IF(I814="""", """", REGEXEXTRACT(I814, ""Padrao/([^/]+)""))"),"Jardim Diva Tarla de Carvalho")</f>
        <v>Jardim Diva Tarla de Carvalho</v>
      </c>
    </row>
    <row r="807" customFormat="false" ht="15.75" hidden="false" customHeight="false" outlineLevel="0" collapsed="false">
      <c r="A807" s="2" t="n">
        <v>171656</v>
      </c>
      <c r="B807" s="2" t="s">
        <v>386</v>
      </c>
      <c r="C807" s="2" t="n">
        <v>2</v>
      </c>
      <c r="D807" s="2" t="n">
        <v>1</v>
      </c>
      <c r="E807" s="2" t="n">
        <v>1</v>
      </c>
      <c r="F807" s="2" t="n">
        <v>48</v>
      </c>
      <c r="G807" s="2" t="s">
        <v>425</v>
      </c>
      <c r="H807" s="2" t="str">
        <f aca="false">IFERROR(__xludf.dummyfunction("IF(I815="""", """", REGEXEXTRACT(I815, ""Padrao/([^/]+)""))"),"Quintino Facci II")</f>
        <v>Quintino Facci II</v>
      </c>
    </row>
    <row r="808" customFormat="false" ht="15.75" hidden="false" customHeight="false" outlineLevel="0" collapsed="false">
      <c r="A808" s="2" t="n">
        <v>168422</v>
      </c>
      <c r="B808" s="2" t="s">
        <v>854</v>
      </c>
      <c r="C808" s="2" t="n">
        <v>2</v>
      </c>
      <c r="D808" s="2" t="n">
        <v>1</v>
      </c>
      <c r="E808" s="2" t="n">
        <v>1</v>
      </c>
      <c r="F808" s="2" t="n">
        <v>48</v>
      </c>
      <c r="G808" s="2" t="s">
        <v>425</v>
      </c>
      <c r="H808" s="2" t="str">
        <f aca="false">IFERROR(__xludf.dummyfunction("IF(I816="""", """", REGEXEXTRACT(I816, ""Padrao/([^/]+)""))"),"Jardim Zara")</f>
        <v>Jardim Zara</v>
      </c>
    </row>
    <row r="809" customFormat="false" ht="15.75" hidden="false" customHeight="false" outlineLevel="0" collapsed="false">
      <c r="A809" s="2" t="n">
        <v>167933</v>
      </c>
      <c r="B809" s="2" t="s">
        <v>384</v>
      </c>
      <c r="C809" s="2" t="n">
        <v>2</v>
      </c>
      <c r="D809" s="2" t="n">
        <v>1</v>
      </c>
      <c r="E809" s="2" t="n">
        <v>1</v>
      </c>
      <c r="F809" s="2" t="n">
        <v>50</v>
      </c>
      <c r="G809" s="2" t="s">
        <v>425</v>
      </c>
      <c r="H809" s="2" t="str">
        <f aca="false">IFERROR(__xludf.dummyfunction("IF(I817="""", """", REGEXEXTRACT(I817, ""Padrao/([^/]+)""))"),"Residencial das Americas")</f>
        <v>Residencial das Americas</v>
      </c>
    </row>
    <row r="810" customFormat="false" ht="15.75" hidden="false" customHeight="false" outlineLevel="0" collapsed="false">
      <c r="A810" s="2" t="n">
        <v>166100</v>
      </c>
      <c r="B810" s="2" t="s">
        <v>855</v>
      </c>
      <c r="C810" s="2" t="n">
        <v>2</v>
      </c>
      <c r="D810" s="2" t="n">
        <v>1</v>
      </c>
      <c r="E810" s="2" t="n">
        <v>1</v>
      </c>
      <c r="F810" s="2" t="n">
        <v>43</v>
      </c>
      <c r="G810" s="2" t="s">
        <v>425</v>
      </c>
      <c r="H810" s="2" t="str">
        <f aca="false">IFERROR(__xludf.dummyfunction("IF(I818="""", """", REGEXEXTRACT(I818, ""Padrao/([^/]+)""))"),"Quintino Facci II")</f>
        <v>Quintino Facci II</v>
      </c>
    </row>
    <row r="811" customFormat="false" ht="15.75" hidden="false" customHeight="false" outlineLevel="0" collapsed="false">
      <c r="A811" s="2" t="n">
        <v>165971</v>
      </c>
      <c r="B811" s="2" t="s">
        <v>856</v>
      </c>
      <c r="C811" s="2" t="n">
        <v>1</v>
      </c>
      <c r="D811" s="2" t="n">
        <v>1</v>
      </c>
      <c r="E811" s="2" t="n">
        <v>1</v>
      </c>
      <c r="F811" s="2" t="n">
        <v>34</v>
      </c>
      <c r="G811" s="2" t="s">
        <v>425</v>
      </c>
      <c r="H811" s="2" t="str">
        <f aca="false">IFERROR(__xludf.dummyfunction("IF(I819="""", """", REGEXEXTRACT(I819, ""Padrao/([^/]+)""))"),"Centro")</f>
        <v>Centro</v>
      </c>
    </row>
    <row r="812" customFormat="false" ht="15.75" hidden="false" customHeight="false" outlineLevel="0" collapsed="false">
      <c r="A812" s="2" t="n">
        <v>159743</v>
      </c>
      <c r="B812" s="2" t="s">
        <v>857</v>
      </c>
      <c r="C812" s="2" t="n">
        <v>2</v>
      </c>
      <c r="D812" s="2" t="n">
        <v>1</v>
      </c>
      <c r="E812" s="2" t="n">
        <v>1</v>
      </c>
      <c r="F812" s="2" t="n">
        <v>43</v>
      </c>
      <c r="G812" s="2" t="s">
        <v>425</v>
      </c>
      <c r="H812" s="2" t="str">
        <f aca="false">IFERROR(__xludf.dummyfunction("IF(I820="""", """", REGEXEXTRACT(I820, ""Padrao/([^/]+)""))"),"Vila Albertina")</f>
        <v>Vila Albertina</v>
      </c>
    </row>
    <row r="813" customFormat="false" ht="15.75" hidden="false" customHeight="false" outlineLevel="0" collapsed="false">
      <c r="A813" s="2" t="n">
        <v>159731</v>
      </c>
      <c r="B813" s="2" t="s">
        <v>858</v>
      </c>
      <c r="C813" s="2" t="n">
        <v>2</v>
      </c>
      <c r="D813" s="2" t="n">
        <v>1</v>
      </c>
      <c r="E813" s="2" t="n">
        <v>1</v>
      </c>
      <c r="F813" s="2" t="n">
        <v>46</v>
      </c>
      <c r="G813" s="2" t="s">
        <v>425</v>
      </c>
      <c r="H813" s="2" t="str">
        <f aca="false">IFERROR(__xludf.dummyfunction("IF(I821="""", """", REGEXEXTRACT(I821, ""Padrao/([^/]+)""))"),"Jardim Heitor Rigon")</f>
        <v>Jardim Heitor Rigon</v>
      </c>
    </row>
    <row r="814" customFormat="false" ht="15.75" hidden="false" customHeight="false" outlineLevel="0" collapsed="false">
      <c r="A814" s="2" t="n">
        <v>158540</v>
      </c>
      <c r="B814" s="2" t="s">
        <v>859</v>
      </c>
      <c r="C814" s="2" t="n">
        <v>2</v>
      </c>
      <c r="D814" s="2" t="n">
        <v>1</v>
      </c>
      <c r="E814" s="2" t="n">
        <v>1</v>
      </c>
      <c r="F814" s="2" t="n">
        <v>50</v>
      </c>
      <c r="G814" s="2" t="s">
        <v>425</v>
      </c>
      <c r="H814" s="2" t="str">
        <f aca="false">IFERROR(__xludf.dummyfunction("IF(I822="""", """", REGEXEXTRACT(I822, ""Padrao/([^/]+)""))"),"Jardim Jose Wilson Toni")</f>
        <v>Jardim Jose Wilson Toni</v>
      </c>
    </row>
    <row r="815" customFormat="false" ht="15.75" hidden="false" customHeight="false" outlineLevel="0" collapsed="false">
      <c r="A815" s="2" t="n">
        <v>150566</v>
      </c>
      <c r="B815" s="2" t="s">
        <v>860</v>
      </c>
      <c r="C815" s="2" t="n">
        <v>2</v>
      </c>
      <c r="D815" s="2" t="n">
        <v>1</v>
      </c>
      <c r="E815" s="2" t="n">
        <v>1</v>
      </c>
      <c r="F815" s="2" t="n">
        <v>42</v>
      </c>
      <c r="G815" s="2" t="s">
        <v>425</v>
      </c>
      <c r="H815" s="2" t="str">
        <f aca="false">IFERROR(__xludf.dummyfunction("IF(I823="""", """", REGEXEXTRACT(I823, ""Padrao/([^/]+)""))"),"Jardim Zara")</f>
        <v>Jardim Zara</v>
      </c>
    </row>
    <row r="816" customFormat="false" ht="15.75" hidden="false" customHeight="false" outlineLevel="0" collapsed="false">
      <c r="A816" s="2" t="n">
        <v>148055</v>
      </c>
      <c r="B816" s="2" t="s">
        <v>861</v>
      </c>
      <c r="C816" s="2" t="n">
        <v>1</v>
      </c>
      <c r="D816" s="2" t="n">
        <v>1</v>
      </c>
      <c r="E816" s="2" t="n">
        <v>1</v>
      </c>
      <c r="F816" s="2" t="n">
        <v>39</v>
      </c>
      <c r="G816" s="2" t="s">
        <v>425</v>
      </c>
      <c r="H816" s="2" t="str">
        <f aca="false">IFERROR(__xludf.dummyfunction("IF(I824="""", """", REGEXEXTRACT(I824, ""Padrao/([^/]+)""))"),"Centro")</f>
        <v>Centro</v>
      </c>
    </row>
    <row r="817" customFormat="false" ht="15.75" hidden="false" customHeight="false" outlineLevel="0" collapsed="false">
      <c r="A817" s="2" t="n">
        <v>144995</v>
      </c>
      <c r="B817" s="2" t="s">
        <v>862</v>
      </c>
      <c r="C817" s="2" t="n">
        <v>2</v>
      </c>
      <c r="D817" s="2" t="n">
        <v>1</v>
      </c>
      <c r="E817" s="2" t="n">
        <v>1</v>
      </c>
      <c r="F817" s="2" t="n">
        <v>43</v>
      </c>
      <c r="G817" s="2" t="s">
        <v>425</v>
      </c>
      <c r="H817" s="2" t="str">
        <f aca="false">IFERROR(__xludf.dummyfunction("IF(I825="""", """", REGEXEXTRACT(I825, ""Padrao/([^/]+)""))"),"Jardim Diva Tarla de Carvalho")</f>
        <v>Jardim Diva Tarla de Carvalho</v>
      </c>
    </row>
    <row r="818" customFormat="false" ht="15.75" hidden="false" customHeight="false" outlineLevel="0" collapsed="false">
      <c r="A818" s="2" t="n">
        <v>144647</v>
      </c>
      <c r="B818" s="2" t="s">
        <v>863</v>
      </c>
      <c r="C818" s="2" t="n">
        <v>2</v>
      </c>
      <c r="D818" s="2" t="n">
        <v>1</v>
      </c>
      <c r="E818" s="2" t="n">
        <v>1</v>
      </c>
      <c r="F818" s="2" t="n">
        <v>42</v>
      </c>
      <c r="G818" s="2" t="s">
        <v>425</v>
      </c>
      <c r="H818" s="2" t="str">
        <f aca="false">IFERROR(__xludf.dummyfunction("IF(I826="""", """", REGEXEXTRACT(I826, ""Padrao/([^/]+)""))"),"Jardim Florestan Fernandes")</f>
        <v>Jardim Florestan Fernandes</v>
      </c>
    </row>
    <row r="819" customFormat="false" ht="15.75" hidden="false" customHeight="false" outlineLevel="0" collapsed="false">
      <c r="A819" s="2" t="n">
        <v>141452</v>
      </c>
      <c r="B819" s="2" t="s">
        <v>864</v>
      </c>
      <c r="C819" s="2" t="n">
        <v>1</v>
      </c>
      <c r="D819" s="2" t="n">
        <v>1</v>
      </c>
      <c r="E819" s="2" t="n">
        <v>1</v>
      </c>
      <c r="F819" s="2" t="n">
        <v>45</v>
      </c>
      <c r="G819" s="2" t="s">
        <v>425</v>
      </c>
      <c r="H819" s="2" t="str">
        <f aca="false">IFERROR(__xludf.dummyfunction("IF(I827="""", """", REGEXEXTRACT(I827, ""Padrao/([^/]+)""))"),"Vila Monte Alegre")</f>
        <v>Vila Monte Alegre</v>
      </c>
    </row>
    <row r="820" customFormat="false" ht="15.75" hidden="false" customHeight="false" outlineLevel="0" collapsed="false">
      <c r="A820" s="2" t="n">
        <v>136562</v>
      </c>
      <c r="B820" s="2" t="s">
        <v>602</v>
      </c>
      <c r="C820" s="2" t="n">
        <v>1</v>
      </c>
      <c r="D820" s="2" t="n">
        <v>1</v>
      </c>
      <c r="E820" s="2" t="n">
        <v>1</v>
      </c>
      <c r="F820" s="2" t="n">
        <v>47</v>
      </c>
      <c r="G820" s="2" t="s">
        <v>425</v>
      </c>
      <c r="H820" s="2" t="str">
        <f aca="false">IFERROR(__xludf.dummyfunction("IF(I828="""", """", REGEXEXTRACT(I828, ""Padrao/([^/]+)""))"),"Centro")</f>
        <v>Centro</v>
      </c>
    </row>
    <row r="821" customFormat="false" ht="15.75" hidden="false" customHeight="false" outlineLevel="0" collapsed="false">
      <c r="A821" s="2" t="n">
        <v>133106</v>
      </c>
      <c r="B821" s="2" t="s">
        <v>865</v>
      </c>
      <c r="C821" s="2" t="n">
        <v>2</v>
      </c>
      <c r="D821" s="2" t="n">
        <v>1</v>
      </c>
      <c r="E821" s="2" t="n">
        <v>1</v>
      </c>
      <c r="F821" s="2" t="n">
        <v>63</v>
      </c>
      <c r="G821" s="2" t="s">
        <v>425</v>
      </c>
      <c r="H821" s="2" t="str">
        <f aca="false">IFERROR(__xludf.dummyfunction("IF(I829="""", """", REGEXEXTRACT(I829, ""Padrao/([^/]+)""))"),"Jardim Florestan Fernandes")</f>
        <v>Jardim Florestan Fernandes</v>
      </c>
    </row>
    <row r="822" customFormat="false" ht="15.75" hidden="false" customHeight="false" outlineLevel="0" collapsed="false">
      <c r="A822" s="2" t="n">
        <v>130736</v>
      </c>
      <c r="B822" s="2" t="s">
        <v>162</v>
      </c>
      <c r="C822" s="2" t="n">
        <v>2</v>
      </c>
      <c r="D822" s="2" t="n">
        <v>1</v>
      </c>
      <c r="E822" s="2" t="n">
        <v>1</v>
      </c>
      <c r="F822" s="2" t="n">
        <v>42</v>
      </c>
      <c r="G822" s="2" t="s">
        <v>425</v>
      </c>
      <c r="H822" s="2" t="str">
        <f aca="false">IFERROR(__xludf.dummyfunction("IF(I830="""", """", REGEXEXTRACT(I830, ""Padrao/([^/]+)""))"),"Jardim Heitor Rigon")</f>
        <v>Jardim Heitor Rigon</v>
      </c>
    </row>
    <row r="823" customFormat="false" ht="15.75" hidden="false" customHeight="false" outlineLevel="0" collapsed="false">
      <c r="A823" s="2" t="n">
        <v>130199</v>
      </c>
      <c r="B823" s="2" t="s">
        <v>162</v>
      </c>
      <c r="C823" s="2" t="n">
        <v>2</v>
      </c>
      <c r="D823" s="2" t="n">
        <v>1</v>
      </c>
      <c r="E823" s="2" t="n">
        <v>1</v>
      </c>
      <c r="F823" s="2" t="n">
        <v>41</v>
      </c>
      <c r="G823" s="2" t="s">
        <v>425</v>
      </c>
      <c r="H823" s="2" t="str">
        <f aca="false">IFERROR(__xludf.dummyfunction("IF(I831="""", """", REGEXEXTRACT(I831, ""Padrao/([^/]+)""))"),"Conjunto Habitacional Silvio Passalacqua")</f>
        <v>Conjunto Habitacional Silvio Passalacqua</v>
      </c>
    </row>
    <row r="824" customFormat="false" ht="15.75" hidden="false" customHeight="false" outlineLevel="0" collapsed="false">
      <c r="A824" s="2" t="n">
        <v>125273</v>
      </c>
      <c r="B824" s="2" t="s">
        <v>162</v>
      </c>
      <c r="C824" s="2" t="n">
        <v>2</v>
      </c>
      <c r="D824" s="2" t="n">
        <v>1</v>
      </c>
      <c r="E824" s="2" t="n">
        <v>1</v>
      </c>
      <c r="F824" s="2" t="n">
        <v>48</v>
      </c>
      <c r="G824" s="2" t="s">
        <v>425</v>
      </c>
      <c r="H824" s="2" t="str">
        <f aca="false">IFERROR(__xludf.dummyfunction("IF(I832="""", """", REGEXEXTRACT(I832, ""Padrao/([^/]+)""))"),"Jardim Zara")</f>
        <v>Jardim Zara</v>
      </c>
    </row>
    <row r="825" customFormat="false" ht="15.75" hidden="false" customHeight="false" outlineLevel="0" collapsed="false">
      <c r="A825" s="2" t="n">
        <v>124259</v>
      </c>
      <c r="B825" s="2" t="s">
        <v>866</v>
      </c>
      <c r="C825" s="2" t="n">
        <v>1</v>
      </c>
      <c r="D825" s="2" t="n">
        <v>1</v>
      </c>
      <c r="E825" s="2" t="n">
        <v>1</v>
      </c>
      <c r="F825" s="2" t="n">
        <v>32</v>
      </c>
      <c r="G825" s="2" t="s">
        <v>425</v>
      </c>
      <c r="H825" s="2" t="str">
        <f aca="false">IFERROR(__xludf.dummyfunction("IF(I833="""", """", REGEXEXTRACT(I833, ""Padrao/([^/]+)""))"),"Vila Monte Alegre")</f>
        <v>Vila Monte Alegre</v>
      </c>
    </row>
    <row r="826" customFormat="false" ht="15.75" hidden="false" customHeight="false" outlineLevel="0" collapsed="false">
      <c r="A826" s="2" t="n">
        <v>119426</v>
      </c>
      <c r="B826" s="2" t="s">
        <v>363</v>
      </c>
      <c r="C826" s="2" t="n">
        <v>2</v>
      </c>
      <c r="D826" s="2" t="n">
        <v>1</v>
      </c>
      <c r="E826" s="2" t="n">
        <v>1</v>
      </c>
      <c r="F826" s="2" t="n">
        <v>43</v>
      </c>
      <c r="G826" s="2" t="s">
        <v>425</v>
      </c>
      <c r="H826" s="2" t="str">
        <f aca="false">IFERROR(__xludf.dummyfunction("IF(I834="""", """", REGEXEXTRACT(I834, ""Padrao/([^/]+)""))"),"Residencial das Americas")</f>
        <v>Residencial das Americas</v>
      </c>
    </row>
    <row r="827" customFormat="false" ht="15.75" hidden="false" customHeight="false" outlineLevel="0" collapsed="false">
      <c r="A827" s="2" t="n">
        <v>116726</v>
      </c>
      <c r="B827" s="2" t="s">
        <v>867</v>
      </c>
      <c r="C827" s="2" t="n">
        <v>2</v>
      </c>
      <c r="D827" s="2" t="n">
        <v>1</v>
      </c>
      <c r="E827" s="2" t="n">
        <v>1</v>
      </c>
      <c r="F827" s="2" t="n">
        <v>44</v>
      </c>
      <c r="G827" s="2" t="s">
        <v>425</v>
      </c>
      <c r="H827" s="2" t="str">
        <f aca="false">IFERROR(__xludf.dummyfunction("IF(I835="""", """", REGEXEXTRACT(I835, ""Padrao/([^/]+)""))"),"Jardim Itau")</f>
        <v>Jardim Itau</v>
      </c>
    </row>
    <row r="828" customFormat="false" ht="15.75" hidden="false" customHeight="false" outlineLevel="0" collapsed="false">
      <c r="A828" s="2" t="n">
        <v>116171</v>
      </c>
      <c r="B828" s="2" t="s">
        <v>848</v>
      </c>
      <c r="C828" s="2" t="n">
        <v>2</v>
      </c>
      <c r="D828" s="2" t="n">
        <v>1</v>
      </c>
      <c r="E828" s="2" t="n">
        <v>1</v>
      </c>
      <c r="F828" s="2" t="n">
        <v>60</v>
      </c>
      <c r="G828" s="2" t="s">
        <v>425</v>
      </c>
      <c r="H828" s="2" t="str">
        <f aca="false">IFERROR(__xludf.dummyfunction("IF(I836="""", """", REGEXEXTRACT(I836, ""Padrao/([^/]+)""))"),"Ribeirao Verde")</f>
        <v>Ribeirao Verde</v>
      </c>
    </row>
    <row r="829" customFormat="false" ht="15.75" hidden="false" customHeight="false" outlineLevel="0" collapsed="false">
      <c r="A829" s="2" t="n">
        <v>115361</v>
      </c>
      <c r="B829" s="2" t="s">
        <v>868</v>
      </c>
      <c r="C829" s="2" t="n">
        <v>2</v>
      </c>
      <c r="D829" s="2" t="n">
        <v>1</v>
      </c>
      <c r="E829" s="2" t="n">
        <v>1</v>
      </c>
      <c r="F829" s="2" t="n">
        <v>42</v>
      </c>
      <c r="G829" s="2" t="s">
        <v>425</v>
      </c>
      <c r="H829" s="2" t="str">
        <f aca="false">IFERROR(__xludf.dummyfunction("IF(I837="""", """", REGEXEXTRACT(I837, ""Padrao/([^/]+)""))"),"Vila Virginia")</f>
        <v>Vila Virginia</v>
      </c>
    </row>
    <row r="830" customFormat="false" ht="15.75" hidden="false" customHeight="false" outlineLevel="0" collapsed="false">
      <c r="A830" s="2" t="n">
        <v>113390</v>
      </c>
      <c r="B830" s="2" t="s">
        <v>162</v>
      </c>
      <c r="C830" s="2" t="n">
        <v>2</v>
      </c>
      <c r="D830" s="2" t="n">
        <v>1</v>
      </c>
      <c r="E830" s="2" t="n">
        <v>1</v>
      </c>
      <c r="F830" s="2" t="n">
        <v>42</v>
      </c>
      <c r="G830" s="2" t="s">
        <v>425</v>
      </c>
      <c r="H830" s="2" t="str">
        <f aca="false">IFERROR(__xludf.dummyfunction("IF(I838="""", """", REGEXEXTRACT(I838, ""Padrao/([^/]+)""))"),"Ribeirao Verde")</f>
        <v>Ribeirao Verde</v>
      </c>
    </row>
    <row r="831" customFormat="false" ht="15.75" hidden="false" customHeight="false" outlineLevel="0" collapsed="false">
      <c r="A831" s="2" t="n">
        <v>104753</v>
      </c>
      <c r="B831" s="2" t="s">
        <v>869</v>
      </c>
      <c r="C831" s="2" t="n">
        <v>1</v>
      </c>
      <c r="D831" s="2" t="n">
        <v>1</v>
      </c>
      <c r="E831" s="2" t="n">
        <v>1</v>
      </c>
      <c r="F831" s="2" t="n">
        <v>32</v>
      </c>
      <c r="G831" s="2" t="s">
        <v>425</v>
      </c>
      <c r="H831" s="2" t="str">
        <f aca="false">IFERROR(__xludf.dummyfunction("IF(I839="""", """", REGEXEXTRACT(I839, ""Padrao/([^/]+)""))"),"Campos Eliseos")</f>
        <v>Campos Eliseos</v>
      </c>
    </row>
    <row r="832" customFormat="false" ht="15.75" hidden="false" customHeight="false" outlineLevel="0" collapsed="false">
      <c r="A832" s="2" t="n">
        <v>89138</v>
      </c>
      <c r="B832" s="2" t="s">
        <v>870</v>
      </c>
      <c r="C832" s="2" t="n">
        <v>2</v>
      </c>
      <c r="D832" s="2" t="n">
        <v>1</v>
      </c>
      <c r="E832" s="2" t="n">
        <v>1</v>
      </c>
      <c r="F832" s="2" t="n">
        <v>48</v>
      </c>
      <c r="G832" s="2" t="s">
        <v>425</v>
      </c>
      <c r="H832" s="2" t="str">
        <f aca="false">IFERROR(__xludf.dummyfunction("IF(I840="""", """", REGEXEXTRACT(I840, ""Padrao/([^/]+)""))"),"Quintino Facci II")</f>
        <v>Quintino Facci II</v>
      </c>
    </row>
    <row r="833" customFormat="false" ht="15.75" hidden="false" customHeight="false" outlineLevel="0" collapsed="false">
      <c r="A833" s="2" t="n">
        <v>87446</v>
      </c>
      <c r="B833" s="2" t="s">
        <v>162</v>
      </c>
      <c r="C833" s="2" t="n">
        <v>2</v>
      </c>
      <c r="D833" s="2" t="n">
        <v>1</v>
      </c>
      <c r="E833" s="2" t="n">
        <v>1</v>
      </c>
      <c r="F833" s="2" t="n">
        <v>50</v>
      </c>
      <c r="G833" s="2" t="s">
        <v>425</v>
      </c>
      <c r="H833" s="2" t="str">
        <f aca="false">IFERROR(__xludf.dummyfunction("IF(I841="""", """", REGEXEXTRACT(I841, ""Padrao/([^/]+)""))"),"Vila Virginia")</f>
        <v>Vila Virginia</v>
      </c>
    </row>
    <row r="834" customFormat="false" ht="15.75" hidden="false" customHeight="false" outlineLevel="0" collapsed="false">
      <c r="A834" s="2" t="n">
        <v>43100</v>
      </c>
      <c r="B834" s="2" t="s">
        <v>871</v>
      </c>
      <c r="C834" s="2" t="n">
        <v>1</v>
      </c>
      <c r="D834" s="2" t="n">
        <v>1</v>
      </c>
      <c r="E834" s="2" t="n">
        <v>1</v>
      </c>
      <c r="F834" s="2" t="n">
        <v>45</v>
      </c>
      <c r="G834" s="2" t="s">
        <v>425</v>
      </c>
      <c r="H834" s="2" t="str">
        <f aca="false">IFERROR(__xludf.dummyfunction("IF(I843="""", """", REGEXEXTRACT(I843, ""Padrao/([^/]+)""))"),"Centro")</f>
        <v>Centro</v>
      </c>
    </row>
    <row r="835" customFormat="false" ht="15.75" hidden="false" customHeight="false" outlineLevel="0" collapsed="false">
      <c r="A835" s="2" t="n">
        <v>224927</v>
      </c>
      <c r="B835" s="2" t="s">
        <v>729</v>
      </c>
      <c r="C835" s="2" t="n">
        <v>2</v>
      </c>
      <c r="D835" s="2" t="n">
        <v>1</v>
      </c>
      <c r="E835" s="2" t="n">
        <v>1</v>
      </c>
      <c r="F835" s="2" t="n">
        <v>41</v>
      </c>
      <c r="G835" s="2" t="s">
        <v>425</v>
      </c>
      <c r="H835" s="2" t="str">
        <f aca="false">IFERROR(__xludf.dummyfunction("IF(I844="""", """", REGEXEXTRACT(I844, ""Padrao/([^/]+)""))"),"Ipiranga")</f>
        <v>Ipiranga</v>
      </c>
    </row>
    <row r="836" customFormat="false" ht="15.75" hidden="false" customHeight="false" outlineLevel="0" collapsed="false">
      <c r="A836" s="2" t="n">
        <v>142577</v>
      </c>
      <c r="B836" s="2" t="s">
        <v>872</v>
      </c>
      <c r="C836" s="2" t="n">
        <v>2</v>
      </c>
      <c r="D836" s="2" t="n">
        <v>1</v>
      </c>
      <c r="E836" s="2" t="n">
        <v>1</v>
      </c>
      <c r="F836" s="2" t="n">
        <v>42</v>
      </c>
      <c r="G836" s="2" t="s">
        <v>789</v>
      </c>
      <c r="H836" s="2" t="str">
        <f aca="false">IFERROR(__xludf.dummyfunction("IF(I846="""", """", REGEXEXTRACT(I846, ""Padrao/([^/]+)""))"),"Planalto Verde")</f>
        <v>Planalto Verde</v>
      </c>
    </row>
    <row r="837" customFormat="false" ht="15.75" hidden="false" customHeight="false" outlineLevel="0" collapsed="false">
      <c r="A837" s="2" t="n">
        <v>241478</v>
      </c>
      <c r="B837" s="2" t="s">
        <v>873</v>
      </c>
      <c r="C837" s="2" t="n">
        <v>2</v>
      </c>
      <c r="D837" s="2" t="n">
        <v>1</v>
      </c>
      <c r="E837" s="2" t="n">
        <v>1</v>
      </c>
      <c r="F837" s="2" t="n">
        <v>42</v>
      </c>
      <c r="G837" s="2" t="s">
        <v>874</v>
      </c>
      <c r="H837" s="2" t="str">
        <f aca="false">IFERROR(__xludf.dummyfunction("IF(I847="""", """", REGEXEXTRACT(I847, ""Padrao/([^/]+)""))"),"Campos Eliseos")</f>
        <v>Campos Eliseos</v>
      </c>
    </row>
    <row r="838" customFormat="false" ht="15.75" hidden="false" customHeight="false" outlineLevel="0" collapsed="false">
      <c r="A838" s="2" t="n">
        <v>179252</v>
      </c>
      <c r="B838" s="2" t="s">
        <v>875</v>
      </c>
      <c r="C838" s="2" t="n">
        <v>2</v>
      </c>
      <c r="D838" s="2" t="n">
        <v>1</v>
      </c>
      <c r="E838" s="2" t="n">
        <v>1</v>
      </c>
      <c r="F838" s="2" t="n">
        <v>46</v>
      </c>
      <c r="G838" s="2" t="s">
        <v>874</v>
      </c>
      <c r="H838" s="2" t="str">
        <f aca="false">IFERROR(__xludf.dummyfunction("IF(I848="""", """", REGEXEXTRACT(I848, ""Padrao/([^/]+)""))"),"Vila Abranches")</f>
        <v>Vila Abranches</v>
      </c>
    </row>
    <row r="839" customFormat="false" ht="15.75" hidden="false" customHeight="false" outlineLevel="0" collapsed="false">
      <c r="A839" s="2" t="n">
        <v>139337</v>
      </c>
      <c r="B839" s="2" t="s">
        <v>876</v>
      </c>
      <c r="C839" s="2" t="n">
        <v>2</v>
      </c>
      <c r="D839" s="2" t="n">
        <v>1</v>
      </c>
      <c r="E839" s="2" t="n">
        <v>1</v>
      </c>
      <c r="F839" s="2" t="n">
        <v>41</v>
      </c>
      <c r="G839" s="2" t="s">
        <v>874</v>
      </c>
      <c r="H839" s="2" t="str">
        <f aca="false">IFERROR(__xludf.dummyfunction("IF(I849="""", """", REGEXEXTRACT(I849, ""Padrao/([^/]+)""))"),"Reserva Real")</f>
        <v>Reserva Real</v>
      </c>
    </row>
    <row r="840" customFormat="false" ht="15.75" hidden="false" customHeight="false" outlineLevel="0" collapsed="false">
      <c r="A840" s="2" t="n">
        <v>215147</v>
      </c>
      <c r="B840" s="2" t="s">
        <v>877</v>
      </c>
      <c r="C840" s="2" t="n">
        <v>2</v>
      </c>
      <c r="D840" s="2" t="n">
        <v>1</v>
      </c>
      <c r="E840" s="2" t="n">
        <v>1</v>
      </c>
      <c r="F840" s="2" t="n">
        <v>42</v>
      </c>
      <c r="G840" s="2" t="s">
        <v>878</v>
      </c>
      <c r="H840" s="2" t="str">
        <f aca="false">IFERROR(__xludf.dummyfunction("IF(I850="""", """", REGEXEXTRACT(I850, ""Padrao/([^/]+)""))"),"Valentina Figueiredo")</f>
        <v>Valentina Figueiredo</v>
      </c>
    </row>
    <row r="841" customFormat="false" ht="15.75" hidden="false" customHeight="false" outlineLevel="0" collapsed="false">
      <c r="A841" s="2" t="n">
        <v>154082</v>
      </c>
      <c r="B841" s="2" t="s">
        <v>879</v>
      </c>
      <c r="C841" s="2" t="n">
        <v>2</v>
      </c>
      <c r="D841" s="2" t="n">
        <v>1</v>
      </c>
      <c r="E841" s="2" t="n">
        <v>1</v>
      </c>
      <c r="F841" s="2" t="n">
        <v>41</v>
      </c>
      <c r="G841" s="2" t="s">
        <v>878</v>
      </c>
      <c r="H841" s="2" t="str">
        <f aca="false">IFERROR(__xludf.dummyfunction("IF(I851="""", """", REGEXEXTRACT(I851, ""Padrao/([^/]+)""))"),"Reserva Real")</f>
        <v>Reserva Real</v>
      </c>
    </row>
    <row r="842" customFormat="false" ht="15.75" hidden="false" customHeight="false" outlineLevel="0" collapsed="false">
      <c r="A842" s="2" t="n">
        <v>237332</v>
      </c>
      <c r="B842" s="2" t="s">
        <v>880</v>
      </c>
      <c r="C842" s="2" t="n">
        <v>2</v>
      </c>
      <c r="D842" s="2" t="n">
        <v>1</v>
      </c>
      <c r="E842" s="2" t="n">
        <v>1</v>
      </c>
      <c r="F842" s="2" t="n">
        <v>48</v>
      </c>
      <c r="G842" s="2" t="s">
        <v>881</v>
      </c>
      <c r="H842" s="2" t="str">
        <f aca="false">IFERROR(__xludf.dummyfunction("IF(I852="""", """", REGEXEXTRACT(I852, ""Padrao/([^/]+)""))"),"Geraldo Correia de Carvalho")</f>
        <v>Geraldo Correia de Carvalho</v>
      </c>
    </row>
    <row r="843" customFormat="false" ht="15.75" hidden="false" customHeight="false" outlineLevel="0" collapsed="false">
      <c r="A843" s="2" t="n">
        <v>231095</v>
      </c>
      <c r="B843" s="2" t="s">
        <v>429</v>
      </c>
      <c r="C843" s="2" t="n">
        <v>2</v>
      </c>
      <c r="D843" s="2" t="n">
        <v>1</v>
      </c>
      <c r="E843" s="2" t="n">
        <v>1</v>
      </c>
      <c r="F843" s="2" t="n">
        <v>43</v>
      </c>
      <c r="G843" s="2" t="s">
        <v>797</v>
      </c>
      <c r="H843" s="2" t="str">
        <f aca="false">IFERROR(__xludf.dummyfunction("IF(I853="""", """", REGEXEXTRACT(I853, ""Padrao/([^/]+)""))"),"Reserva Macauba")</f>
        <v>Reserva Macauba</v>
      </c>
    </row>
    <row r="844" customFormat="false" ht="15.75" hidden="false" customHeight="false" outlineLevel="0" collapsed="false">
      <c r="A844" s="2" t="n">
        <v>205451</v>
      </c>
      <c r="B844" s="2" t="s">
        <v>882</v>
      </c>
      <c r="C844" s="2" t="n">
        <v>2</v>
      </c>
      <c r="D844" s="2" t="n">
        <v>1</v>
      </c>
      <c r="E844" s="2" t="n">
        <v>1</v>
      </c>
      <c r="F844" s="2" t="n">
        <v>45</v>
      </c>
      <c r="G844" s="2" t="s">
        <v>797</v>
      </c>
      <c r="H844" s="2" t="str">
        <f aca="false">IFERROR(__xludf.dummyfunction("IF(I854="""", """", REGEXEXTRACT(I854, ""Padrao/([^/]+)""))"),"Parque Sao Sebastiao")</f>
        <v>Parque Sao Sebastiao</v>
      </c>
    </row>
    <row r="845" customFormat="false" ht="15.75" hidden="false" customHeight="false" outlineLevel="0" collapsed="false">
      <c r="A845" s="2" t="n">
        <v>218240</v>
      </c>
      <c r="B845" s="2" t="s">
        <v>883</v>
      </c>
      <c r="C845" s="2" t="n">
        <v>2</v>
      </c>
      <c r="D845" s="2" t="n">
        <v>1</v>
      </c>
      <c r="E845" s="2" t="n">
        <v>1</v>
      </c>
      <c r="F845" s="2" t="n">
        <v>42</v>
      </c>
      <c r="G845" s="2" t="s">
        <v>425</v>
      </c>
      <c r="H845" s="2" t="str">
        <f aca="false">IFERROR(__xludf.dummyfunction("IF(I855="""", """", REGEXEXTRACT(I855, ""Padrao/([^/]+)""))"),"Valentina Figueiredo")</f>
        <v>Valentina Figueiredo</v>
      </c>
    </row>
    <row r="846" customFormat="false" ht="15.75" hidden="false" customHeight="false" outlineLevel="0" collapsed="false">
      <c r="A846" s="2" t="n">
        <v>238586</v>
      </c>
      <c r="B846" s="2" t="s">
        <v>884</v>
      </c>
      <c r="C846" s="2" t="n">
        <v>1</v>
      </c>
      <c r="D846" s="2" t="n">
        <v>1</v>
      </c>
      <c r="E846" s="2" t="n">
        <v>1</v>
      </c>
      <c r="F846" s="2" t="n">
        <v>37</v>
      </c>
      <c r="G846" s="2" t="s">
        <v>428</v>
      </c>
      <c r="H846" s="2" t="str">
        <f aca="false">IFERROR(__xludf.dummyfunction("IF(I856="""", """", REGEXEXTRACT(I856, ""Padrao/([^/]+)""))"),"Parque Industrial Lagoinha")</f>
        <v>Parque Industrial Lagoinha</v>
      </c>
    </row>
    <row r="847" customFormat="false" ht="15.75" hidden="false" customHeight="false" outlineLevel="0" collapsed="false">
      <c r="A847" s="2" t="n">
        <v>235778</v>
      </c>
      <c r="B847" s="2" t="s">
        <v>408</v>
      </c>
      <c r="C847" s="2" t="n">
        <v>2</v>
      </c>
      <c r="D847" s="2" t="n">
        <v>1</v>
      </c>
      <c r="E847" s="2" t="n">
        <v>1</v>
      </c>
      <c r="F847" s="2" t="n">
        <v>40</v>
      </c>
      <c r="G847" s="2" t="s">
        <v>428</v>
      </c>
      <c r="H847" s="2" t="str">
        <f aca="false">IFERROR(__xludf.dummyfunction("IF(I857="""", """", REGEXEXTRACT(I857, ""Padrao/([^/]+)""))"),"Reserva Real")</f>
        <v>Reserva Real</v>
      </c>
    </row>
    <row r="848" customFormat="false" ht="15.75" hidden="false" customHeight="false" outlineLevel="0" collapsed="false">
      <c r="A848" s="2" t="n">
        <v>232994</v>
      </c>
      <c r="B848" s="2" t="s">
        <v>835</v>
      </c>
      <c r="C848" s="2" t="n">
        <v>2</v>
      </c>
      <c r="D848" s="2" t="n">
        <v>1</v>
      </c>
      <c r="E848" s="2" t="n">
        <v>1</v>
      </c>
      <c r="F848" s="2" t="n">
        <v>52</v>
      </c>
      <c r="G848" s="2" t="s">
        <v>428</v>
      </c>
      <c r="H848" s="2" t="str">
        <f aca="false">IFERROR(__xludf.dummyfunction("IF(I858="""", """", REGEXEXTRACT(I858, ""Padrao/([^/]+)""))"),"Jardim Palma Travassos")</f>
        <v>Jardim Palma Travassos</v>
      </c>
    </row>
    <row r="849" customFormat="false" ht="15.75" hidden="false" customHeight="false" outlineLevel="0" collapsed="false">
      <c r="A849" s="2" t="n">
        <v>226901</v>
      </c>
      <c r="B849" s="2" t="s">
        <v>885</v>
      </c>
      <c r="C849" s="2" t="n">
        <v>2</v>
      </c>
      <c r="D849" s="2" t="n">
        <v>1</v>
      </c>
      <c r="E849" s="2" t="n">
        <v>1</v>
      </c>
      <c r="F849" s="2" t="n">
        <v>42</v>
      </c>
      <c r="G849" s="2" t="s">
        <v>428</v>
      </c>
      <c r="H849" s="2" t="str">
        <f aca="false">IFERROR(__xludf.dummyfunction("IF(I859="""", """", REGEXEXTRACT(I859, ""Padrao/([^/]+)""))"),"Jardim Joao Rossi")</f>
        <v>Jardim Joao Rossi</v>
      </c>
    </row>
    <row r="850" customFormat="false" ht="15.75" hidden="false" customHeight="false" outlineLevel="0" collapsed="false">
      <c r="A850" s="2" t="n">
        <v>225029</v>
      </c>
      <c r="B850" s="2" t="s">
        <v>429</v>
      </c>
      <c r="C850" s="2" t="n">
        <v>2</v>
      </c>
      <c r="D850" s="2" t="n">
        <v>1</v>
      </c>
      <c r="E850" s="2" t="n">
        <v>1</v>
      </c>
      <c r="F850" s="2" t="n">
        <v>43</v>
      </c>
      <c r="G850" s="2" t="s">
        <v>428</v>
      </c>
      <c r="H850" s="2" t="str">
        <f aca="false">IFERROR(__xludf.dummyfunction("IF(I860="""", """", REGEXEXTRACT(I860, ""Padrao/([^/]+)""))"),"Reserva Macauba")</f>
        <v>Reserva Macauba</v>
      </c>
    </row>
    <row r="851" customFormat="false" ht="15.75" hidden="false" customHeight="false" outlineLevel="0" collapsed="false">
      <c r="A851" s="2" t="n">
        <v>223988</v>
      </c>
      <c r="B851" s="2" t="s">
        <v>886</v>
      </c>
      <c r="C851" s="2" t="n">
        <v>2</v>
      </c>
      <c r="D851" s="2" t="n">
        <v>1</v>
      </c>
      <c r="E851" s="2" t="n">
        <v>1</v>
      </c>
      <c r="F851" s="2" t="n">
        <v>41</v>
      </c>
      <c r="G851" s="2" t="s">
        <v>428</v>
      </c>
      <c r="H851" s="2" t="str">
        <f aca="false">IFERROR(__xludf.dummyfunction("IF(I861="""", """", REGEXEXTRACT(I861, ""Padrao/([^/]+)""))"),"Reserva Real")</f>
        <v>Reserva Real</v>
      </c>
    </row>
    <row r="852" customFormat="false" ht="15.75" hidden="false" customHeight="false" outlineLevel="0" collapsed="false">
      <c r="A852" s="2" t="n">
        <v>218207</v>
      </c>
      <c r="B852" s="2" t="s">
        <v>887</v>
      </c>
      <c r="C852" s="2" t="n">
        <v>2</v>
      </c>
      <c r="D852" s="2" t="n">
        <v>1</v>
      </c>
      <c r="E852" s="2" t="n">
        <v>1</v>
      </c>
      <c r="F852" s="2" t="n">
        <v>46</v>
      </c>
      <c r="G852" s="2" t="s">
        <v>428</v>
      </c>
      <c r="H852" s="2" t="str">
        <f aca="false">IFERROR(__xludf.dummyfunction("IF(I862="""", """", REGEXEXTRACT(I862, ""Padrao/([^/]+)""))"),"Parque Ribeirao Preto")</f>
        <v>Parque Ribeirao Preto</v>
      </c>
    </row>
    <row r="853" customFormat="false" ht="15.75" hidden="false" customHeight="false" outlineLevel="0" collapsed="false">
      <c r="A853" s="2" t="n">
        <v>210053</v>
      </c>
      <c r="B853" s="2" t="s">
        <v>454</v>
      </c>
      <c r="C853" s="2" t="n">
        <v>2</v>
      </c>
      <c r="D853" s="2" t="n">
        <v>1</v>
      </c>
      <c r="E853" s="2" t="n">
        <v>1</v>
      </c>
      <c r="F853" s="2" t="n">
        <v>41</v>
      </c>
      <c r="G853" s="2" t="s">
        <v>428</v>
      </c>
      <c r="H853" s="2" t="str">
        <f aca="false">IFERROR(__xludf.dummyfunction("IF(I863="""", """", REGEXEXTRACT(I863, ""Padrao/([^/]+)""))"),"Reserva Real")</f>
        <v>Reserva Real</v>
      </c>
    </row>
    <row r="854" customFormat="false" ht="15.75" hidden="false" customHeight="false" outlineLevel="0" collapsed="false">
      <c r="A854" s="2" t="n">
        <v>206765</v>
      </c>
      <c r="B854" s="2" t="s">
        <v>680</v>
      </c>
      <c r="C854" s="2" t="n">
        <v>2</v>
      </c>
      <c r="D854" s="2" t="n">
        <v>1</v>
      </c>
      <c r="E854" s="2" t="n">
        <v>1</v>
      </c>
      <c r="F854" s="2" t="n">
        <v>42</v>
      </c>
      <c r="G854" s="2" t="s">
        <v>428</v>
      </c>
      <c r="H854" s="2" t="str">
        <f aca="false">IFERROR(__xludf.dummyfunction("IF(I864="""", """", REGEXEXTRACT(I864, ""Padrao/([^/]+)""))"),"Quintino Facci II")</f>
        <v>Quintino Facci II</v>
      </c>
    </row>
    <row r="855" customFormat="false" ht="15.75" hidden="false" customHeight="false" outlineLevel="0" collapsed="false">
      <c r="A855" s="2" t="n">
        <v>189215</v>
      </c>
      <c r="B855" s="2" t="s">
        <v>888</v>
      </c>
      <c r="C855" s="2" t="n">
        <v>2</v>
      </c>
      <c r="D855" s="2" t="n">
        <v>1</v>
      </c>
      <c r="E855" s="2" t="n">
        <v>1</v>
      </c>
      <c r="F855" s="2" t="n">
        <v>48</v>
      </c>
      <c r="G855" s="2" t="s">
        <v>428</v>
      </c>
      <c r="H855" s="2" t="str">
        <f aca="false">IFERROR(__xludf.dummyfunction("IF(I865="""", """", REGEXEXTRACT(I865, ""Padrao/([^/]+)""))"),"Geraldo Correia de Carvalho")</f>
        <v>Geraldo Correia de Carvalho</v>
      </c>
    </row>
    <row r="856" customFormat="false" ht="15.75" hidden="false" customHeight="false" outlineLevel="0" collapsed="false">
      <c r="A856" s="2" t="n">
        <v>183410</v>
      </c>
      <c r="B856" s="2" t="s">
        <v>889</v>
      </c>
      <c r="C856" s="2" t="n">
        <v>2</v>
      </c>
      <c r="D856" s="2" t="n">
        <v>1</v>
      </c>
      <c r="E856" s="2" t="n">
        <v>1</v>
      </c>
      <c r="F856" s="2" t="n">
        <v>43</v>
      </c>
      <c r="G856" s="2" t="s">
        <v>428</v>
      </c>
      <c r="H856" s="2" t="str">
        <f aca="false">IFERROR(__xludf.dummyfunction("IF(I866="""", """", REGEXEXTRACT(I866, ""Padrao/([^/]+)""))"),"Jardim Heitor Rigon")</f>
        <v>Jardim Heitor Rigon</v>
      </c>
    </row>
    <row r="857" customFormat="false" ht="15.75" hidden="false" customHeight="false" outlineLevel="0" collapsed="false">
      <c r="A857" s="2" t="n">
        <v>183407</v>
      </c>
      <c r="B857" s="2" t="s">
        <v>368</v>
      </c>
      <c r="C857" s="2" t="n">
        <v>2</v>
      </c>
      <c r="D857" s="2" t="n">
        <v>1</v>
      </c>
      <c r="E857" s="2" t="n">
        <v>1</v>
      </c>
      <c r="F857" s="2" t="n">
        <v>43</v>
      </c>
      <c r="G857" s="2" t="s">
        <v>428</v>
      </c>
      <c r="H857" s="2" t="str">
        <f aca="false">IFERROR(__xludf.dummyfunction("IF(I867="""", """", REGEXEXTRACT(I867, ""Padrao/([^/]+)""))"),"Jardim Heitor Rigon")</f>
        <v>Jardim Heitor Rigon</v>
      </c>
    </row>
    <row r="858" customFormat="false" ht="15.75" hidden="false" customHeight="false" outlineLevel="0" collapsed="false">
      <c r="A858" s="2" t="n">
        <v>183386</v>
      </c>
      <c r="B858" s="2" t="s">
        <v>890</v>
      </c>
      <c r="C858" s="2" t="n">
        <v>2</v>
      </c>
      <c r="D858" s="2" t="n">
        <v>1</v>
      </c>
      <c r="E858" s="2" t="n">
        <v>1</v>
      </c>
      <c r="F858" s="2" t="n">
        <v>43</v>
      </c>
      <c r="G858" s="2" t="s">
        <v>428</v>
      </c>
      <c r="H858" s="2" t="str">
        <f aca="false">IFERROR(__xludf.dummyfunction("IF(I868="""", """", REGEXEXTRACT(I868, ""Padrao/([^/]+)""))"),"Jardim Diva Tarla de Carvalho")</f>
        <v>Jardim Diva Tarla de Carvalho</v>
      </c>
    </row>
    <row r="859" customFormat="false" ht="15.75" hidden="false" customHeight="false" outlineLevel="0" collapsed="false">
      <c r="A859" s="2" t="n">
        <v>156758</v>
      </c>
      <c r="B859" s="2" t="s">
        <v>879</v>
      </c>
      <c r="C859" s="2" t="n">
        <v>2</v>
      </c>
      <c r="D859" s="2" t="n">
        <v>1</v>
      </c>
      <c r="E859" s="2" t="n">
        <v>1</v>
      </c>
      <c r="F859" s="2" t="n">
        <v>41</v>
      </c>
      <c r="G859" s="2" t="s">
        <v>428</v>
      </c>
      <c r="H859" s="2" t="str">
        <f aca="false">IFERROR(__xludf.dummyfunction("IF(I869="""", """", REGEXEXTRACT(I869, ""Padrao/([^/]+)""))"),"Reserva Real")</f>
        <v>Reserva Real</v>
      </c>
    </row>
    <row r="860" customFormat="false" ht="15.75" hidden="false" customHeight="false" outlineLevel="0" collapsed="false">
      <c r="A860" s="2" t="n">
        <v>147764</v>
      </c>
      <c r="B860" s="2" t="s">
        <v>891</v>
      </c>
      <c r="C860" s="2" t="n">
        <v>2</v>
      </c>
      <c r="D860" s="2" t="n">
        <v>1</v>
      </c>
      <c r="E860" s="2" t="n">
        <v>1</v>
      </c>
      <c r="F860" s="2" t="n">
        <v>47</v>
      </c>
      <c r="G860" s="2" t="s">
        <v>428</v>
      </c>
      <c r="H860" s="2" t="str">
        <f aca="false">IFERROR(__xludf.dummyfunction("IF(I870="""", """", REGEXEXTRACT(I870, ""Padrao/([^/]+)""))"),"Jardim Jandaia")</f>
        <v>Jardim Jandaia</v>
      </c>
    </row>
    <row r="861" customFormat="false" ht="15.75" hidden="false" customHeight="false" outlineLevel="0" collapsed="false">
      <c r="A861" s="2" t="n">
        <v>144266</v>
      </c>
      <c r="B861" s="2" t="s">
        <v>386</v>
      </c>
      <c r="C861" s="2" t="n">
        <v>2</v>
      </c>
      <c r="D861" s="2" t="n">
        <v>1</v>
      </c>
      <c r="E861" s="2" t="n">
        <v>1</v>
      </c>
      <c r="F861" s="2" t="n">
        <v>42</v>
      </c>
      <c r="G861" s="2" t="s">
        <v>428</v>
      </c>
      <c r="H861" s="2" t="str">
        <f aca="false">IFERROR(__xludf.dummyfunction("IF(I871="""", """", REGEXEXTRACT(I871, ""Padrao/([^/]+)""))"),"Ribeirao Verde")</f>
        <v>Ribeirao Verde</v>
      </c>
    </row>
    <row r="862" customFormat="false" ht="15.75" hidden="false" customHeight="false" outlineLevel="0" collapsed="false">
      <c r="A862" s="2" t="n">
        <v>136268</v>
      </c>
      <c r="B862" s="2" t="s">
        <v>892</v>
      </c>
      <c r="C862" s="2" t="n">
        <v>2</v>
      </c>
      <c r="D862" s="2" t="n">
        <v>1</v>
      </c>
      <c r="E862" s="2" t="n">
        <v>1</v>
      </c>
      <c r="F862" s="2" t="n">
        <v>40</v>
      </c>
      <c r="G862" s="2" t="s">
        <v>428</v>
      </c>
      <c r="H862" s="2" t="str">
        <f aca="false">IFERROR(__xludf.dummyfunction("IF(I872="""", """", REGEXEXTRACT(I872, ""Padrao/([^/]+)""))"),"Jardim Zara")</f>
        <v>Jardim Zara</v>
      </c>
    </row>
    <row r="863" customFormat="false" ht="15.75" hidden="false" customHeight="false" outlineLevel="0" collapsed="false">
      <c r="A863" s="2" t="n">
        <v>113705</v>
      </c>
      <c r="B863" s="2" t="s">
        <v>162</v>
      </c>
      <c r="C863" s="2" t="n">
        <v>2</v>
      </c>
      <c r="D863" s="2" t="n">
        <v>1</v>
      </c>
      <c r="E863" s="2" t="n">
        <v>1</v>
      </c>
      <c r="F863" s="2" t="n">
        <v>48</v>
      </c>
      <c r="G863" s="2" t="s">
        <v>893</v>
      </c>
      <c r="H863" s="2" t="str">
        <f aca="false">IFERROR(__xludf.dummyfunction("IF(I873="""", """", REGEXEXTRACT(I873, ""Padrao/([^/]+)""))"),"Reserva Real")</f>
        <v>Reserva Real</v>
      </c>
    </row>
    <row r="864" customFormat="false" ht="15.75" hidden="false" customHeight="false" outlineLevel="0" collapsed="false">
      <c r="A864" s="2" t="n">
        <v>122720</v>
      </c>
      <c r="B864" s="2" t="s">
        <v>851</v>
      </c>
      <c r="C864" s="2" t="n">
        <v>2</v>
      </c>
      <c r="D864" s="2" t="n">
        <v>1</v>
      </c>
      <c r="E864" s="2" t="n">
        <v>1</v>
      </c>
      <c r="F864" s="2" t="n">
        <v>40</v>
      </c>
      <c r="G864" s="2" t="s">
        <v>894</v>
      </c>
      <c r="H864" s="2" t="str">
        <f aca="false">IFERROR(__xludf.dummyfunction("IF(I874="""", """", REGEXEXTRACT(I874, ""Padrao/([^/]+)""))"),"Ipiranga")</f>
        <v>Ipiranga</v>
      </c>
    </row>
    <row r="865" customFormat="false" ht="15.75" hidden="false" customHeight="false" outlineLevel="0" collapsed="false">
      <c r="A865" s="2" t="n">
        <v>230744</v>
      </c>
      <c r="B865" s="2" t="s">
        <v>895</v>
      </c>
      <c r="C865" s="2" t="n">
        <v>2</v>
      </c>
      <c r="D865" s="2" t="n">
        <v>1</v>
      </c>
      <c r="E865" s="2" t="n">
        <v>1</v>
      </c>
      <c r="F865" s="2" t="n">
        <v>41</v>
      </c>
      <c r="G865" s="2" t="s">
        <v>896</v>
      </c>
      <c r="H865" s="2" t="str">
        <f aca="false">IFERROR(__xludf.dummyfunction("IF(I875="""", """", REGEXEXTRACT(I875, ""Padrao/([^/]+)""))"),"Reserva Real")</f>
        <v>Reserva Real</v>
      </c>
    </row>
    <row r="866" customFormat="false" ht="15.75" hidden="false" customHeight="false" outlineLevel="0" collapsed="false">
      <c r="A866" s="2" t="n">
        <v>152702</v>
      </c>
      <c r="B866" s="2" t="s">
        <v>897</v>
      </c>
      <c r="C866" s="2" t="n">
        <v>2</v>
      </c>
      <c r="D866" s="2" t="n">
        <v>1</v>
      </c>
      <c r="E866" s="2" t="n">
        <v>1</v>
      </c>
      <c r="F866" s="2" t="n">
        <v>42</v>
      </c>
      <c r="G866" s="2" t="s">
        <v>896</v>
      </c>
      <c r="H866" s="2" t="str">
        <f aca="false">IFERROR(__xludf.dummyfunction("IF(I877="""", """", REGEXEXTRACT(I877, ""Padrao/([^/]+)""))"),"Vila Virginia")</f>
        <v>Vila Virginia</v>
      </c>
    </row>
    <row r="867" customFormat="false" ht="15.75" hidden="false" customHeight="false" outlineLevel="0" collapsed="false">
      <c r="A867" s="2" t="n">
        <v>226643</v>
      </c>
      <c r="B867" s="2" t="s">
        <v>898</v>
      </c>
      <c r="C867" s="2" t="n">
        <v>2</v>
      </c>
      <c r="D867" s="2" t="n">
        <v>1</v>
      </c>
      <c r="E867" s="2" t="n">
        <v>1</v>
      </c>
      <c r="F867" s="2" t="n">
        <v>48</v>
      </c>
      <c r="G867" s="2" t="s">
        <v>899</v>
      </c>
      <c r="H867" s="2" t="str">
        <f aca="false">IFERROR(__xludf.dummyfunction("IF(I878="""", """", REGEXEXTRACT(I878, ""Padrao/([^/]+)""))"),"Jardim Manoel Penna")</f>
        <v>Jardim Manoel Penna</v>
      </c>
    </row>
    <row r="868" customFormat="false" ht="15.75" hidden="false" customHeight="false" outlineLevel="0" collapsed="false">
      <c r="A868" s="2" t="n">
        <v>136991</v>
      </c>
      <c r="B868" s="2" t="s">
        <v>900</v>
      </c>
      <c r="C868" s="2" t="n">
        <v>2</v>
      </c>
      <c r="D868" s="2" t="n">
        <v>1</v>
      </c>
      <c r="E868" s="2" t="n">
        <v>1</v>
      </c>
      <c r="F868" s="2" t="n">
        <v>43</v>
      </c>
      <c r="G868" s="2" t="s">
        <v>425</v>
      </c>
      <c r="H868" s="2" t="str">
        <f aca="false">IFERROR(__xludf.dummyfunction("IF(I879="""", """", REGEXEXTRACT(I879, ""Padrao/([^/]+)""))"),"Jardim Zara")</f>
        <v>Jardim Zara</v>
      </c>
    </row>
    <row r="869" customFormat="false" ht="15.75" hidden="false" customHeight="false" outlineLevel="0" collapsed="false">
      <c r="A869" s="2" t="n">
        <v>244178</v>
      </c>
      <c r="B869" s="2" t="s">
        <v>454</v>
      </c>
      <c r="C869" s="2" t="n">
        <v>2</v>
      </c>
      <c r="D869" s="2" t="n">
        <v>1</v>
      </c>
      <c r="E869" s="2" t="n">
        <v>1</v>
      </c>
      <c r="F869" s="2" t="n">
        <v>41</v>
      </c>
      <c r="G869" s="2" t="s">
        <v>432</v>
      </c>
      <c r="H869" s="2" t="str">
        <f aca="false">IFERROR(__xludf.dummyfunction("IF(I880="""", """", REGEXEXTRACT(I880, ""Padrao/([^/]+)""))"),"Reserva Real")</f>
        <v>Reserva Real</v>
      </c>
    </row>
    <row r="870" customFormat="false" ht="15.75" hidden="false" customHeight="false" outlineLevel="0" collapsed="false">
      <c r="A870" s="2" t="n">
        <v>243374</v>
      </c>
      <c r="B870" s="2" t="s">
        <v>901</v>
      </c>
      <c r="C870" s="2" t="n">
        <v>1</v>
      </c>
      <c r="D870" s="2" t="n">
        <v>1</v>
      </c>
      <c r="E870" s="2" t="n">
        <v>1</v>
      </c>
      <c r="F870" s="2" t="n">
        <v>31</v>
      </c>
      <c r="G870" s="2" t="s">
        <v>432</v>
      </c>
      <c r="H870" s="2" t="str">
        <f aca="false">IFERROR(__xludf.dummyfunction("IF(I881="""", """", REGEXEXTRACT(I881, ""Padrao/([^/]+)""))"),"Vila Virginia")</f>
        <v>Vila Virginia</v>
      </c>
    </row>
    <row r="871" customFormat="false" ht="15.75" hidden="false" customHeight="false" outlineLevel="0" collapsed="false">
      <c r="A871" s="2" t="n">
        <v>242582</v>
      </c>
      <c r="B871" s="2" t="s">
        <v>902</v>
      </c>
      <c r="C871" s="2" t="n">
        <v>2</v>
      </c>
      <c r="D871" s="2" t="n">
        <v>1</v>
      </c>
      <c r="E871" s="2" t="n">
        <v>1</v>
      </c>
      <c r="F871" s="2" t="n">
        <v>43</v>
      </c>
      <c r="G871" s="2" t="s">
        <v>432</v>
      </c>
      <c r="H871" s="2" t="str">
        <f aca="false">IFERROR(__xludf.dummyfunction("IF(I882="""", """", REGEXEXTRACT(I882, ""Padrao/([^/]+)""))"),"Jardim Heitor Rigon")</f>
        <v>Jardim Heitor Rigon</v>
      </c>
    </row>
    <row r="872" customFormat="false" ht="15.75" hidden="false" customHeight="false" outlineLevel="0" collapsed="false">
      <c r="A872" s="2" t="n">
        <v>235223</v>
      </c>
      <c r="B872" s="2" t="s">
        <v>903</v>
      </c>
      <c r="C872" s="2" t="n">
        <v>2</v>
      </c>
      <c r="D872" s="2" t="n">
        <v>1</v>
      </c>
      <c r="E872" s="2" t="n">
        <v>1</v>
      </c>
      <c r="F872" s="2" t="n">
        <v>45</v>
      </c>
      <c r="G872" s="2" t="s">
        <v>432</v>
      </c>
      <c r="H872" s="2" t="str">
        <f aca="false">IFERROR(__xludf.dummyfunction("IF(I883="""", """", REGEXEXTRACT(I883, ""Padrao/([^/]+)""))"),"Parque dos Lagos")</f>
        <v>Parque dos Lagos</v>
      </c>
    </row>
    <row r="873" customFormat="false" ht="15.75" hidden="false" customHeight="false" outlineLevel="0" collapsed="false">
      <c r="A873" s="2" t="n">
        <v>234914</v>
      </c>
      <c r="B873" s="2" t="s">
        <v>799</v>
      </c>
      <c r="C873" s="2" t="n">
        <v>2</v>
      </c>
      <c r="D873" s="2" t="n">
        <v>1</v>
      </c>
      <c r="E873" s="2" t="n">
        <v>1</v>
      </c>
      <c r="F873" s="2" t="n">
        <v>43</v>
      </c>
      <c r="G873" s="2" t="s">
        <v>432</v>
      </c>
      <c r="H873" s="2" t="str">
        <f aca="false">IFERROR(__xludf.dummyfunction("IF(I884="""", """", REGEXEXTRACT(I884, ""Padrao/([^/]+)""))"),"Jardim Diva Tarla de Carvalho")</f>
        <v>Jardim Diva Tarla de Carvalho</v>
      </c>
    </row>
    <row r="874" customFormat="false" ht="15.75" hidden="false" customHeight="false" outlineLevel="0" collapsed="false">
      <c r="A874" s="2" t="n">
        <v>222812</v>
      </c>
      <c r="B874" s="2" t="s">
        <v>454</v>
      </c>
      <c r="C874" s="2" t="n">
        <v>2</v>
      </c>
      <c r="D874" s="2" t="n">
        <v>1</v>
      </c>
      <c r="E874" s="2" t="n">
        <v>1</v>
      </c>
      <c r="F874" s="2" t="n">
        <v>41</v>
      </c>
      <c r="G874" s="2" t="s">
        <v>432</v>
      </c>
      <c r="H874" s="2" t="str">
        <f aca="false">IFERROR(__xludf.dummyfunction("IF(I885="""", """", REGEXEXTRACT(I885, ""Padrao/([^/]+)""))"),"Reserva Real")</f>
        <v>Reserva Real</v>
      </c>
    </row>
    <row r="875" customFormat="false" ht="15.75" hidden="false" customHeight="false" outlineLevel="0" collapsed="false">
      <c r="A875" s="2" t="n">
        <v>219620</v>
      </c>
      <c r="B875" s="2" t="s">
        <v>904</v>
      </c>
      <c r="C875" s="2" t="n">
        <v>2</v>
      </c>
      <c r="D875" s="2" t="n">
        <v>1</v>
      </c>
      <c r="E875" s="2" t="n">
        <v>1</v>
      </c>
      <c r="F875" s="2" t="n">
        <v>40</v>
      </c>
      <c r="G875" s="2" t="s">
        <v>432</v>
      </c>
      <c r="H875" s="2" t="str">
        <f aca="false">IFERROR(__xludf.dummyfunction("IF(I886="""", """", REGEXEXTRACT(I886, ""Padrao/([^/]+)""))"),"Reserva Real")</f>
        <v>Reserva Real</v>
      </c>
    </row>
    <row r="876" customFormat="false" ht="15.75" hidden="false" customHeight="false" outlineLevel="0" collapsed="false">
      <c r="A876" s="2" t="n">
        <v>217919</v>
      </c>
      <c r="B876" s="2" t="s">
        <v>905</v>
      </c>
      <c r="C876" s="2" t="n">
        <v>2</v>
      </c>
      <c r="D876" s="2" t="n">
        <v>1</v>
      </c>
      <c r="E876" s="2" t="n">
        <v>1</v>
      </c>
      <c r="F876" s="2" t="n">
        <v>42</v>
      </c>
      <c r="G876" s="2" t="s">
        <v>432</v>
      </c>
      <c r="H876" s="2" t="str">
        <f aca="false">IFERROR(__xludf.dummyfunction("IF(I887="""", """", REGEXEXTRACT(I887, ""Padrao/([^/]+)""))"),"Residencial Parque dos Servidores")</f>
        <v>Residencial Parque dos Servidores</v>
      </c>
    </row>
    <row r="877" customFormat="false" ht="15.75" hidden="false" customHeight="false" outlineLevel="0" collapsed="false">
      <c r="A877" s="2" t="n">
        <v>180440</v>
      </c>
      <c r="B877" s="2" t="s">
        <v>906</v>
      </c>
      <c r="C877" s="2" t="n">
        <v>2</v>
      </c>
      <c r="D877" s="2" t="n">
        <v>1</v>
      </c>
      <c r="E877" s="2" t="n">
        <v>1</v>
      </c>
      <c r="F877" s="2" t="n">
        <v>41</v>
      </c>
      <c r="G877" s="2" t="s">
        <v>432</v>
      </c>
      <c r="H877" s="2" t="str">
        <f aca="false">IFERROR(__xludf.dummyfunction("IF(I888="""", """", REGEXEXTRACT(I888, ""Padrao/([^/]+)""))"),"Conjunto Habitacional Silvio Passalacqua")</f>
        <v>Conjunto Habitacional Silvio Passalacqua</v>
      </c>
    </row>
    <row r="878" customFormat="false" ht="15.75" hidden="false" customHeight="false" outlineLevel="0" collapsed="false">
      <c r="A878" s="2" t="n">
        <v>180368</v>
      </c>
      <c r="B878" s="2" t="s">
        <v>907</v>
      </c>
      <c r="C878" s="2" t="n">
        <v>2</v>
      </c>
      <c r="D878" s="2" t="n">
        <v>1</v>
      </c>
      <c r="E878" s="2" t="n">
        <v>1</v>
      </c>
      <c r="F878" s="2" t="n">
        <v>43</v>
      </c>
      <c r="G878" s="2" t="s">
        <v>432</v>
      </c>
      <c r="H878" s="2" t="str">
        <f aca="false">IFERROR(__xludf.dummyfunction("IF(I889="""", """", REGEXEXTRACT(I889, ""Padrao/([^/]+)""))"),"Valentina Figueiredo")</f>
        <v>Valentina Figueiredo</v>
      </c>
    </row>
    <row r="879" customFormat="false" ht="15.75" hidden="false" customHeight="false" outlineLevel="0" collapsed="false">
      <c r="A879" s="2" t="n">
        <v>179180</v>
      </c>
      <c r="B879" s="2" t="s">
        <v>748</v>
      </c>
      <c r="C879" s="2" t="n">
        <v>2</v>
      </c>
      <c r="D879" s="2" t="n">
        <v>1</v>
      </c>
      <c r="E879" s="2" t="n">
        <v>1</v>
      </c>
      <c r="F879" s="2" t="n">
        <v>46</v>
      </c>
      <c r="G879" s="2" t="s">
        <v>432</v>
      </c>
      <c r="H879" s="2" t="str">
        <f aca="false">IFERROR(__xludf.dummyfunction("IF(I890="""", """", REGEXEXTRACT(I890, ""Padrao/([^/]+)""))"),"Parque Sao Sebastiao")</f>
        <v>Parque Sao Sebastiao</v>
      </c>
    </row>
    <row r="880" customFormat="false" ht="15.75" hidden="false" customHeight="false" outlineLevel="0" collapsed="false">
      <c r="A880" s="2" t="n">
        <v>146051</v>
      </c>
      <c r="B880" s="2" t="s">
        <v>908</v>
      </c>
      <c r="C880" s="2" t="n">
        <v>2</v>
      </c>
      <c r="D880" s="2" t="n">
        <v>1</v>
      </c>
      <c r="E880" s="2" t="n">
        <v>1</v>
      </c>
      <c r="F880" s="2" t="n">
        <v>41</v>
      </c>
      <c r="G880" s="2" t="s">
        <v>432</v>
      </c>
      <c r="H880" s="2" t="str">
        <f aca="false">IFERROR(__xludf.dummyfunction("IF(I891="""", """", REGEXEXTRACT(I891, ""Padrao/([^/]+)""))"),"Ipiranga")</f>
        <v>Ipiranga</v>
      </c>
    </row>
    <row r="881" customFormat="false" ht="15.75" hidden="false" customHeight="false" outlineLevel="0" collapsed="false">
      <c r="A881" s="2" t="n">
        <v>137234</v>
      </c>
      <c r="B881" s="2" t="s">
        <v>909</v>
      </c>
      <c r="C881" s="2" t="n">
        <v>2</v>
      </c>
      <c r="D881" s="2" t="n">
        <v>1</v>
      </c>
      <c r="E881" s="2" t="n">
        <v>1</v>
      </c>
      <c r="F881" s="2" t="n">
        <v>48</v>
      </c>
      <c r="G881" s="2" t="s">
        <v>432</v>
      </c>
      <c r="H881" s="2" t="str">
        <f aca="false">IFERROR(__xludf.dummyfunction("IF(I892="""", """", REGEXEXTRACT(I892, ""Padrao/([^/]+)""))"),"Parque Sao Sebastiao")</f>
        <v>Parque Sao Sebastiao</v>
      </c>
    </row>
    <row r="882" customFormat="false" ht="15.75" hidden="false" customHeight="false" outlineLevel="0" collapsed="false">
      <c r="A882" s="2" t="n">
        <v>136559</v>
      </c>
      <c r="B882" s="2" t="s">
        <v>733</v>
      </c>
      <c r="C882" s="2" t="n">
        <v>2</v>
      </c>
      <c r="D882" s="2" t="n">
        <v>1</v>
      </c>
      <c r="E882" s="2" t="n">
        <v>1</v>
      </c>
      <c r="F882" s="2" t="n">
        <v>48</v>
      </c>
      <c r="G882" s="2" t="s">
        <v>432</v>
      </c>
      <c r="H882" s="2" t="str">
        <f aca="false">IFERROR(__xludf.dummyfunction("IF(I893="""", """", REGEXEXTRACT(I893, ""Padrao/([^/]+)""))"),"Ipiranga")</f>
        <v>Ipiranga</v>
      </c>
    </row>
    <row r="883" customFormat="false" ht="15.75" hidden="false" customHeight="false" outlineLevel="0" collapsed="false">
      <c r="A883" s="2" t="n">
        <v>107363</v>
      </c>
      <c r="B883" s="2" t="s">
        <v>162</v>
      </c>
      <c r="C883" s="2" t="n">
        <v>2</v>
      </c>
      <c r="D883" s="2" t="n">
        <v>1</v>
      </c>
      <c r="E883" s="2" t="n">
        <v>1</v>
      </c>
      <c r="F883" s="2" t="n">
        <v>49</v>
      </c>
      <c r="G883" s="2" t="s">
        <v>432</v>
      </c>
      <c r="H883" s="2" t="str">
        <f aca="false">IFERROR(__xludf.dummyfunction("IF(I894="""", """", REGEXEXTRACT(I894, ""Padrao/([^/]+)""))"),"Jardim Zara")</f>
        <v>Jardim Zara</v>
      </c>
    </row>
    <row r="884" customFormat="false" ht="15.75" hidden="false" customHeight="false" outlineLevel="0" collapsed="false">
      <c r="A884" s="2" t="n">
        <v>81545</v>
      </c>
      <c r="B884" s="2" t="s">
        <v>910</v>
      </c>
      <c r="C884" s="2" t="n">
        <v>2</v>
      </c>
      <c r="D884" s="2" t="n">
        <v>1</v>
      </c>
      <c r="E884" s="2" t="n">
        <v>1</v>
      </c>
      <c r="F884" s="2" t="n">
        <v>42</v>
      </c>
      <c r="G884" s="2" t="s">
        <v>432</v>
      </c>
      <c r="H884" s="2" t="str">
        <f aca="false">IFERROR(__xludf.dummyfunction("IF(I895="""", """", REGEXEXTRACT(I895, ""Padrao/([^/]+)""))"),"Jardim Javari")</f>
        <v>Jardim Javari</v>
      </c>
    </row>
    <row r="885" customFormat="false" ht="15.75" hidden="false" customHeight="false" outlineLevel="0" collapsed="false">
      <c r="A885" s="2" t="n">
        <v>240677</v>
      </c>
      <c r="B885" s="2" t="s">
        <v>733</v>
      </c>
      <c r="C885" s="2" t="n">
        <v>2</v>
      </c>
      <c r="D885" s="2" t="n">
        <v>1</v>
      </c>
      <c r="E885" s="2" t="n">
        <v>1</v>
      </c>
      <c r="F885" s="2" t="n">
        <v>48</v>
      </c>
      <c r="G885" s="2" t="s">
        <v>700</v>
      </c>
      <c r="H885" s="2" t="str">
        <f aca="false">IFERROR(__xludf.dummyfunction("IF(I896="""", """", REGEXEXTRACT(I896, ""Padrao/([^/]+)""))"),"Ipiranga")</f>
        <v>Ipiranga</v>
      </c>
    </row>
    <row r="886" customFormat="false" ht="15.75" hidden="false" customHeight="false" outlineLevel="0" collapsed="false">
      <c r="A886" s="2" t="n">
        <v>209075</v>
      </c>
      <c r="B886" s="2" t="s">
        <v>911</v>
      </c>
      <c r="C886" s="2" t="n">
        <v>1</v>
      </c>
      <c r="D886" s="2" t="n">
        <v>1</v>
      </c>
      <c r="E886" s="2" t="n">
        <v>1</v>
      </c>
      <c r="F886" s="2" t="n">
        <v>50</v>
      </c>
      <c r="G886" s="2" t="s">
        <v>407</v>
      </c>
      <c r="H886" s="2" t="str">
        <f aca="false">IFERROR(__xludf.dummyfunction("IF(I897="""", """", REGEXEXTRACT(I897, ""Padrao/([^/]+)""))"),"Jardim Paulistano")</f>
        <v>Jardim Paulistano</v>
      </c>
    </row>
    <row r="887" customFormat="false" ht="15.75" hidden="false" customHeight="false" outlineLevel="0" collapsed="false">
      <c r="A887" s="2" t="n">
        <v>147521</v>
      </c>
      <c r="B887" s="2" t="s">
        <v>912</v>
      </c>
      <c r="C887" s="2" t="n">
        <v>2</v>
      </c>
      <c r="D887" s="2" t="n">
        <v>1</v>
      </c>
      <c r="E887" s="2" t="n">
        <v>1</v>
      </c>
      <c r="F887" s="2" t="n">
        <v>59</v>
      </c>
      <c r="G887" s="2" t="s">
        <v>407</v>
      </c>
      <c r="H887" s="2" t="str">
        <f aca="false">IFERROR(__xludf.dummyfunction("IF(I898="""", """", REGEXEXTRACT(I898, ""Padrao/([^/]+)""))"),"Independencia")</f>
        <v>Independencia</v>
      </c>
    </row>
    <row r="888" customFormat="false" ht="15.75" hidden="false" customHeight="false" outlineLevel="0" collapsed="false">
      <c r="A888" s="2" t="n">
        <v>97256</v>
      </c>
      <c r="B888" s="2" t="s">
        <v>913</v>
      </c>
      <c r="C888" s="2" t="n">
        <v>1</v>
      </c>
      <c r="D888" s="2" t="n">
        <v>1</v>
      </c>
      <c r="E888" s="2" t="n">
        <v>1</v>
      </c>
      <c r="F888" s="2" t="n">
        <v>32</v>
      </c>
      <c r="G888" s="2" t="s">
        <v>407</v>
      </c>
      <c r="H888" s="2" t="str">
        <f aca="false">IFERROR(__xludf.dummyfunction("IF(I899="""", """", REGEXEXTRACT(I899, ""Padrao/([^/]+)""))"),"Parque Anhanguera")</f>
        <v>Parque Anhanguera</v>
      </c>
    </row>
    <row r="889" customFormat="false" ht="15.75" hidden="false" customHeight="false" outlineLevel="0" collapsed="false">
      <c r="A889" s="2" t="n">
        <v>202001</v>
      </c>
      <c r="B889" s="2" t="s">
        <v>914</v>
      </c>
      <c r="C889" s="2" t="n">
        <v>2</v>
      </c>
      <c r="D889" s="2" t="n">
        <v>1</v>
      </c>
      <c r="E889" s="2" t="n">
        <v>1</v>
      </c>
      <c r="F889" s="2" t="n">
        <v>46</v>
      </c>
      <c r="G889" s="2" t="s">
        <v>414</v>
      </c>
      <c r="H889" s="2" t="str">
        <f aca="false">IFERROR(__xludf.dummyfunction("IF(I900="""", """", REGEXEXTRACT(I900, ""Padrao/([^/]+)""))"),"Parque Sao Sebastiao")</f>
        <v>Parque Sao Sebastiao</v>
      </c>
    </row>
    <row r="890" customFormat="false" ht="15.75" hidden="false" customHeight="false" outlineLevel="0" collapsed="false">
      <c r="A890" s="2" t="n">
        <v>127160</v>
      </c>
      <c r="B890" s="2" t="s">
        <v>400</v>
      </c>
      <c r="C890" s="2" t="n">
        <v>1</v>
      </c>
      <c r="D890" s="2" t="n">
        <v>1</v>
      </c>
      <c r="E890" s="2" t="n">
        <v>1</v>
      </c>
      <c r="F890" s="2" t="n">
        <v>45</v>
      </c>
      <c r="G890" s="2" t="s">
        <v>414</v>
      </c>
      <c r="H890" s="2" t="str">
        <f aca="false">IFERROR(__xludf.dummyfunction("IF(I901="""", """", REGEXEXTRACT(I901, ""Padrao/([^/]+)""))"),"Centro")</f>
        <v>Centro</v>
      </c>
    </row>
    <row r="891" customFormat="false" ht="15.75" hidden="false" customHeight="false" outlineLevel="0" collapsed="false">
      <c r="A891" s="2" t="n">
        <v>181874</v>
      </c>
      <c r="B891" s="2" t="s">
        <v>915</v>
      </c>
      <c r="C891" s="2" t="n">
        <v>2</v>
      </c>
      <c r="D891" s="2" t="n">
        <v>1</v>
      </c>
      <c r="E891" s="2" t="n">
        <v>1</v>
      </c>
      <c r="F891" s="2" t="n">
        <v>46</v>
      </c>
      <c r="G891" s="2" t="s">
        <v>797</v>
      </c>
      <c r="H891" s="2" t="str">
        <f aca="false">IFERROR(__xludf.dummyfunction("IF(I902="""", """", REGEXEXTRACT(I902, ""Padrao/([^/]+)""))"),"Parque Sao Sebastiao")</f>
        <v>Parque Sao Sebastiao</v>
      </c>
    </row>
    <row r="892" customFormat="false" ht="15.75" hidden="false" customHeight="false" outlineLevel="0" collapsed="false">
      <c r="A892" s="2" t="n">
        <v>154538</v>
      </c>
      <c r="B892" s="2" t="s">
        <v>916</v>
      </c>
      <c r="C892" s="2" t="n">
        <v>2</v>
      </c>
      <c r="D892" s="2" t="n">
        <v>1</v>
      </c>
      <c r="E892" s="2" t="n">
        <v>1</v>
      </c>
      <c r="F892" s="2" t="n">
        <v>48</v>
      </c>
      <c r="G892" s="2" t="s">
        <v>797</v>
      </c>
      <c r="H892" s="2" t="str">
        <f aca="false">IFERROR(__xludf.dummyfunction("IF(I903="""", """", REGEXEXTRACT(I903, ""Padrao/([^/]+)""))"),"Jardim Manoel Penna")</f>
        <v>Jardim Manoel Penna</v>
      </c>
    </row>
    <row r="893" customFormat="false" ht="15.75" hidden="false" customHeight="false" outlineLevel="0" collapsed="false">
      <c r="A893" s="2" t="n">
        <v>139334</v>
      </c>
      <c r="B893" s="2" t="s">
        <v>848</v>
      </c>
      <c r="C893" s="2" t="n">
        <v>2</v>
      </c>
      <c r="D893" s="2" t="n">
        <v>1</v>
      </c>
      <c r="E893" s="2" t="n">
        <v>1</v>
      </c>
      <c r="F893" s="2" t="n">
        <v>42</v>
      </c>
      <c r="G893" s="2" t="s">
        <v>422</v>
      </c>
      <c r="H893" s="2" t="str">
        <f aca="false">IFERROR(__xludf.dummyfunction("IF(I904="""", """", REGEXEXTRACT(I904, ""Padrao/([^/]+)""))"),"Ribeirao Verde")</f>
        <v>Ribeirao Verde</v>
      </c>
    </row>
    <row r="894" customFormat="false" ht="15.75" hidden="false" customHeight="false" outlineLevel="0" collapsed="false">
      <c r="A894" s="2" t="n">
        <v>214847</v>
      </c>
      <c r="B894" s="2" t="s">
        <v>917</v>
      </c>
      <c r="C894" s="2" t="n">
        <v>2</v>
      </c>
      <c r="D894" s="2" t="n">
        <v>1</v>
      </c>
      <c r="E894" s="2" t="n">
        <v>1</v>
      </c>
      <c r="F894" s="2" t="n">
        <v>40</v>
      </c>
      <c r="G894" s="2" t="s">
        <v>425</v>
      </c>
      <c r="H894" s="2" t="str">
        <f aca="false">IFERROR(__xludf.dummyfunction("IF(I905="""", """", REGEXEXTRACT(I905, ""Padrao/([^/]+)""))"),"Reserva Real")</f>
        <v>Reserva Real</v>
      </c>
    </row>
    <row r="895" customFormat="false" ht="15.75" hidden="false" customHeight="false" outlineLevel="0" collapsed="false">
      <c r="A895" s="2" t="n">
        <v>191066</v>
      </c>
      <c r="B895" s="2" t="s">
        <v>918</v>
      </c>
      <c r="C895" s="2" t="n">
        <v>1</v>
      </c>
      <c r="D895" s="2" t="n">
        <v>1</v>
      </c>
      <c r="E895" s="2" t="n">
        <v>1</v>
      </c>
      <c r="F895" s="2" t="n">
        <v>38</v>
      </c>
      <c r="G895" s="2" t="s">
        <v>425</v>
      </c>
      <c r="H895" s="2" t="str">
        <f aca="false">IFERROR(__xludf.dummyfunction("IF(I906="""", """", REGEXEXTRACT(I906, ""Padrao/([^/]+)""))"),"Jardim Paulista")</f>
        <v>Jardim Paulista</v>
      </c>
    </row>
    <row r="896" customFormat="false" ht="15.75" hidden="false" customHeight="false" outlineLevel="0" collapsed="false">
      <c r="A896" s="2" t="n">
        <v>149501</v>
      </c>
      <c r="B896" s="2" t="s">
        <v>919</v>
      </c>
      <c r="C896" s="2" t="n">
        <v>1</v>
      </c>
      <c r="D896" s="2" t="n">
        <v>1</v>
      </c>
      <c r="E896" s="2" t="n">
        <v>1</v>
      </c>
      <c r="F896" s="2" t="n">
        <v>38</v>
      </c>
      <c r="G896" s="2" t="s">
        <v>425</v>
      </c>
      <c r="H896" s="2" t="str">
        <f aca="false">IFERROR(__xludf.dummyfunction("IF(I907="""", """", REGEXEXTRACT(I907, ""Padrao/([^/]+)""))"),"Jardim Paulista")</f>
        <v>Jardim Paulista</v>
      </c>
    </row>
    <row r="897" customFormat="false" ht="15.75" hidden="false" customHeight="false" outlineLevel="0" collapsed="false">
      <c r="A897" s="2" t="n">
        <v>148241</v>
      </c>
      <c r="B897" s="2" t="s">
        <v>920</v>
      </c>
      <c r="C897" s="2" t="n">
        <v>2</v>
      </c>
      <c r="D897" s="2" t="n">
        <v>1</v>
      </c>
      <c r="E897" s="2" t="n">
        <v>1</v>
      </c>
      <c r="F897" s="2" t="n">
        <v>42</v>
      </c>
      <c r="G897" s="2" t="s">
        <v>425</v>
      </c>
      <c r="H897" s="2" t="str">
        <f aca="false">IFERROR(__xludf.dummyfunction("IF(I908="""", """", REGEXEXTRACT(I908, ""Padrao/([^/]+)""))"),"Jardim Heitor Rigon")</f>
        <v>Jardim Heitor Rigon</v>
      </c>
    </row>
    <row r="898" customFormat="false" ht="15.75" hidden="false" customHeight="false" outlineLevel="0" collapsed="false">
      <c r="A898" s="2" t="n">
        <v>134291</v>
      </c>
      <c r="B898" s="2" t="s">
        <v>921</v>
      </c>
      <c r="C898" s="2" t="n">
        <v>2</v>
      </c>
      <c r="D898" s="2" t="n">
        <v>1</v>
      </c>
      <c r="E898" s="2" t="n">
        <v>1</v>
      </c>
      <c r="F898" s="2" t="n">
        <v>42</v>
      </c>
      <c r="G898" s="2" t="s">
        <v>425</v>
      </c>
      <c r="H898" s="2" t="str">
        <f aca="false">IFERROR(__xludf.dummyfunction("IF(I909="""", """", REGEXEXTRACT(I909, ""Padrao/([^/]+)""))"),"Jardim Interlagos")</f>
        <v>Jardim Interlagos</v>
      </c>
    </row>
    <row r="899" customFormat="false" ht="15.75" hidden="false" customHeight="false" outlineLevel="0" collapsed="false">
      <c r="A899" s="2" t="n">
        <v>118466</v>
      </c>
      <c r="B899" s="2" t="s">
        <v>922</v>
      </c>
      <c r="C899" s="2" t="n">
        <v>2</v>
      </c>
      <c r="D899" s="2" t="n">
        <v>1</v>
      </c>
      <c r="E899" s="2" t="n">
        <v>1</v>
      </c>
      <c r="F899" s="2" t="n">
        <v>48</v>
      </c>
      <c r="G899" s="2" t="s">
        <v>425</v>
      </c>
      <c r="H899" s="2" t="str">
        <f aca="false">IFERROR(__xludf.dummyfunction("IF(I910="""", """", REGEXEXTRACT(I910, ""Padrao/([^/]+)""))"),"Jardim Heitor Rigon")</f>
        <v>Jardim Heitor Rigon</v>
      </c>
    </row>
    <row r="900" customFormat="false" ht="15.75" hidden="false" customHeight="false" outlineLevel="0" collapsed="false">
      <c r="A900" s="2" t="n">
        <v>108875</v>
      </c>
      <c r="B900" s="2" t="s">
        <v>923</v>
      </c>
      <c r="C900" s="2" t="n">
        <v>2</v>
      </c>
      <c r="D900" s="2" t="n">
        <v>1</v>
      </c>
      <c r="E900" s="2" t="n">
        <v>1</v>
      </c>
      <c r="F900" s="2" t="n">
        <v>46</v>
      </c>
      <c r="G900" s="2" t="s">
        <v>425</v>
      </c>
      <c r="H900" s="2" t="str">
        <f aca="false">IFERROR(__xludf.dummyfunction("IF(I911="""", """", REGEXEXTRACT(I911, ""Padrao/([^/]+)""))"),"Parque Sao Sebastiao")</f>
        <v>Parque Sao Sebastiao</v>
      </c>
    </row>
    <row r="901" customFormat="false" ht="15.75" hidden="false" customHeight="false" outlineLevel="0" collapsed="false">
      <c r="A901" s="2" t="n">
        <v>225704</v>
      </c>
      <c r="B901" s="2" t="s">
        <v>429</v>
      </c>
      <c r="C901" s="2" t="n">
        <v>2</v>
      </c>
      <c r="D901" s="2" t="n">
        <v>1</v>
      </c>
      <c r="E901" s="2" t="n">
        <v>1</v>
      </c>
      <c r="F901" s="2" t="n">
        <v>43</v>
      </c>
      <c r="G901" s="2" t="s">
        <v>924</v>
      </c>
      <c r="H901" s="2" t="str">
        <f aca="false">IFERROR(__xludf.dummyfunction("IF(I912="""", """", REGEXEXTRACT(I912, ""Padrao/([^/]+)""))"),"Reserva Macauba")</f>
        <v>Reserva Macauba</v>
      </c>
    </row>
    <row r="902" customFormat="false" ht="15.75" hidden="false" customHeight="false" outlineLevel="0" collapsed="false">
      <c r="A902" s="2" t="n">
        <v>220640</v>
      </c>
      <c r="B902" s="2" t="s">
        <v>478</v>
      </c>
      <c r="C902" s="2" t="n">
        <v>2</v>
      </c>
      <c r="D902" s="2" t="n">
        <v>1</v>
      </c>
      <c r="E902" s="2" t="n">
        <v>1</v>
      </c>
      <c r="F902" s="2" t="n">
        <v>42</v>
      </c>
      <c r="G902" s="2" t="s">
        <v>428</v>
      </c>
      <c r="H902" s="2" t="str">
        <f aca="false">IFERROR(__xludf.dummyfunction("IF(I913="""", """", REGEXEXTRACT(I913, ""Padrao/([^/]+)""))"),"Residencial Parque dos Servidores")</f>
        <v>Residencial Parque dos Servidores</v>
      </c>
    </row>
    <row r="903" customFormat="false" ht="15.75" hidden="false" customHeight="false" outlineLevel="0" collapsed="false">
      <c r="A903" s="2" t="n">
        <v>244220</v>
      </c>
      <c r="B903" s="2" t="s">
        <v>925</v>
      </c>
      <c r="C903" s="2" t="n">
        <v>1</v>
      </c>
      <c r="D903" s="2" t="n">
        <v>1</v>
      </c>
      <c r="E903" s="2" t="n">
        <v>1</v>
      </c>
      <c r="F903" s="2" t="n">
        <v>42</v>
      </c>
      <c r="G903" s="2" t="s">
        <v>435</v>
      </c>
      <c r="H903" s="2" t="str">
        <f aca="false">IFERROR(__xludf.dummyfunction("IF(I914="""", """", REGEXEXTRACT(I914, ""Padrao/([^/]+)""))"),"Jardim Paulista")</f>
        <v>Jardim Paulista</v>
      </c>
    </row>
    <row r="904" customFormat="false" ht="15.75" hidden="false" customHeight="false" outlineLevel="0" collapsed="false">
      <c r="A904" s="2" t="n">
        <v>243695</v>
      </c>
      <c r="B904" s="2" t="s">
        <v>701</v>
      </c>
      <c r="C904" s="2" t="n">
        <v>2</v>
      </c>
      <c r="D904" s="2" t="n">
        <v>1</v>
      </c>
      <c r="E904" s="2" t="n">
        <v>1</v>
      </c>
      <c r="F904" s="2" t="n">
        <v>43</v>
      </c>
      <c r="G904" s="2" t="s">
        <v>435</v>
      </c>
      <c r="H904" s="2" t="str">
        <f aca="false">IFERROR(__xludf.dummyfunction("IF(I915="""", """", REGEXEXTRACT(I915, ""Padrao/([^/]+)""))"),"Valentina Figueiredo")</f>
        <v>Valentina Figueiredo</v>
      </c>
    </row>
    <row r="905" customFormat="false" ht="15.75" hidden="false" customHeight="false" outlineLevel="0" collapsed="false">
      <c r="A905" s="2" t="n">
        <v>243323</v>
      </c>
      <c r="B905" s="2" t="s">
        <v>926</v>
      </c>
      <c r="C905" s="2" t="n">
        <v>1</v>
      </c>
      <c r="D905" s="2" t="n">
        <v>1</v>
      </c>
      <c r="E905" s="2" t="n">
        <v>1</v>
      </c>
      <c r="F905" s="2" t="n">
        <v>34</v>
      </c>
      <c r="G905" s="2" t="s">
        <v>435</v>
      </c>
      <c r="H905" s="2" t="str">
        <f aca="false">IFERROR(__xludf.dummyfunction("IF(I916="""", """", REGEXEXTRACT(I916, ""Padrao/([^/]+)""))"),"Vila Monte Alegre")</f>
        <v>Vila Monte Alegre</v>
      </c>
    </row>
    <row r="906" customFormat="false" ht="15.75" hidden="false" customHeight="false" outlineLevel="0" collapsed="false">
      <c r="A906" s="2" t="n">
        <v>243146</v>
      </c>
      <c r="B906" s="2" t="s">
        <v>927</v>
      </c>
      <c r="C906" s="2" t="n">
        <v>2</v>
      </c>
      <c r="D906" s="2" t="n">
        <v>1</v>
      </c>
      <c r="E906" s="2" t="n">
        <v>1</v>
      </c>
      <c r="F906" s="2" t="n">
        <v>48</v>
      </c>
      <c r="G906" s="2" t="s">
        <v>435</v>
      </c>
      <c r="H906" s="2" t="str">
        <f aca="false">IFERROR(__xludf.dummyfunction("IF(I917="""", """", REGEXEXTRACT(I917, ""Padrao/([^/]+)""))"),"Geraldo Correia de Carvalho")</f>
        <v>Geraldo Correia de Carvalho</v>
      </c>
    </row>
    <row r="907" customFormat="false" ht="15.75" hidden="false" customHeight="false" outlineLevel="0" collapsed="false">
      <c r="A907" s="2" t="n">
        <v>242567</v>
      </c>
      <c r="B907" s="2" t="s">
        <v>454</v>
      </c>
      <c r="C907" s="2" t="n">
        <v>2</v>
      </c>
      <c r="D907" s="2" t="n">
        <v>1</v>
      </c>
      <c r="E907" s="2" t="n">
        <v>1</v>
      </c>
      <c r="F907" s="2" t="n">
        <v>41</v>
      </c>
      <c r="G907" s="2" t="s">
        <v>435</v>
      </c>
      <c r="H907" s="2" t="str">
        <f aca="false">IFERROR(__xludf.dummyfunction("IF(I918="""", """", REGEXEXTRACT(I918, ""Padrao/([^/]+)""))"),"Reserva Real")</f>
        <v>Reserva Real</v>
      </c>
    </row>
    <row r="908" customFormat="false" ht="15.75" hidden="false" customHeight="false" outlineLevel="0" collapsed="false">
      <c r="A908" s="2" t="n">
        <v>242519</v>
      </c>
      <c r="B908" s="2" t="s">
        <v>680</v>
      </c>
      <c r="C908" s="2" t="n">
        <v>2</v>
      </c>
      <c r="D908" s="2" t="n">
        <v>1</v>
      </c>
      <c r="E908" s="2" t="n">
        <v>1</v>
      </c>
      <c r="F908" s="2" t="n">
        <v>42</v>
      </c>
      <c r="G908" s="2" t="s">
        <v>435</v>
      </c>
      <c r="H908" s="2" t="str">
        <f aca="false">IFERROR(__xludf.dummyfunction("IF(I919="""", """", REGEXEXTRACT(I919, ""Padrao/([^/]+)""))"),"Quintino Facci II")</f>
        <v>Quintino Facci II</v>
      </c>
    </row>
    <row r="909" customFormat="false" ht="15.75" hidden="false" customHeight="false" outlineLevel="0" collapsed="false">
      <c r="A909" s="2" t="n">
        <v>241169</v>
      </c>
      <c r="B909" s="2" t="s">
        <v>455</v>
      </c>
      <c r="C909" s="2" t="n">
        <v>2</v>
      </c>
      <c r="D909" s="2" t="n">
        <v>1</v>
      </c>
      <c r="E909" s="2" t="n">
        <v>1</v>
      </c>
      <c r="F909" s="2" t="n">
        <v>40</v>
      </c>
      <c r="G909" s="2" t="s">
        <v>435</v>
      </c>
      <c r="H909" s="2" t="str">
        <f aca="false">IFERROR(__xludf.dummyfunction("IF(I920="""", """", REGEXEXTRACT(I920, ""Padrao/([^/]+)""))"),"Reserva Real")</f>
        <v>Reserva Real</v>
      </c>
    </row>
    <row r="910" customFormat="false" ht="15.75" hidden="false" customHeight="false" outlineLevel="0" collapsed="false">
      <c r="A910" s="2" t="n">
        <v>240719</v>
      </c>
      <c r="B910" s="2" t="s">
        <v>788</v>
      </c>
      <c r="C910" s="2" t="n">
        <v>2</v>
      </c>
      <c r="D910" s="2" t="n">
        <v>1</v>
      </c>
      <c r="E910" s="2" t="n">
        <v>1</v>
      </c>
      <c r="F910" s="2" t="n">
        <v>42</v>
      </c>
      <c r="G910" s="2" t="s">
        <v>435</v>
      </c>
      <c r="H910" s="2" t="str">
        <f aca="false">IFERROR(__xludf.dummyfunction("IF(I921="""", """", REGEXEXTRACT(I921, ""Padrao/([^/]+)""))"),"Jardim Jose Wilson Toni")</f>
        <v>Jardim Jose Wilson Toni</v>
      </c>
    </row>
    <row r="911" customFormat="false" ht="15.75" hidden="false" customHeight="false" outlineLevel="0" collapsed="false">
      <c r="A911" s="2" t="n">
        <v>240389</v>
      </c>
      <c r="B911" s="2" t="s">
        <v>361</v>
      </c>
      <c r="C911" s="2" t="n">
        <v>2</v>
      </c>
      <c r="D911" s="2" t="n">
        <v>1</v>
      </c>
      <c r="E911" s="2" t="n">
        <v>1</v>
      </c>
      <c r="F911" s="2" t="n">
        <v>42</v>
      </c>
      <c r="G911" s="2" t="s">
        <v>435</v>
      </c>
      <c r="H911" s="2" t="str">
        <f aca="false">IFERROR(__xludf.dummyfunction("IF(I922="""", """", REGEXEXTRACT(I922, ""Padrao/([^/]+)""))"),"Jardim Jose Wilson Toni")</f>
        <v>Jardim Jose Wilson Toni</v>
      </c>
    </row>
    <row r="912" customFormat="false" ht="15.75" hidden="false" customHeight="false" outlineLevel="0" collapsed="false">
      <c r="A912" s="2" t="n">
        <v>238394</v>
      </c>
      <c r="B912" s="2" t="s">
        <v>768</v>
      </c>
      <c r="C912" s="2" t="n">
        <v>2</v>
      </c>
      <c r="D912" s="2" t="n">
        <v>1</v>
      </c>
      <c r="E912" s="2" t="n">
        <v>1</v>
      </c>
      <c r="F912" s="2" t="n">
        <v>40</v>
      </c>
      <c r="G912" s="2" t="s">
        <v>435</v>
      </c>
      <c r="H912" s="2" t="str">
        <f aca="false">IFERROR(__xludf.dummyfunction("IF(I923="""", """", REGEXEXTRACT(I923, ""Padrao/([^/]+)""))"),"Parque dos Pinus")</f>
        <v>Parque dos Pinus</v>
      </c>
    </row>
    <row r="913" customFormat="false" ht="15.75" hidden="false" customHeight="false" outlineLevel="0" collapsed="false">
      <c r="A913" s="2" t="n">
        <v>237935</v>
      </c>
      <c r="B913" s="2" t="s">
        <v>928</v>
      </c>
      <c r="C913" s="2" t="n">
        <v>2</v>
      </c>
      <c r="D913" s="2" t="n">
        <v>1</v>
      </c>
      <c r="E913" s="2" t="n">
        <v>1</v>
      </c>
      <c r="F913" s="2" t="n">
        <v>42</v>
      </c>
      <c r="G913" s="2" t="s">
        <v>435</v>
      </c>
      <c r="H913" s="2" t="str">
        <f aca="false">IFERROR(__xludf.dummyfunction("IF(I924="""", """", REGEXEXTRACT(I924, ""Padrao/([^/]+)""))"),"Quintino Facci II")</f>
        <v>Quintino Facci II</v>
      </c>
    </row>
    <row r="914" customFormat="false" ht="15.75" hidden="false" customHeight="false" outlineLevel="0" collapsed="false">
      <c r="A914" s="2" t="n">
        <v>237287</v>
      </c>
      <c r="B914" s="2" t="s">
        <v>929</v>
      </c>
      <c r="C914" s="2" t="n">
        <v>2</v>
      </c>
      <c r="D914" s="2" t="n">
        <v>1</v>
      </c>
      <c r="E914" s="2" t="n">
        <v>1</v>
      </c>
      <c r="F914" s="2" t="n">
        <v>42</v>
      </c>
      <c r="G914" s="2" t="s">
        <v>435</v>
      </c>
      <c r="H914" s="2" t="str">
        <f aca="false">IFERROR(__xludf.dummyfunction("IF(I925="""", """", REGEXEXTRACT(I925, ""Padrao/([^/]+)""))"),"Vila Abranches")</f>
        <v>Vila Abranches</v>
      </c>
    </row>
    <row r="915" customFormat="false" ht="15.75" hidden="false" customHeight="false" outlineLevel="0" collapsed="false">
      <c r="A915" s="2" t="n">
        <v>237209</v>
      </c>
      <c r="B915" s="2" t="s">
        <v>930</v>
      </c>
      <c r="C915" s="2" t="n">
        <v>2</v>
      </c>
      <c r="D915" s="2" t="n">
        <v>1</v>
      </c>
      <c r="E915" s="2" t="n">
        <v>1</v>
      </c>
      <c r="F915" s="2" t="n">
        <v>39</v>
      </c>
      <c r="G915" s="2" t="s">
        <v>435</v>
      </c>
      <c r="H915" s="2" t="str">
        <f aca="false">IFERROR(__xludf.dummyfunction("IF(I926="""", """", REGEXEXTRACT(I926, ""Padrao/([^/]+)""))"),"Jardim Florestan Fernandes")</f>
        <v>Jardim Florestan Fernandes</v>
      </c>
    </row>
    <row r="916" customFormat="false" ht="15.75" hidden="false" customHeight="false" outlineLevel="0" collapsed="false">
      <c r="A916" s="2" t="n">
        <v>236645</v>
      </c>
      <c r="B916" s="2" t="s">
        <v>931</v>
      </c>
      <c r="C916" s="2" t="n">
        <v>2</v>
      </c>
      <c r="D916" s="2" t="n">
        <v>1</v>
      </c>
      <c r="E916" s="2" t="n">
        <v>1</v>
      </c>
      <c r="F916" s="2" t="n">
        <v>43</v>
      </c>
      <c r="G916" s="2" t="s">
        <v>435</v>
      </c>
      <c r="H916" s="2" t="str">
        <f aca="false">IFERROR(__xludf.dummyfunction("IF(I927="""", """", REGEXEXTRACT(I927, ""Padrao/([^/]+)""))"),"Condominio Uirapuru")</f>
        <v>Condominio Uirapuru</v>
      </c>
    </row>
    <row r="917" customFormat="false" ht="15.75" hidden="false" customHeight="false" outlineLevel="0" collapsed="false">
      <c r="A917" s="2" t="n">
        <v>235730</v>
      </c>
      <c r="B917" s="2" t="s">
        <v>932</v>
      </c>
      <c r="C917" s="2" t="n">
        <v>2</v>
      </c>
      <c r="D917" s="2" t="n">
        <v>1</v>
      </c>
      <c r="E917" s="2" t="n">
        <v>1</v>
      </c>
      <c r="F917" s="2" t="n">
        <v>49</v>
      </c>
      <c r="G917" s="2" t="s">
        <v>435</v>
      </c>
      <c r="H917" s="2" t="str">
        <f aca="false">IFERROR(__xludf.dummyfunction("IF(I928="""", """", REGEXEXTRACT(I928, ""Padrao/([^/]+)""))"),"Parque Sao Sebastiao")</f>
        <v>Parque Sao Sebastiao</v>
      </c>
    </row>
    <row r="918" customFormat="false" ht="15.75" hidden="false" customHeight="false" outlineLevel="0" collapsed="false">
      <c r="A918" s="2" t="n">
        <v>234191</v>
      </c>
      <c r="B918" s="2" t="s">
        <v>469</v>
      </c>
      <c r="C918" s="2" t="n">
        <v>2</v>
      </c>
      <c r="D918" s="2" t="n">
        <v>1</v>
      </c>
      <c r="E918" s="2" t="n">
        <v>1</v>
      </c>
      <c r="F918" s="2" t="n">
        <v>43</v>
      </c>
      <c r="G918" s="2" t="s">
        <v>435</v>
      </c>
      <c r="H918" s="2" t="str">
        <f aca="false">IFERROR(__xludf.dummyfunction("IF(I929="""", """", REGEXEXTRACT(I929, ""Padrao/([^/]+)""))"),"Valentina Figueiredo")</f>
        <v>Valentina Figueiredo</v>
      </c>
    </row>
    <row r="919" customFormat="false" ht="15.75" hidden="false" customHeight="false" outlineLevel="0" collapsed="false">
      <c r="A919" s="2" t="n">
        <v>232823</v>
      </c>
      <c r="B919" s="2" t="s">
        <v>933</v>
      </c>
      <c r="C919" s="2" t="n">
        <v>2</v>
      </c>
      <c r="D919" s="2" t="n">
        <v>1</v>
      </c>
      <c r="E919" s="2" t="n">
        <v>1</v>
      </c>
      <c r="F919" s="2" t="n">
        <v>42</v>
      </c>
      <c r="G919" s="2" t="s">
        <v>435</v>
      </c>
      <c r="H919" s="2" t="str">
        <f aca="false">IFERROR(__xludf.dummyfunction("IF(I930="""", """", REGEXEXTRACT(I930, ""Padrao/([^/]+)""))"),"Jardim Jose Sampaio Junior")</f>
        <v>Jardim Jose Sampaio Junior</v>
      </c>
    </row>
    <row r="920" customFormat="false" ht="15.75" hidden="false" customHeight="false" outlineLevel="0" collapsed="false">
      <c r="A920" s="2" t="n">
        <v>230705</v>
      </c>
      <c r="B920" s="2" t="s">
        <v>934</v>
      </c>
      <c r="C920" s="2" t="n">
        <v>2</v>
      </c>
      <c r="D920" s="2" t="n">
        <v>1</v>
      </c>
      <c r="E920" s="2" t="n">
        <v>1</v>
      </c>
      <c r="F920" s="2" t="n">
        <v>41</v>
      </c>
      <c r="G920" s="2" t="s">
        <v>435</v>
      </c>
      <c r="H920" s="2" t="str">
        <f aca="false">IFERROR(__xludf.dummyfunction("IF(I931="""", """", REGEXEXTRACT(I931, ""Padrao/([^/]+)""))"),"Reserva Real")</f>
        <v>Reserva Real</v>
      </c>
    </row>
    <row r="921" customFormat="false" ht="15.75" hidden="false" customHeight="false" outlineLevel="0" collapsed="false">
      <c r="A921" s="2" t="n">
        <v>228707</v>
      </c>
      <c r="B921" s="2" t="s">
        <v>935</v>
      </c>
      <c r="C921" s="2" t="n">
        <v>2</v>
      </c>
      <c r="D921" s="2" t="n">
        <v>1</v>
      </c>
      <c r="E921" s="2" t="n">
        <v>1</v>
      </c>
      <c r="F921" s="2" t="n">
        <v>42</v>
      </c>
      <c r="G921" s="2" t="s">
        <v>435</v>
      </c>
      <c r="H921" s="2" t="str">
        <f aca="false">IFERROR(__xludf.dummyfunction("IF(I932="""", """", REGEXEXTRACT(I932, ""Padrao/([^/]+)""))"),"Quintino Facci II")</f>
        <v>Quintino Facci II</v>
      </c>
    </row>
    <row r="922" customFormat="false" ht="15.75" hidden="false" customHeight="false" outlineLevel="0" collapsed="false">
      <c r="A922" s="2" t="n">
        <v>227924</v>
      </c>
      <c r="B922" s="2" t="s">
        <v>936</v>
      </c>
      <c r="C922" s="2" t="n">
        <v>2</v>
      </c>
      <c r="D922" s="2" t="n">
        <v>1</v>
      </c>
      <c r="E922" s="2" t="n">
        <v>1</v>
      </c>
      <c r="F922" s="2" t="n">
        <v>47</v>
      </c>
      <c r="G922" s="2" t="s">
        <v>435</v>
      </c>
      <c r="H922" s="2" t="str">
        <f aca="false">IFERROR(__xludf.dummyfunction("IF(I933="""", """", REGEXEXTRACT(I933, ""Padrao/([^/]+)""))"),"Conjunto Habitacional Jardim das Palmeiras")</f>
        <v>Conjunto Habitacional Jardim das Palmeiras</v>
      </c>
    </row>
    <row r="923" customFormat="false" ht="15.75" hidden="false" customHeight="false" outlineLevel="0" collapsed="false">
      <c r="A923" s="2" t="n">
        <v>227366</v>
      </c>
      <c r="B923" s="2" t="s">
        <v>680</v>
      </c>
      <c r="C923" s="2" t="n">
        <v>2</v>
      </c>
      <c r="D923" s="2" t="n">
        <v>1</v>
      </c>
      <c r="E923" s="2" t="n">
        <v>1</v>
      </c>
      <c r="F923" s="2" t="n">
        <v>42</v>
      </c>
      <c r="G923" s="2" t="s">
        <v>435</v>
      </c>
      <c r="H923" s="2" t="str">
        <f aca="false">IFERROR(__xludf.dummyfunction("IF(I934="""", """", REGEXEXTRACT(I934, ""Padrao/([^/]+)""))"),"Quintino Facci II")</f>
        <v>Quintino Facci II</v>
      </c>
    </row>
    <row r="924" customFormat="false" ht="15.75" hidden="false" customHeight="false" outlineLevel="0" collapsed="false">
      <c r="A924" s="2" t="n">
        <v>226538</v>
      </c>
      <c r="B924" s="2" t="s">
        <v>397</v>
      </c>
      <c r="C924" s="2" t="n">
        <v>2</v>
      </c>
      <c r="D924" s="2" t="n">
        <v>1</v>
      </c>
      <c r="E924" s="2" t="n">
        <v>1</v>
      </c>
      <c r="F924" s="2" t="n">
        <v>48</v>
      </c>
      <c r="G924" s="2" t="s">
        <v>435</v>
      </c>
      <c r="H924" s="2" t="str">
        <f aca="false">IFERROR(__xludf.dummyfunction("IF(I935="""", """", REGEXEXTRACT(I935, ""Padrao/([^/]+)""))"),"Jardim Heitor Rigon")</f>
        <v>Jardim Heitor Rigon</v>
      </c>
    </row>
    <row r="925" customFormat="false" ht="15.75" hidden="false" customHeight="false" outlineLevel="0" collapsed="false">
      <c r="A925" s="2" t="n">
        <v>225848</v>
      </c>
      <c r="B925" s="2" t="s">
        <v>680</v>
      </c>
      <c r="C925" s="2" t="n">
        <v>2</v>
      </c>
      <c r="D925" s="2" t="n">
        <v>1</v>
      </c>
      <c r="E925" s="2" t="n">
        <v>1</v>
      </c>
      <c r="F925" s="2" t="n">
        <v>42</v>
      </c>
      <c r="G925" s="2" t="s">
        <v>435</v>
      </c>
      <c r="H925" s="2" t="str">
        <f aca="false">IFERROR(__xludf.dummyfunction("IF(I936="""", """", REGEXEXTRACT(I936, ""Padrao/([^/]+)""))"),"Quintino Facci II")</f>
        <v>Quintino Facci II</v>
      </c>
    </row>
    <row r="926" customFormat="false" ht="15.75" hidden="false" customHeight="false" outlineLevel="0" collapsed="false">
      <c r="A926" s="2" t="n">
        <v>225215</v>
      </c>
      <c r="B926" s="2" t="s">
        <v>937</v>
      </c>
      <c r="C926" s="2" t="n">
        <v>2</v>
      </c>
      <c r="D926" s="2" t="n">
        <v>1</v>
      </c>
      <c r="E926" s="2" t="n">
        <v>1</v>
      </c>
      <c r="F926" s="2" t="n">
        <v>43</v>
      </c>
      <c r="G926" s="2" t="s">
        <v>435</v>
      </c>
      <c r="H926" s="2" t="str">
        <f aca="false">IFERROR(__xludf.dummyfunction("IF(I937="""", """", REGEXEXTRACT(I937, ""Padrao/([^/]+)""))"),"Chacaras Pedro Correa de Carvalho")</f>
        <v>Chacaras Pedro Correa de Carvalho</v>
      </c>
    </row>
    <row r="927" customFormat="false" ht="15.75" hidden="false" customHeight="false" outlineLevel="0" collapsed="false">
      <c r="A927" s="2" t="n">
        <v>224570</v>
      </c>
      <c r="B927" s="2" t="s">
        <v>726</v>
      </c>
      <c r="C927" s="2" t="n">
        <v>2</v>
      </c>
      <c r="D927" s="2" t="n">
        <v>1</v>
      </c>
      <c r="E927" s="2" t="n">
        <v>1</v>
      </c>
      <c r="F927" s="2" t="n">
        <v>48</v>
      </c>
      <c r="G927" s="2" t="s">
        <v>435</v>
      </c>
      <c r="H927" s="2" t="str">
        <f aca="false">IFERROR(__xludf.dummyfunction("IF(I938="""", """", REGEXEXTRACT(I938, ""Padrao/([^/]+)""))"),"Quintino Facci II")</f>
        <v>Quintino Facci II</v>
      </c>
    </row>
    <row r="928" customFormat="false" ht="15.75" hidden="false" customHeight="false" outlineLevel="0" collapsed="false">
      <c r="A928" s="2" t="n">
        <v>221891</v>
      </c>
      <c r="B928" s="2" t="s">
        <v>938</v>
      </c>
      <c r="C928" s="2" t="n">
        <v>2</v>
      </c>
      <c r="D928" s="2" t="n">
        <v>1</v>
      </c>
      <c r="E928" s="2" t="n">
        <v>1</v>
      </c>
      <c r="F928" s="2" t="n">
        <v>43</v>
      </c>
      <c r="G928" s="2" t="s">
        <v>435</v>
      </c>
      <c r="H928" s="2" t="str">
        <f aca="false">IFERROR(__xludf.dummyfunction("IF(I939="""", """", REGEXEXTRACT(I939, ""Padrao/([^/]+)""))"),"Residencial Parque dos Servidores")</f>
        <v>Residencial Parque dos Servidores</v>
      </c>
    </row>
    <row r="929" customFormat="false" ht="15.75" hidden="false" customHeight="false" outlineLevel="0" collapsed="false">
      <c r="A929" s="2" t="n">
        <v>221204</v>
      </c>
      <c r="B929" s="2" t="s">
        <v>939</v>
      </c>
      <c r="C929" s="2" t="n">
        <v>2</v>
      </c>
      <c r="D929" s="2" t="n">
        <v>1</v>
      </c>
      <c r="E929" s="2" t="n">
        <v>1</v>
      </c>
      <c r="F929" s="2" t="n">
        <v>43</v>
      </c>
      <c r="G929" s="2" t="s">
        <v>435</v>
      </c>
      <c r="H929" s="2" t="str">
        <f aca="false">IFERROR(__xludf.dummyfunction("IF(I940="""", """", REGEXEXTRACT(I940, ""Padrao/([^/]+)""))"),"Jardim Diva Tarla de Carvalho")</f>
        <v>Jardim Diva Tarla de Carvalho</v>
      </c>
    </row>
    <row r="930" customFormat="false" ht="15.75" hidden="false" customHeight="false" outlineLevel="0" collapsed="false">
      <c r="A930" s="2" t="n">
        <v>220613</v>
      </c>
      <c r="B930" s="2" t="s">
        <v>940</v>
      </c>
      <c r="C930" s="2" t="n">
        <v>2</v>
      </c>
      <c r="D930" s="2" t="n">
        <v>1</v>
      </c>
      <c r="E930" s="2" t="n">
        <v>1</v>
      </c>
      <c r="F930" s="2" t="n">
        <v>46</v>
      </c>
      <c r="G930" s="2" t="s">
        <v>435</v>
      </c>
      <c r="H930" s="2" t="str">
        <f aca="false">IFERROR(__xludf.dummyfunction("IF(I941="""", """", REGEXEXTRACT(I941, ""Padrao/([^/]+)""))"),"Jardim Itau")</f>
        <v>Jardim Itau</v>
      </c>
    </row>
    <row r="931" customFormat="false" ht="15.75" hidden="false" customHeight="false" outlineLevel="0" collapsed="false">
      <c r="A931" s="2" t="n">
        <v>219599</v>
      </c>
      <c r="B931" s="2" t="s">
        <v>433</v>
      </c>
      <c r="C931" s="2" t="n">
        <v>2</v>
      </c>
      <c r="D931" s="2" t="n">
        <v>1</v>
      </c>
      <c r="E931" s="2" t="n">
        <v>1</v>
      </c>
      <c r="F931" s="2" t="n">
        <v>41</v>
      </c>
      <c r="G931" s="2" t="s">
        <v>435</v>
      </c>
      <c r="H931" s="2" t="str">
        <f aca="false">IFERROR(__xludf.dummyfunction("IF(I942="""", """", REGEXEXTRACT(I942, ""Padrao/([^/]+)""))"),"Reserva Real")</f>
        <v>Reserva Real</v>
      </c>
    </row>
    <row r="932" customFormat="false" ht="15.75" hidden="false" customHeight="false" outlineLevel="0" collapsed="false">
      <c r="A932" s="2" t="n">
        <v>219362</v>
      </c>
      <c r="B932" s="2" t="s">
        <v>706</v>
      </c>
      <c r="C932" s="2" t="n">
        <v>2</v>
      </c>
      <c r="D932" s="2" t="n">
        <v>1</v>
      </c>
      <c r="E932" s="2" t="n">
        <v>1</v>
      </c>
      <c r="F932" s="2" t="n">
        <v>55</v>
      </c>
      <c r="G932" s="2" t="s">
        <v>435</v>
      </c>
      <c r="H932" s="2" t="str">
        <f aca="false">IFERROR(__xludf.dummyfunction("IF(I943="""", """", REGEXEXTRACT(I943, ""Padrao/([^/]+)""))"),"Vila Virginia")</f>
        <v>Vila Virginia</v>
      </c>
    </row>
    <row r="933" customFormat="false" ht="15.75" hidden="false" customHeight="false" outlineLevel="0" collapsed="false">
      <c r="A933" s="2" t="n">
        <v>212864</v>
      </c>
      <c r="B933" s="2" t="s">
        <v>941</v>
      </c>
      <c r="C933" s="2" t="n">
        <v>2</v>
      </c>
      <c r="D933" s="2" t="n">
        <v>1</v>
      </c>
      <c r="E933" s="2" t="n">
        <v>1</v>
      </c>
      <c r="F933" s="2" t="n">
        <v>45</v>
      </c>
      <c r="G933" s="2" t="s">
        <v>435</v>
      </c>
      <c r="H933" s="2" t="str">
        <f aca="false">IFERROR(__xludf.dummyfunction("IF(I944="""", """", REGEXEXTRACT(I944, ""Padrao/([^/]+)""))"),"Jardim Manoel Penna")</f>
        <v>Jardim Manoel Penna</v>
      </c>
    </row>
    <row r="934" customFormat="false" ht="15.75" hidden="false" customHeight="false" outlineLevel="0" collapsed="false">
      <c r="A934" s="2" t="n">
        <v>204101</v>
      </c>
      <c r="B934" s="2" t="s">
        <v>942</v>
      </c>
      <c r="C934" s="2" t="n">
        <v>2</v>
      </c>
      <c r="D934" s="2" t="n">
        <v>1</v>
      </c>
      <c r="E934" s="2" t="n">
        <v>1</v>
      </c>
      <c r="F934" s="2" t="n">
        <v>42</v>
      </c>
      <c r="G934" s="2" t="s">
        <v>435</v>
      </c>
      <c r="H934" s="2" t="str">
        <f aca="false">IFERROR(__xludf.dummyfunction("IF(I945="""", """", REGEXEXTRACT(I945, ""Padrao/([^/]+)""))"),"Recanto das Palmeiras")</f>
        <v>Recanto das Palmeiras</v>
      </c>
    </row>
    <row r="935" customFormat="false" ht="15.75" hidden="false" customHeight="false" outlineLevel="0" collapsed="false">
      <c r="A935" s="2" t="n">
        <v>203585</v>
      </c>
      <c r="B935" s="2" t="s">
        <v>943</v>
      </c>
      <c r="C935" s="2" t="n">
        <v>2</v>
      </c>
      <c r="D935" s="2" t="n">
        <v>1</v>
      </c>
      <c r="E935" s="2" t="n">
        <v>1</v>
      </c>
      <c r="F935" s="2" t="n">
        <v>42</v>
      </c>
      <c r="G935" s="2" t="s">
        <v>435</v>
      </c>
      <c r="H935" s="2" t="str">
        <f aca="false">IFERROR(__xludf.dummyfunction("IF(I946="""", """", REGEXEXTRACT(I946, ""Padrao/([^/]+)""))"),"Recanto das Palmeiras")</f>
        <v>Recanto das Palmeiras</v>
      </c>
    </row>
    <row r="936" customFormat="false" ht="15.75" hidden="false" customHeight="false" outlineLevel="0" collapsed="false">
      <c r="A936" s="2" t="n">
        <v>203042</v>
      </c>
      <c r="B936" s="2" t="s">
        <v>944</v>
      </c>
      <c r="C936" s="2" t="n">
        <v>2</v>
      </c>
      <c r="D936" s="2" t="n">
        <v>1</v>
      </c>
      <c r="E936" s="2" t="n">
        <v>1</v>
      </c>
      <c r="F936" s="2" t="n">
        <v>42</v>
      </c>
      <c r="G936" s="2" t="s">
        <v>435</v>
      </c>
      <c r="H936" s="2" t="str">
        <f aca="false">IFERROR(__xludf.dummyfunction("IF(I947="""", """", REGEXEXTRACT(I947, ""Padrao/([^/]+)""))"),"Quintino Facci II")</f>
        <v>Quintino Facci II</v>
      </c>
    </row>
    <row r="937" customFormat="false" ht="15.75" hidden="false" customHeight="false" outlineLevel="0" collapsed="false">
      <c r="A937" s="2" t="n">
        <v>200309</v>
      </c>
      <c r="B937" s="2" t="s">
        <v>945</v>
      </c>
      <c r="C937" s="2" t="n">
        <v>2</v>
      </c>
      <c r="D937" s="2" t="n">
        <v>1</v>
      </c>
      <c r="E937" s="2" t="n">
        <v>1</v>
      </c>
      <c r="F937" s="2" t="n">
        <v>42</v>
      </c>
      <c r="G937" s="2" t="s">
        <v>435</v>
      </c>
      <c r="H937" s="2" t="str">
        <f aca="false">IFERROR(__xludf.dummyfunction("IF(I948="""", """", REGEXEXTRACT(I948, ""Padrao/([^/]+)""))"),"Jardim Zara")</f>
        <v>Jardim Zara</v>
      </c>
    </row>
    <row r="938" customFormat="false" ht="15.75" hidden="false" customHeight="false" outlineLevel="0" collapsed="false">
      <c r="A938" s="2" t="n">
        <v>196655</v>
      </c>
      <c r="B938" s="2" t="s">
        <v>605</v>
      </c>
      <c r="C938" s="2" t="n">
        <v>2</v>
      </c>
      <c r="D938" s="2" t="n">
        <v>1</v>
      </c>
      <c r="E938" s="2" t="n">
        <v>1</v>
      </c>
      <c r="F938" s="2" t="n">
        <v>42</v>
      </c>
      <c r="G938" s="2" t="s">
        <v>435</v>
      </c>
      <c r="H938" s="2" t="str">
        <f aca="false">IFERROR(__xludf.dummyfunction("IF(I949="""", """", REGEXEXTRACT(I949, ""Padrao/([^/]+)""))"),"Campos Eliseos")</f>
        <v>Campos Eliseos</v>
      </c>
    </row>
    <row r="939" customFormat="false" ht="15.75" hidden="false" customHeight="false" outlineLevel="0" collapsed="false">
      <c r="A939" s="2" t="n">
        <v>196601</v>
      </c>
      <c r="B939" s="2" t="s">
        <v>946</v>
      </c>
      <c r="C939" s="2" t="n">
        <v>2</v>
      </c>
      <c r="D939" s="2" t="n">
        <v>1</v>
      </c>
      <c r="E939" s="2" t="n">
        <v>1</v>
      </c>
      <c r="F939" s="2" t="n">
        <v>43</v>
      </c>
      <c r="G939" s="2" t="s">
        <v>435</v>
      </c>
      <c r="H939" s="2" t="str">
        <f aca="false">IFERROR(__xludf.dummyfunction("IF(I950="""", """", REGEXEXTRACT(I950, ""Padrao/([^/]+)""))"),"Valentina Figueiredo")</f>
        <v>Valentina Figueiredo</v>
      </c>
    </row>
    <row r="940" customFormat="false" ht="15.75" hidden="false" customHeight="false" outlineLevel="0" collapsed="false">
      <c r="A940" s="2" t="n">
        <v>195791</v>
      </c>
      <c r="B940" s="2" t="s">
        <v>947</v>
      </c>
      <c r="C940" s="2" t="n">
        <v>2</v>
      </c>
      <c r="D940" s="2" t="n">
        <v>1</v>
      </c>
      <c r="E940" s="2" t="n">
        <v>1</v>
      </c>
      <c r="F940" s="2" t="n">
        <v>46</v>
      </c>
      <c r="G940" s="2" t="s">
        <v>435</v>
      </c>
      <c r="H940" s="2" t="str">
        <f aca="false">IFERROR(__xludf.dummyfunction("IF(I951="""", """", REGEXEXTRACT(I951, ""Padrao/([^/]+)""))"),"Ribeirania")</f>
        <v>Ribeirania</v>
      </c>
    </row>
    <row r="941" customFormat="false" ht="15.75" hidden="false" customHeight="false" outlineLevel="0" collapsed="false">
      <c r="A941" s="2" t="n">
        <v>195038</v>
      </c>
      <c r="B941" s="2" t="s">
        <v>948</v>
      </c>
      <c r="C941" s="2" t="n">
        <v>2</v>
      </c>
      <c r="D941" s="2" t="n">
        <v>1</v>
      </c>
      <c r="E941" s="2" t="n">
        <v>1</v>
      </c>
      <c r="F941" s="2" t="n">
        <v>75</v>
      </c>
      <c r="G941" s="2" t="s">
        <v>435</v>
      </c>
      <c r="H941" s="2" t="str">
        <f aca="false">IFERROR(__xludf.dummyfunction("IF(I952="""", """", REGEXEXTRACT(I952, ""Padrao/([^/]+)""))"),"Conjunto Habitacional Silvio Passalacqua")</f>
        <v>Conjunto Habitacional Silvio Passalacqua</v>
      </c>
    </row>
    <row r="942" customFormat="false" ht="15.75" hidden="false" customHeight="false" outlineLevel="0" collapsed="false">
      <c r="A942" s="2" t="n">
        <v>194423</v>
      </c>
      <c r="B942" s="2" t="s">
        <v>949</v>
      </c>
      <c r="C942" s="2" t="n">
        <v>2</v>
      </c>
      <c r="D942" s="2" t="n">
        <v>1</v>
      </c>
      <c r="E942" s="2" t="n">
        <v>1</v>
      </c>
      <c r="F942" s="2" t="n">
        <v>48</v>
      </c>
      <c r="G942" s="2" t="s">
        <v>435</v>
      </c>
      <c r="H942" s="2" t="str">
        <f aca="false">IFERROR(__xludf.dummyfunction("IF(I953="""", """", REGEXEXTRACT(I953, ""Padrao/([^/]+)""))"),"Residencial Jequitiba")</f>
        <v>Residencial Jequitiba</v>
      </c>
    </row>
    <row r="943" customFormat="false" ht="15.75" hidden="false" customHeight="false" outlineLevel="0" collapsed="false">
      <c r="A943" s="2" t="n">
        <v>191036</v>
      </c>
      <c r="B943" s="2" t="s">
        <v>851</v>
      </c>
      <c r="C943" s="2" t="n">
        <v>2</v>
      </c>
      <c r="D943" s="2" t="n">
        <v>1</v>
      </c>
      <c r="E943" s="2" t="n">
        <v>1</v>
      </c>
      <c r="F943" s="2" t="n">
        <v>46</v>
      </c>
      <c r="G943" s="2" t="s">
        <v>435</v>
      </c>
      <c r="H943" s="2" t="str">
        <f aca="false">IFERROR(__xludf.dummyfunction("IF(I954="""", """", REGEXEXTRACT(I954, ""Padrao/([^/]+)""))"),"Residencial das Americas")</f>
        <v>Residencial das Americas</v>
      </c>
    </row>
    <row r="944" customFormat="false" ht="15.75" hidden="false" customHeight="false" outlineLevel="0" collapsed="false">
      <c r="A944" s="2" t="n">
        <v>190778</v>
      </c>
      <c r="B944" s="2" t="s">
        <v>950</v>
      </c>
      <c r="C944" s="2" t="n">
        <v>2</v>
      </c>
      <c r="D944" s="2" t="n">
        <v>1</v>
      </c>
      <c r="E944" s="2" t="n">
        <v>1</v>
      </c>
      <c r="F944" s="2" t="n">
        <v>44</v>
      </c>
      <c r="G944" s="2" t="s">
        <v>435</v>
      </c>
      <c r="H944" s="2" t="str">
        <f aca="false">IFERROR(__xludf.dummyfunction("IF(I955="""", """", REGEXEXTRACT(I955, ""Padrao/([^/]+)""))"),"Residencial Greenville")</f>
        <v>Residencial Greenville</v>
      </c>
    </row>
    <row r="945" customFormat="false" ht="15.75" hidden="false" customHeight="false" outlineLevel="0" collapsed="false">
      <c r="A945" s="2" t="n">
        <v>189842</v>
      </c>
      <c r="B945" s="2" t="s">
        <v>951</v>
      </c>
      <c r="C945" s="2" t="n">
        <v>2</v>
      </c>
      <c r="D945" s="2" t="n">
        <v>1</v>
      </c>
      <c r="E945" s="2" t="n">
        <v>1</v>
      </c>
      <c r="F945" s="2" t="n">
        <v>40</v>
      </c>
      <c r="G945" s="2" t="s">
        <v>435</v>
      </c>
      <c r="H945" s="2" t="str">
        <f aca="false">IFERROR(__xludf.dummyfunction("IF(I956="""", """", REGEXEXTRACT(I956, ""Padrao/([^/]+)""))"),"Jardim Ouro Branco")</f>
        <v>Jardim Ouro Branco</v>
      </c>
    </row>
    <row r="946" customFormat="false" ht="15.75" hidden="false" customHeight="false" outlineLevel="0" collapsed="false">
      <c r="A946" s="2" t="n">
        <v>187736</v>
      </c>
      <c r="B946" s="2" t="s">
        <v>952</v>
      </c>
      <c r="C946" s="2" t="n">
        <v>2</v>
      </c>
      <c r="D946" s="2" t="n">
        <v>1</v>
      </c>
      <c r="E946" s="2" t="n">
        <v>2</v>
      </c>
      <c r="F946" s="2" t="n">
        <v>56</v>
      </c>
      <c r="G946" s="2" t="s">
        <v>435</v>
      </c>
      <c r="H946" s="2" t="str">
        <f aca="false">IFERROR(__xludf.dummyfunction("IF(I957="""", """", REGEXEXTRACT(I957, ""Padrao/([^/]+)""))"),"Residencial Parque dos Servidores")</f>
        <v>Residencial Parque dos Servidores</v>
      </c>
    </row>
    <row r="947" customFormat="false" ht="15.75" hidden="false" customHeight="false" outlineLevel="0" collapsed="false">
      <c r="A947" s="2" t="n">
        <v>187358</v>
      </c>
      <c r="B947" s="2" t="s">
        <v>835</v>
      </c>
      <c r="C947" s="2" t="n">
        <v>2</v>
      </c>
      <c r="D947" s="2" t="n">
        <v>1</v>
      </c>
      <c r="E947" s="2" t="n">
        <v>1</v>
      </c>
      <c r="F947" s="2" t="n">
        <v>52</v>
      </c>
      <c r="G947" s="2" t="s">
        <v>435</v>
      </c>
      <c r="H947" s="2" t="str">
        <f aca="false">IFERROR(__xludf.dummyfunction("IF(I958="""", """", REGEXEXTRACT(I958, ""Padrao/([^/]+)""))"),"Jardim Palma Travassos")</f>
        <v>Jardim Palma Travassos</v>
      </c>
    </row>
    <row r="948" customFormat="false" ht="15.75" hidden="false" customHeight="false" outlineLevel="0" collapsed="false">
      <c r="A948" s="2" t="n">
        <v>187346</v>
      </c>
      <c r="B948" s="2" t="s">
        <v>953</v>
      </c>
      <c r="C948" s="2" t="n">
        <v>2</v>
      </c>
      <c r="D948" s="2" t="n">
        <v>1</v>
      </c>
      <c r="E948" s="2" t="n">
        <v>1</v>
      </c>
      <c r="F948" s="2" t="n">
        <v>42</v>
      </c>
      <c r="G948" s="2" t="s">
        <v>435</v>
      </c>
      <c r="H948" s="2" t="str">
        <f aca="false">IFERROR(__xludf.dummyfunction("IF(I959="""", """", REGEXEXTRACT(I959, ""Padrao/([^/]+)""))"),"Jardim Zara")</f>
        <v>Jardim Zara</v>
      </c>
    </row>
    <row r="949" customFormat="false" ht="15.75" hidden="false" customHeight="false" outlineLevel="0" collapsed="false">
      <c r="A949" s="2" t="n">
        <v>185033</v>
      </c>
      <c r="B949" s="2" t="s">
        <v>954</v>
      </c>
      <c r="C949" s="2" t="n">
        <v>2</v>
      </c>
      <c r="D949" s="2" t="n">
        <v>1</v>
      </c>
      <c r="E949" s="2" t="n">
        <v>1</v>
      </c>
      <c r="F949" s="2" t="n">
        <v>42</v>
      </c>
      <c r="G949" s="2" t="s">
        <v>435</v>
      </c>
      <c r="H949" s="2" t="str">
        <f aca="false">IFERROR(__xludf.dummyfunction("IF(I960="""", """", REGEXEXTRACT(I960, ""Padrao/([^/]+)""))"),"Vila Virginia")</f>
        <v>Vila Virginia</v>
      </c>
    </row>
    <row r="950" customFormat="false" ht="15.75" hidden="false" customHeight="false" outlineLevel="0" collapsed="false">
      <c r="A950" s="2" t="n">
        <v>184451</v>
      </c>
      <c r="B950" s="2" t="s">
        <v>444</v>
      </c>
      <c r="C950" s="2" t="n">
        <v>2</v>
      </c>
      <c r="D950" s="2" t="n">
        <v>1</v>
      </c>
      <c r="E950" s="2" t="n">
        <v>1</v>
      </c>
      <c r="F950" s="2" t="n">
        <v>42</v>
      </c>
      <c r="G950" s="2" t="s">
        <v>435</v>
      </c>
      <c r="H950" s="2" t="str">
        <f aca="false">IFERROR(__xludf.dummyfunction("IF(I961="""", """", REGEXEXTRACT(I961, ""Padrao/([^/]+)""))"),"Valentina Figueiredo")</f>
        <v>Valentina Figueiredo</v>
      </c>
    </row>
    <row r="951" customFormat="false" ht="15.75" hidden="false" customHeight="false" outlineLevel="0" collapsed="false">
      <c r="A951" s="2" t="n">
        <v>178997</v>
      </c>
      <c r="B951" s="2" t="s">
        <v>955</v>
      </c>
      <c r="C951" s="2" t="n">
        <v>1</v>
      </c>
      <c r="D951" s="2" t="n">
        <v>1</v>
      </c>
      <c r="E951" s="2" t="n">
        <v>1</v>
      </c>
      <c r="F951" s="2" t="n">
        <v>34</v>
      </c>
      <c r="G951" s="2" t="s">
        <v>435</v>
      </c>
      <c r="H951" s="2" t="str">
        <f aca="false">IFERROR(__xludf.dummyfunction("IF(I962="""", """", REGEXEXTRACT(I962, ""Padrao/([^/]+)""))"),"Vila Monte Alegre")</f>
        <v>Vila Monte Alegre</v>
      </c>
    </row>
    <row r="952" customFormat="false" ht="15.75" hidden="false" customHeight="false" outlineLevel="0" collapsed="false">
      <c r="A952" s="2" t="n">
        <v>178259</v>
      </c>
      <c r="B952" s="2" t="s">
        <v>956</v>
      </c>
      <c r="C952" s="2" t="n">
        <v>2</v>
      </c>
      <c r="D952" s="2" t="n">
        <v>1</v>
      </c>
      <c r="E952" s="2" t="n">
        <v>1</v>
      </c>
      <c r="F952" s="2" t="n">
        <v>47</v>
      </c>
      <c r="G952" s="2" t="s">
        <v>435</v>
      </c>
      <c r="H952" s="2" t="str">
        <f aca="false">IFERROR(__xludf.dummyfunction("IF(I963="""", """", REGEXEXTRACT(I963, ""Padrao/([^/]+)""))"),"Residencial das Americas")</f>
        <v>Residencial das Americas</v>
      </c>
    </row>
    <row r="953" customFormat="false" ht="15.75" hidden="false" customHeight="false" outlineLevel="0" collapsed="false">
      <c r="A953" s="2" t="n">
        <v>178064</v>
      </c>
      <c r="B953" s="2" t="s">
        <v>957</v>
      </c>
      <c r="C953" s="2" t="n">
        <v>1</v>
      </c>
      <c r="D953" s="2" t="n">
        <v>1</v>
      </c>
      <c r="E953" s="2" t="n">
        <v>1</v>
      </c>
      <c r="F953" s="2" t="n">
        <v>32</v>
      </c>
      <c r="G953" s="2" t="s">
        <v>435</v>
      </c>
      <c r="H953" s="2" t="str">
        <f aca="false">IFERROR(__xludf.dummyfunction("IF(I964="""", """", REGEXEXTRACT(I964, ""Padrao/([^/]+)""))"),"Parque Anhanguera")</f>
        <v>Parque Anhanguera</v>
      </c>
    </row>
    <row r="954" customFormat="false" ht="15.75" hidden="false" customHeight="false" outlineLevel="0" collapsed="false">
      <c r="A954" s="2" t="n">
        <v>176813</v>
      </c>
      <c r="B954" s="2" t="s">
        <v>958</v>
      </c>
      <c r="C954" s="2" t="n">
        <v>1</v>
      </c>
      <c r="D954" s="2" t="n">
        <v>2</v>
      </c>
      <c r="E954" s="2" t="n">
        <v>1</v>
      </c>
      <c r="F954" s="2" t="n">
        <v>32</v>
      </c>
      <c r="G954" s="2" t="s">
        <v>435</v>
      </c>
      <c r="H954" s="2" t="str">
        <f aca="false">IFERROR(__xludf.dummyfunction("IF(I965="""", """", REGEXEXTRACT(I965, ""Padrao/([^/]+)""))"),"Parque Industrial Lagoinha")</f>
        <v>Parque Industrial Lagoinha</v>
      </c>
    </row>
    <row r="955" customFormat="false" ht="15.75" hidden="false" customHeight="false" outlineLevel="0" collapsed="false">
      <c r="A955" s="2" t="n">
        <v>174989</v>
      </c>
      <c r="B955" s="2" t="s">
        <v>959</v>
      </c>
      <c r="C955" s="2" t="n">
        <v>1</v>
      </c>
      <c r="D955" s="2" t="n">
        <v>1</v>
      </c>
      <c r="E955" s="2" t="n">
        <v>1</v>
      </c>
      <c r="F955" s="2" t="n">
        <v>41</v>
      </c>
      <c r="G955" s="2" t="s">
        <v>435</v>
      </c>
      <c r="H955" s="2" t="str">
        <f aca="false">IFERROR(__xludf.dummyfunction("IF(I966="""", """", REGEXEXTRACT(I966, ""Padrao/([^/]+)""))"),"Jardim Paulista")</f>
        <v>Jardim Paulista</v>
      </c>
    </row>
    <row r="956" customFormat="false" ht="15.75" hidden="false" customHeight="false" outlineLevel="0" collapsed="false">
      <c r="A956" s="2" t="n">
        <v>174977</v>
      </c>
      <c r="B956" s="2" t="s">
        <v>960</v>
      </c>
      <c r="C956" s="2" t="n">
        <v>2</v>
      </c>
      <c r="D956" s="2" t="n">
        <v>1</v>
      </c>
      <c r="E956" s="2" t="n">
        <v>1</v>
      </c>
      <c r="F956" s="2" t="n">
        <v>46</v>
      </c>
      <c r="G956" s="2" t="s">
        <v>435</v>
      </c>
      <c r="H956" s="2" t="str">
        <f aca="false">IFERROR(__xludf.dummyfunction("IF(I967="""", """", REGEXEXTRACT(I967, ""Padrao/([^/]+)""))"),"Ipiranga")</f>
        <v>Ipiranga</v>
      </c>
    </row>
    <row r="957" customFormat="false" ht="15.75" hidden="false" customHeight="false" outlineLevel="0" collapsed="false">
      <c r="A957" s="2" t="n">
        <v>171905</v>
      </c>
      <c r="B957" s="2" t="s">
        <v>961</v>
      </c>
      <c r="C957" s="2" t="n">
        <v>1</v>
      </c>
      <c r="D957" s="2" t="n">
        <v>1</v>
      </c>
      <c r="E957" s="2" t="n">
        <v>1</v>
      </c>
      <c r="F957" s="2" t="n">
        <v>34</v>
      </c>
      <c r="G957" s="2" t="s">
        <v>435</v>
      </c>
      <c r="H957" s="2" t="str">
        <f aca="false">IFERROR(__xludf.dummyfunction("IF(I968="""", """", REGEXEXTRACT(I968, ""Padrao/([^/]+)""))"),"Vila Seixas")</f>
        <v>Vila Seixas</v>
      </c>
    </row>
    <row r="958" customFormat="false" ht="15.75" hidden="false" customHeight="false" outlineLevel="0" collapsed="false">
      <c r="A958" s="2" t="n">
        <v>171179</v>
      </c>
      <c r="B958" s="2" t="s">
        <v>378</v>
      </c>
      <c r="C958" s="2" t="n">
        <v>2</v>
      </c>
      <c r="D958" s="2" t="n">
        <v>1</v>
      </c>
      <c r="E958" s="2" t="n">
        <v>1</v>
      </c>
      <c r="F958" s="2" t="n">
        <v>41</v>
      </c>
      <c r="G958" s="2" t="s">
        <v>435</v>
      </c>
      <c r="H958" s="2" t="str">
        <f aca="false">IFERROR(__xludf.dummyfunction("IF(I969="""", """", REGEXEXTRACT(I969, ""Padrao/([^/]+)""))"),"Jardim Joao Rossi")</f>
        <v>Jardim Joao Rossi</v>
      </c>
    </row>
    <row r="959" customFormat="false" ht="15.75" hidden="false" customHeight="false" outlineLevel="0" collapsed="false">
      <c r="A959" s="2" t="n">
        <v>169862</v>
      </c>
      <c r="B959" s="2" t="s">
        <v>962</v>
      </c>
      <c r="C959" s="2" t="n">
        <v>2</v>
      </c>
      <c r="D959" s="2" t="n">
        <v>1</v>
      </c>
      <c r="E959" s="2" t="n">
        <v>1</v>
      </c>
      <c r="F959" s="2" t="n">
        <v>43</v>
      </c>
      <c r="G959" s="2" t="s">
        <v>435</v>
      </c>
      <c r="H959" s="2" t="str">
        <f aca="false">IFERROR(__xludf.dummyfunction("IF(I970="""", """", REGEXEXTRACT(I970, ""Padrao/([^/]+)""))"),"Jardim Interlagos")</f>
        <v>Jardim Interlagos</v>
      </c>
    </row>
    <row r="960" customFormat="false" ht="15.75" hidden="false" customHeight="false" outlineLevel="0" collapsed="false">
      <c r="A960" s="2" t="n">
        <v>168989</v>
      </c>
      <c r="B960" s="2" t="s">
        <v>963</v>
      </c>
      <c r="C960" s="2" t="n">
        <v>1</v>
      </c>
      <c r="D960" s="2" t="n">
        <v>1</v>
      </c>
      <c r="E960" s="2" t="n">
        <v>1</v>
      </c>
      <c r="F960" s="2" t="n">
        <v>49</v>
      </c>
      <c r="G960" s="2" t="s">
        <v>435</v>
      </c>
      <c r="H960" s="2" t="str">
        <f aca="false">IFERROR(__xludf.dummyfunction("IF(I971="""", """", REGEXEXTRACT(I971, ""Padrao/([^/]+)""))"),"Jardim Macedo")</f>
        <v>Jardim Macedo</v>
      </c>
    </row>
    <row r="961" customFormat="false" ht="15.75" hidden="false" customHeight="false" outlineLevel="0" collapsed="false">
      <c r="A961" s="2" t="n">
        <v>166571</v>
      </c>
      <c r="B961" s="2" t="s">
        <v>962</v>
      </c>
      <c r="C961" s="2" t="n">
        <v>2</v>
      </c>
      <c r="D961" s="2" t="n">
        <v>1</v>
      </c>
      <c r="E961" s="2" t="n">
        <v>1</v>
      </c>
      <c r="F961" s="2" t="n">
        <v>43</v>
      </c>
      <c r="G961" s="2" t="s">
        <v>435</v>
      </c>
      <c r="H961" s="2" t="str">
        <f aca="false">IFERROR(__xludf.dummyfunction("IF(I972="""", """", REGEXEXTRACT(I972, ""Padrao/([^/]+)""))"),"Jardim Interlagos")</f>
        <v>Jardim Interlagos</v>
      </c>
    </row>
    <row r="962" customFormat="false" ht="15.75" hidden="false" customHeight="false" outlineLevel="0" collapsed="false">
      <c r="A962" s="2" t="n">
        <v>166106</v>
      </c>
      <c r="B962" s="2" t="s">
        <v>964</v>
      </c>
      <c r="C962" s="2" t="n">
        <v>2</v>
      </c>
      <c r="D962" s="2" t="n">
        <v>1</v>
      </c>
      <c r="E962" s="2" t="n">
        <v>1</v>
      </c>
      <c r="F962" s="2" t="n">
        <v>42</v>
      </c>
      <c r="G962" s="2" t="s">
        <v>435</v>
      </c>
      <c r="H962" s="2" t="str">
        <f aca="false">IFERROR(__xludf.dummyfunction("IF(I973="""", """", REGEXEXTRACT(I973, ""Padrao/([^/]+)""))"),"Jardim Heitor Rigon")</f>
        <v>Jardim Heitor Rigon</v>
      </c>
    </row>
    <row r="963" customFormat="false" ht="15.75" hidden="false" customHeight="false" outlineLevel="0" collapsed="false">
      <c r="A963" s="2" t="n">
        <v>165194</v>
      </c>
      <c r="B963" s="2" t="s">
        <v>965</v>
      </c>
      <c r="C963" s="2" t="n">
        <v>2</v>
      </c>
      <c r="D963" s="2" t="n">
        <v>1</v>
      </c>
      <c r="E963" s="2" t="n">
        <v>1</v>
      </c>
      <c r="F963" s="2" t="n">
        <v>42</v>
      </c>
      <c r="G963" s="2" t="s">
        <v>435</v>
      </c>
      <c r="H963" s="2" t="str">
        <f aca="false">IFERROR(__xludf.dummyfunction("IF(I974="""", """", REGEXEXTRACT(I974, ""Padrao/([^/]+)""))"),"Campos Eliseos")</f>
        <v>Campos Eliseos</v>
      </c>
    </row>
    <row r="964" customFormat="false" ht="15.75" hidden="false" customHeight="false" outlineLevel="0" collapsed="false">
      <c r="A964" s="2" t="n">
        <v>164783</v>
      </c>
      <c r="B964" s="2" t="s">
        <v>966</v>
      </c>
      <c r="C964" s="2" t="n">
        <v>2</v>
      </c>
      <c r="D964" s="2" t="n">
        <v>1</v>
      </c>
      <c r="E964" s="2" t="n">
        <v>1</v>
      </c>
      <c r="F964" s="2" t="n">
        <v>46</v>
      </c>
      <c r="G964" s="2" t="s">
        <v>435</v>
      </c>
      <c r="H964" s="2" t="str">
        <f aca="false">IFERROR(__xludf.dummyfunction("IF(I975="""", """", REGEXEXTRACT(I975, ""Padrao/([^/]+)""))"),"Ipiranga")</f>
        <v>Ipiranga</v>
      </c>
    </row>
    <row r="965" customFormat="false" ht="15.75" hidden="false" customHeight="false" outlineLevel="0" collapsed="false">
      <c r="A965" s="2" t="n">
        <v>163601</v>
      </c>
      <c r="B965" s="2" t="s">
        <v>709</v>
      </c>
      <c r="C965" s="2" t="n">
        <v>2</v>
      </c>
      <c r="D965" s="2" t="n">
        <v>1</v>
      </c>
      <c r="E965" s="2" t="n">
        <v>1</v>
      </c>
      <c r="F965" s="2" t="n">
        <v>43</v>
      </c>
      <c r="G965" s="2" t="s">
        <v>435</v>
      </c>
      <c r="H965" s="2" t="str">
        <f aca="false">IFERROR(__xludf.dummyfunction("IF(I976="""", """", REGEXEXTRACT(I976, ""Padrao/([^/]+)""))"),"Jardim Diva Tarla de Carvalho")</f>
        <v>Jardim Diva Tarla de Carvalho</v>
      </c>
    </row>
    <row r="966" customFormat="false" ht="15.75" hidden="false" customHeight="false" outlineLevel="0" collapsed="false">
      <c r="A966" s="2" t="n">
        <v>161873</v>
      </c>
      <c r="B966" s="2" t="s">
        <v>966</v>
      </c>
      <c r="C966" s="2" t="n">
        <v>2</v>
      </c>
      <c r="D966" s="2" t="n">
        <v>1</v>
      </c>
      <c r="E966" s="2" t="n">
        <v>1</v>
      </c>
      <c r="F966" s="2" t="n">
        <v>46</v>
      </c>
      <c r="G966" s="2" t="s">
        <v>435</v>
      </c>
      <c r="H966" s="2" t="str">
        <f aca="false">IFERROR(__xludf.dummyfunction("IF(I977="""", """", REGEXEXTRACT(I977, ""Padrao/([^/]+)""))"),"Ipiranga")</f>
        <v>Ipiranga</v>
      </c>
    </row>
    <row r="967" customFormat="false" ht="15.75" hidden="false" customHeight="false" outlineLevel="0" collapsed="false">
      <c r="A967" s="2" t="n">
        <v>161252</v>
      </c>
      <c r="B967" s="2" t="s">
        <v>967</v>
      </c>
      <c r="C967" s="2" t="n">
        <v>2</v>
      </c>
      <c r="D967" s="2" t="n">
        <v>1</v>
      </c>
      <c r="E967" s="2" t="n">
        <v>1</v>
      </c>
      <c r="F967" s="2" t="n">
        <v>43</v>
      </c>
      <c r="G967" s="2" t="s">
        <v>435</v>
      </c>
      <c r="H967" s="2" t="str">
        <f aca="false">IFERROR(__xludf.dummyfunction("IF(I978="""", """", REGEXEXTRACT(I978, ""Padrao/([^/]+)""))"),"Jardim Interlagos")</f>
        <v>Jardim Interlagos</v>
      </c>
    </row>
    <row r="968" customFormat="false" ht="15.75" hidden="false" customHeight="false" outlineLevel="0" collapsed="false">
      <c r="A968" s="2" t="n">
        <v>161102</v>
      </c>
      <c r="B968" s="2" t="s">
        <v>968</v>
      </c>
      <c r="C968" s="2" t="n">
        <v>1</v>
      </c>
      <c r="D968" s="2" t="n">
        <v>1</v>
      </c>
      <c r="E968" s="2" t="n">
        <v>1</v>
      </c>
      <c r="F968" s="2" t="n">
        <v>29</v>
      </c>
      <c r="G968" s="2" t="s">
        <v>435</v>
      </c>
      <c r="H968" s="2" t="str">
        <f aca="false">IFERROR(__xludf.dummyfunction("IF(I979="""", """", REGEXEXTRACT(I979, ""Padrao/([^/]+)""))"),"Jardim Paulista")</f>
        <v>Jardim Paulista</v>
      </c>
    </row>
    <row r="969" customFormat="false" ht="15.75" hidden="false" customHeight="false" outlineLevel="0" collapsed="false">
      <c r="A969" s="2" t="n">
        <v>159608</v>
      </c>
      <c r="B969" s="2" t="s">
        <v>969</v>
      </c>
      <c r="C969" s="2" t="n">
        <v>1</v>
      </c>
      <c r="D969" s="2" t="n">
        <v>1</v>
      </c>
      <c r="E969" s="2" t="n">
        <v>1</v>
      </c>
      <c r="F969" s="2" t="n">
        <v>41</v>
      </c>
      <c r="G969" s="2" t="s">
        <v>435</v>
      </c>
      <c r="H969" s="2" t="str">
        <f aca="false">IFERROR(__xludf.dummyfunction("IF(I980="""", """", REGEXEXTRACT(I980, ""Padrao/([^/]+)""))"),"Nova Ribeirania")</f>
        <v>Nova Ribeirania</v>
      </c>
    </row>
    <row r="970" customFormat="false" ht="15.75" hidden="false" customHeight="false" outlineLevel="0" collapsed="false">
      <c r="A970" s="2" t="n">
        <v>159476</v>
      </c>
      <c r="B970" s="2" t="s">
        <v>970</v>
      </c>
      <c r="C970" s="2" t="n">
        <v>2</v>
      </c>
      <c r="D970" s="2" t="n">
        <v>1</v>
      </c>
      <c r="E970" s="2" t="n">
        <v>1</v>
      </c>
      <c r="F970" s="2" t="n">
        <v>46</v>
      </c>
      <c r="G970" s="2" t="s">
        <v>435</v>
      </c>
      <c r="H970" s="2" t="str">
        <f aca="false">IFERROR(__xludf.dummyfunction("IF(I981="""", """", REGEXEXTRACT(I981, ""Padrao/([^/]+)""))"),"Vila Tiberio")</f>
        <v>Vila Tiberio</v>
      </c>
    </row>
    <row r="971" customFormat="false" ht="15.75" hidden="false" customHeight="false" outlineLevel="0" collapsed="false">
      <c r="A971" s="2" t="n">
        <v>156572</v>
      </c>
      <c r="B971" s="2" t="s">
        <v>386</v>
      </c>
      <c r="C971" s="2" t="n">
        <v>2</v>
      </c>
      <c r="D971" s="2" t="n">
        <v>1</v>
      </c>
      <c r="E971" s="2" t="n">
        <v>1</v>
      </c>
      <c r="F971" s="2" t="n">
        <v>43</v>
      </c>
      <c r="G971" s="2" t="s">
        <v>435</v>
      </c>
      <c r="H971" s="2" t="str">
        <f aca="false">IFERROR(__xludf.dummyfunction("IF(I982="""", """", REGEXEXTRACT(I982, ""Padrao/([^/]+)""))"),"Jardim Interlagos")</f>
        <v>Jardim Interlagos</v>
      </c>
    </row>
    <row r="972" customFormat="false" ht="15.75" hidden="false" customHeight="false" outlineLevel="0" collapsed="false">
      <c r="A972" s="2" t="n">
        <v>156560</v>
      </c>
      <c r="B972" s="2" t="s">
        <v>971</v>
      </c>
      <c r="C972" s="2" t="n">
        <v>2</v>
      </c>
      <c r="D972" s="2" t="n">
        <v>1</v>
      </c>
      <c r="E972" s="2" t="n">
        <v>1</v>
      </c>
      <c r="F972" s="2" t="n">
        <v>45</v>
      </c>
      <c r="G972" s="2" t="s">
        <v>435</v>
      </c>
      <c r="H972" s="2" t="str">
        <f aca="false">IFERROR(__xludf.dummyfunction("IF(I983="""", """", REGEXEXTRACT(I983, ""Padrao/([^/]+)""))"),"Parque dos Lagos")</f>
        <v>Parque dos Lagos</v>
      </c>
    </row>
    <row r="973" customFormat="false" ht="15.75" hidden="false" customHeight="false" outlineLevel="0" collapsed="false">
      <c r="A973" s="2" t="n">
        <v>155348</v>
      </c>
      <c r="B973" s="2" t="s">
        <v>972</v>
      </c>
      <c r="C973" s="2" t="n">
        <v>2</v>
      </c>
      <c r="D973" s="2" t="n">
        <v>1</v>
      </c>
      <c r="E973" s="2" t="n">
        <v>1</v>
      </c>
      <c r="F973" s="2" t="n">
        <v>43</v>
      </c>
      <c r="G973" s="2" t="s">
        <v>435</v>
      </c>
      <c r="H973" s="2" t="str">
        <f aca="false">IFERROR(__xludf.dummyfunction("IF(I984="""", """", REGEXEXTRACT(I984, ""Padrao/([^/]+)""))"),"Jardim Diva Tarla de Carvalho")</f>
        <v>Jardim Diva Tarla de Carvalho</v>
      </c>
    </row>
    <row r="974" customFormat="false" ht="15.75" hidden="false" customHeight="false" outlineLevel="0" collapsed="false">
      <c r="A974" s="2" t="n">
        <v>154955</v>
      </c>
      <c r="B974" s="2" t="s">
        <v>384</v>
      </c>
      <c r="C974" s="2" t="n">
        <v>2</v>
      </c>
      <c r="D974" s="2" t="n">
        <v>1</v>
      </c>
      <c r="E974" s="2" t="n">
        <v>1</v>
      </c>
      <c r="F974" s="2" t="n">
        <v>46</v>
      </c>
      <c r="G974" s="2" t="s">
        <v>435</v>
      </c>
      <c r="H974" s="2" t="str">
        <f aca="false">IFERROR(__xludf.dummyfunction("IF(I985="""", """", REGEXEXTRACT(I985, ""Padrao/([^/]+)""))"),"Ipiranga")</f>
        <v>Ipiranga</v>
      </c>
    </row>
    <row r="975" customFormat="false" ht="15.75" hidden="false" customHeight="false" outlineLevel="0" collapsed="false">
      <c r="A975" s="2" t="n">
        <v>152063</v>
      </c>
      <c r="B975" s="2" t="s">
        <v>973</v>
      </c>
      <c r="C975" s="2" t="n">
        <v>2</v>
      </c>
      <c r="D975" s="2" t="n">
        <v>1</v>
      </c>
      <c r="E975" s="2" t="n">
        <v>1</v>
      </c>
      <c r="F975" s="2" t="n">
        <v>55</v>
      </c>
      <c r="G975" s="2" t="s">
        <v>435</v>
      </c>
      <c r="H975" s="2" t="str">
        <f aca="false">IFERROR(__xludf.dummyfunction("IF(I986="""", """", REGEXEXTRACT(I986, ""Padrao/([^/]+)""))"),"Vila Virginia")</f>
        <v>Vila Virginia</v>
      </c>
    </row>
    <row r="976" customFormat="false" ht="15.75" hidden="false" customHeight="false" outlineLevel="0" collapsed="false">
      <c r="A976" s="2" t="n">
        <v>151991</v>
      </c>
      <c r="B976" s="2" t="s">
        <v>386</v>
      </c>
      <c r="C976" s="2" t="n">
        <v>2</v>
      </c>
      <c r="D976" s="2" t="n">
        <v>1</v>
      </c>
      <c r="E976" s="2" t="n">
        <v>1</v>
      </c>
      <c r="F976" s="2" t="n">
        <v>48</v>
      </c>
      <c r="G976" s="2" t="s">
        <v>435</v>
      </c>
      <c r="H976" s="2" t="str">
        <f aca="false">IFERROR(__xludf.dummyfunction("IF(I987="""", """", REGEXEXTRACT(I987, ""Padrao/([^/]+)""))"),"Quintino Facci II")</f>
        <v>Quintino Facci II</v>
      </c>
    </row>
    <row r="977" customFormat="false" ht="15.75" hidden="false" customHeight="false" outlineLevel="0" collapsed="false">
      <c r="A977" s="2" t="n">
        <v>151214</v>
      </c>
      <c r="B977" s="2" t="s">
        <v>162</v>
      </c>
      <c r="C977" s="2" t="n">
        <v>2</v>
      </c>
      <c r="D977" s="2" t="n">
        <v>1</v>
      </c>
      <c r="E977" s="2" t="n">
        <v>1</v>
      </c>
      <c r="F977" s="2" t="n">
        <v>43</v>
      </c>
      <c r="G977" s="2" t="s">
        <v>435</v>
      </c>
      <c r="H977" s="2" t="str">
        <f aca="false">IFERROR(__xludf.dummyfunction("IF(I988="""", """", REGEXEXTRACT(I988, ""Padrao/([^/]+)""))"),"Jardim Diva Tarla de Carvalho")</f>
        <v>Jardim Diva Tarla de Carvalho</v>
      </c>
    </row>
    <row r="978" customFormat="false" ht="15.75" hidden="false" customHeight="false" outlineLevel="0" collapsed="false">
      <c r="A978" s="2" t="n">
        <v>150719</v>
      </c>
      <c r="B978" s="2" t="s">
        <v>974</v>
      </c>
      <c r="C978" s="2" t="n">
        <v>1</v>
      </c>
      <c r="D978" s="2" t="n">
        <v>1</v>
      </c>
      <c r="E978" s="2" t="n">
        <v>1</v>
      </c>
      <c r="F978" s="2" t="n">
        <v>51</v>
      </c>
      <c r="G978" s="2" t="s">
        <v>435</v>
      </c>
      <c r="H978" s="2" t="str">
        <f aca="false">IFERROR(__xludf.dummyfunction("IF(I989="""", """", REGEXEXTRACT(I989, ""Padrao/([^/]+)""))"),"Jardim Paulista")</f>
        <v>Jardim Paulista</v>
      </c>
    </row>
    <row r="979" customFormat="false" ht="15.75" hidden="false" customHeight="false" outlineLevel="0" collapsed="false">
      <c r="A979" s="2" t="n">
        <v>149912</v>
      </c>
      <c r="B979" s="2" t="s">
        <v>975</v>
      </c>
      <c r="C979" s="2" t="n">
        <v>2</v>
      </c>
      <c r="D979" s="2" t="n">
        <v>1</v>
      </c>
      <c r="E979" s="2" t="n">
        <v>1</v>
      </c>
      <c r="F979" s="2" t="n">
        <v>47</v>
      </c>
      <c r="G979" s="2" t="s">
        <v>435</v>
      </c>
      <c r="H979" s="2" t="str">
        <f aca="false">IFERROR(__xludf.dummyfunction("IF(I990="""", """", REGEXEXTRACT(I990, ""Padrao/([^/]+)""))"),"Jardim Manoel Penna")</f>
        <v>Jardim Manoel Penna</v>
      </c>
    </row>
    <row r="980" customFormat="false" ht="15.75" hidden="false" customHeight="false" outlineLevel="0" collapsed="false">
      <c r="A980" s="2" t="n">
        <v>149054</v>
      </c>
      <c r="B980" s="2" t="s">
        <v>857</v>
      </c>
      <c r="C980" s="2" t="n">
        <v>2</v>
      </c>
      <c r="D980" s="2" t="n">
        <v>1</v>
      </c>
      <c r="E980" s="2" t="n">
        <v>1</v>
      </c>
      <c r="F980" s="2" t="n">
        <v>43</v>
      </c>
      <c r="G980" s="2" t="s">
        <v>435</v>
      </c>
      <c r="H980" s="2" t="str">
        <f aca="false">IFERROR(__xludf.dummyfunction("IF(I991="""", """", REGEXEXTRACT(I991, ""Padrao/([^/]+)""))"),"Valentina Figueiredo")</f>
        <v>Valentina Figueiredo</v>
      </c>
    </row>
    <row r="981" customFormat="false" ht="15.75" hidden="false" customHeight="false" outlineLevel="0" collapsed="false">
      <c r="A981" s="2" t="n">
        <v>146522</v>
      </c>
      <c r="B981" s="2" t="s">
        <v>976</v>
      </c>
      <c r="C981" s="2" t="n">
        <v>2</v>
      </c>
      <c r="D981" s="2" t="n">
        <v>1</v>
      </c>
      <c r="E981" s="2" t="n">
        <v>1</v>
      </c>
      <c r="F981" s="2" t="n">
        <v>40</v>
      </c>
      <c r="G981" s="2" t="s">
        <v>435</v>
      </c>
      <c r="H981" s="2" t="str">
        <f aca="false">IFERROR(__xludf.dummyfunction("IF(I992="""", """", REGEXEXTRACT(I992, ""Padrao/([^/]+)""))"),"Parque dos Pinus")</f>
        <v>Parque dos Pinus</v>
      </c>
    </row>
    <row r="982" customFormat="false" ht="15.75" hidden="false" customHeight="false" outlineLevel="0" collapsed="false">
      <c r="A982" s="2" t="n">
        <v>146060</v>
      </c>
      <c r="B982" s="2" t="s">
        <v>977</v>
      </c>
      <c r="C982" s="2" t="n">
        <v>2</v>
      </c>
      <c r="D982" s="2" t="n">
        <v>1</v>
      </c>
      <c r="E982" s="2" t="n">
        <v>1</v>
      </c>
      <c r="F982" s="2" t="n">
        <v>49</v>
      </c>
      <c r="G982" s="2" t="s">
        <v>435</v>
      </c>
      <c r="H982" s="2" t="str">
        <f aca="false">IFERROR(__xludf.dummyfunction("IF(I993="""", """", REGEXEXTRACT(I993, ""Padrao/([^/]+)""))"),"Parque dos Lagos")</f>
        <v>Parque dos Lagos</v>
      </c>
    </row>
    <row r="983" customFormat="false" ht="15.75" hidden="false" customHeight="false" outlineLevel="0" collapsed="false">
      <c r="A983" s="2" t="n">
        <v>144254</v>
      </c>
      <c r="B983" s="2" t="s">
        <v>444</v>
      </c>
      <c r="C983" s="2" t="n">
        <v>2</v>
      </c>
      <c r="D983" s="2" t="n">
        <v>1</v>
      </c>
      <c r="E983" s="2" t="n">
        <v>1</v>
      </c>
      <c r="F983" s="2" t="n">
        <v>42</v>
      </c>
      <c r="G983" s="2" t="s">
        <v>435</v>
      </c>
      <c r="H983" s="2" t="str">
        <f aca="false">IFERROR(__xludf.dummyfunction("IF(I994="""", """", REGEXEXTRACT(I994, ""Padrao/([^/]+)""))"),"Quintino Facci II")</f>
        <v>Quintino Facci II</v>
      </c>
    </row>
    <row r="984" customFormat="false" ht="15.75" hidden="false" customHeight="false" outlineLevel="0" collapsed="false">
      <c r="A984" s="2" t="n">
        <v>141566</v>
      </c>
      <c r="B984" s="2" t="s">
        <v>835</v>
      </c>
      <c r="C984" s="2" t="n">
        <v>2</v>
      </c>
      <c r="D984" s="2" t="n">
        <v>1</v>
      </c>
      <c r="E984" s="2" t="n">
        <v>1</v>
      </c>
      <c r="F984" s="2" t="n">
        <v>52</v>
      </c>
      <c r="G984" s="2" t="s">
        <v>435</v>
      </c>
      <c r="H984" s="2" t="str">
        <f aca="false">IFERROR(__xludf.dummyfunction("IF(I995="""", """", REGEXEXTRACT(I995, ""Padrao/([^/]+)""))"),"Jardim Palma Travassos")</f>
        <v>Jardim Palma Travassos</v>
      </c>
    </row>
    <row r="985" customFormat="false" ht="15.75" hidden="false" customHeight="false" outlineLevel="0" collapsed="false">
      <c r="A985" s="2" t="n">
        <v>141257</v>
      </c>
      <c r="B985" s="2" t="s">
        <v>978</v>
      </c>
      <c r="C985" s="2" t="n">
        <v>2</v>
      </c>
      <c r="D985" s="2" t="n">
        <v>1</v>
      </c>
      <c r="E985" s="2" t="n">
        <v>1</v>
      </c>
      <c r="F985" s="2" t="n">
        <v>42</v>
      </c>
      <c r="G985" s="2" t="s">
        <v>435</v>
      </c>
      <c r="H985" s="2" t="str">
        <f aca="false">IFERROR(__xludf.dummyfunction("IF(I996="""", """", REGEXEXTRACT(I996, ""Padrao/([^/]+)""))"),"Jardim Heitor Rigon")</f>
        <v>Jardim Heitor Rigon</v>
      </c>
    </row>
    <row r="986" customFormat="false" ht="15.75" hidden="false" customHeight="false" outlineLevel="0" collapsed="false">
      <c r="A986" s="2" t="n">
        <v>140828</v>
      </c>
      <c r="B986" s="2" t="s">
        <v>979</v>
      </c>
      <c r="C986" s="2" t="n">
        <v>2</v>
      </c>
      <c r="D986" s="2" t="n">
        <v>1</v>
      </c>
      <c r="E986" s="2" t="n">
        <v>1</v>
      </c>
      <c r="F986" s="2" t="n">
        <v>45</v>
      </c>
      <c r="G986" s="2" t="s">
        <v>435</v>
      </c>
      <c r="H986" s="2" t="str">
        <f aca="false">IFERROR(__xludf.dummyfunction("IF(I997="""", """", REGEXEXTRACT(I997, ""Padrao/([^/]+)""))"),"Conjunto Habitacional Jardim das Palmeiras")</f>
        <v>Conjunto Habitacional Jardim das Palmeiras</v>
      </c>
    </row>
    <row r="987" customFormat="false" ht="15.75" hidden="false" customHeight="false" outlineLevel="0" collapsed="false">
      <c r="A987" s="2" t="n">
        <v>134117</v>
      </c>
      <c r="B987" s="2" t="s">
        <v>753</v>
      </c>
      <c r="C987" s="2" t="n">
        <v>1</v>
      </c>
      <c r="D987" s="2" t="n">
        <v>1</v>
      </c>
      <c r="E987" s="2" t="n">
        <v>1</v>
      </c>
      <c r="F987" s="2" t="n">
        <v>39</v>
      </c>
      <c r="G987" s="2" t="s">
        <v>435</v>
      </c>
      <c r="H987" s="2" t="str">
        <f aca="false">IFERROR(__xludf.dummyfunction("IF(I998="""", """", REGEXEXTRACT(I998, ""Padrao/([^/]+)""))"),"Parque dos Lagos")</f>
        <v>Parque dos Lagos</v>
      </c>
    </row>
    <row r="988" customFormat="false" ht="15.75" hidden="false" customHeight="false" outlineLevel="0" collapsed="false">
      <c r="A988" s="2" t="n">
        <v>132128</v>
      </c>
      <c r="B988" s="2" t="s">
        <v>162</v>
      </c>
      <c r="C988" s="2" t="n">
        <v>2</v>
      </c>
      <c r="D988" s="2" t="n">
        <v>1</v>
      </c>
      <c r="E988" s="2" t="n">
        <v>1</v>
      </c>
      <c r="F988" s="2" t="n">
        <v>55</v>
      </c>
      <c r="G988" s="2" t="s">
        <v>435</v>
      </c>
      <c r="H988" s="2" t="str">
        <f aca="false">IFERROR(__xludf.dummyfunction("IF(I999="""", """", REGEXEXTRACT(I999, ""Padrao/([^/]+)""))"),"Vila Virginia")</f>
        <v>Vila Virginia</v>
      </c>
    </row>
    <row r="989" customFormat="false" ht="15.75" hidden="false" customHeight="false" outlineLevel="0" collapsed="false">
      <c r="A989" s="2" t="n">
        <v>128459</v>
      </c>
      <c r="B989" s="2" t="s">
        <v>980</v>
      </c>
      <c r="C989" s="2" t="n">
        <v>1</v>
      </c>
      <c r="D989" s="2" t="n">
        <v>1</v>
      </c>
      <c r="E989" s="2" t="n">
        <v>1</v>
      </c>
      <c r="F989" s="2" t="n">
        <v>32</v>
      </c>
      <c r="G989" s="2" t="s">
        <v>435</v>
      </c>
      <c r="H989" s="2" t="str">
        <f aca="false">IFERROR(__xludf.dummyfunction("IF(I1000="""", """", REGEXEXTRACT(I1000, ""Padrao/([^/]+)""))"),"Vila Seixas")</f>
        <v>Vila Seixas</v>
      </c>
    </row>
    <row r="990" customFormat="false" ht="15.75" hidden="false" customHeight="false" outlineLevel="0" collapsed="false">
      <c r="A990" s="2" t="n">
        <v>128120</v>
      </c>
      <c r="B990" s="2" t="s">
        <v>442</v>
      </c>
      <c r="C990" s="2" t="n">
        <v>2</v>
      </c>
      <c r="D990" s="2" t="n">
        <v>1</v>
      </c>
      <c r="E990" s="2" t="n">
        <v>1</v>
      </c>
      <c r="F990" s="2" t="n">
        <v>42</v>
      </c>
      <c r="G990" s="2" t="s">
        <v>435</v>
      </c>
      <c r="H990" s="2" t="str">
        <f aca="false">IFERROR(__xludf.dummyfunction("IF(I1001="""", """", REGEXEXTRACT(I1001, ""Padrao/([^/]+)""))"),"Campos Eliseos")</f>
        <v>Campos Eliseos</v>
      </c>
    </row>
    <row r="991" customFormat="false" ht="15.75" hidden="false" customHeight="false" outlineLevel="0" collapsed="false">
      <c r="A991" s="2" t="n">
        <v>126035</v>
      </c>
      <c r="B991" s="2" t="s">
        <v>162</v>
      </c>
      <c r="C991" s="2" t="n">
        <v>2</v>
      </c>
      <c r="D991" s="2" t="n">
        <v>1</v>
      </c>
      <c r="E991" s="2" t="n">
        <v>1</v>
      </c>
      <c r="F991" s="2" t="n">
        <v>45</v>
      </c>
      <c r="G991" s="2" t="s">
        <v>435</v>
      </c>
      <c r="H991" s="2" t="str">
        <f aca="false">IFERROR(__xludf.dummyfunction("IF(I1002="""", """", REGEXEXTRACT(I1002, ""Padrao/([^/]+)""))"),"Parque dos Lagos")</f>
        <v>Parque dos Lagos</v>
      </c>
    </row>
    <row r="992" customFormat="false" ht="15.75" hidden="false" customHeight="false" outlineLevel="0" collapsed="false">
      <c r="A992" s="2" t="n">
        <v>125987</v>
      </c>
      <c r="B992" s="2" t="s">
        <v>162</v>
      </c>
      <c r="C992" s="2" t="n">
        <v>1</v>
      </c>
      <c r="D992" s="2" t="n">
        <v>1</v>
      </c>
      <c r="E992" s="2" t="n">
        <v>1</v>
      </c>
      <c r="F992" s="2" t="n">
        <v>41</v>
      </c>
      <c r="G992" s="2" t="s">
        <v>435</v>
      </c>
      <c r="H992" s="2" t="str">
        <f aca="false">IFERROR(__xludf.dummyfunction("IF(I1003="""", """", REGEXEXTRACT(I1003, ""Padrao/([^/]+)""))"),"Ipiranga")</f>
        <v>Ipiranga</v>
      </c>
    </row>
    <row r="993" customFormat="false" ht="15.75" hidden="false" customHeight="false" outlineLevel="0" collapsed="false">
      <c r="A993" s="2" t="n">
        <v>119246</v>
      </c>
      <c r="B993" s="2" t="s">
        <v>162</v>
      </c>
      <c r="C993" s="2" t="n">
        <v>2</v>
      </c>
      <c r="D993" s="2" t="n">
        <v>1</v>
      </c>
      <c r="E993" s="2" t="n">
        <v>1</v>
      </c>
      <c r="F993" s="2" t="n">
        <v>43</v>
      </c>
      <c r="G993" s="2" t="s">
        <v>435</v>
      </c>
      <c r="H993" s="2" t="str">
        <f aca="false">IFERROR(__xludf.dummyfunction("IF(I1004="""", """", REGEXEXTRACT(I1004, ""Padrao/([^/]+)""))"),"Jardim Heitor Rigon")</f>
        <v>Jardim Heitor Rigon</v>
      </c>
    </row>
    <row r="994" customFormat="false" ht="15.75" hidden="false" customHeight="false" outlineLevel="0" collapsed="false">
      <c r="A994" s="2" t="n">
        <v>113819</v>
      </c>
      <c r="B994" s="2" t="s">
        <v>162</v>
      </c>
      <c r="C994" s="2" t="n">
        <v>2</v>
      </c>
      <c r="D994" s="2" t="n">
        <v>1</v>
      </c>
      <c r="E994" s="2" t="n">
        <v>1</v>
      </c>
      <c r="F994" s="2" t="n">
        <v>58</v>
      </c>
      <c r="G994" s="2" t="s">
        <v>435</v>
      </c>
      <c r="H994" s="2" t="str">
        <f aca="false">IFERROR(__xludf.dummyfunction("IF(I1005="""", """", REGEXEXTRACT(I1005, ""Padrao/([^/]+)""))"),"Jardim Itau")</f>
        <v>Jardim Itau</v>
      </c>
    </row>
    <row r="995" customFormat="false" ht="15.75" hidden="false" customHeight="false" outlineLevel="0" collapsed="false">
      <c r="A995" s="2" t="n">
        <v>108593</v>
      </c>
      <c r="B995" s="2" t="s">
        <v>444</v>
      </c>
      <c r="C995" s="2" t="n">
        <v>2</v>
      </c>
      <c r="D995" s="2" t="n">
        <v>1</v>
      </c>
      <c r="E995" s="2" t="n">
        <v>1</v>
      </c>
      <c r="F995" s="2" t="n">
        <v>42</v>
      </c>
      <c r="G995" s="2" t="s">
        <v>435</v>
      </c>
      <c r="H995" s="2" t="str">
        <f aca="false">IFERROR(__xludf.dummyfunction("IF(I1006="""", """", REGEXEXTRACT(I1006, ""Padrao/([^/]+)""))"),"Chacaras Pedro Correa de Carvalho")</f>
        <v>Chacaras Pedro Correa de Carvalho</v>
      </c>
    </row>
    <row r="996" customFormat="false" ht="15.75" hidden="false" customHeight="false" outlineLevel="0" collapsed="false">
      <c r="A996" s="2" t="n">
        <v>105056</v>
      </c>
      <c r="B996" s="2" t="s">
        <v>981</v>
      </c>
      <c r="C996" s="2" t="n">
        <v>2</v>
      </c>
      <c r="D996" s="2" t="n">
        <v>1</v>
      </c>
      <c r="E996" s="2" t="n">
        <v>1</v>
      </c>
      <c r="F996" s="2" t="n">
        <v>58</v>
      </c>
      <c r="G996" s="2" t="s">
        <v>435</v>
      </c>
      <c r="H996" s="2" t="str">
        <f aca="false">IFERROR(__xludf.dummyfunction("IF(I1008="""", """", REGEXEXTRACT(I1008, ""Padrao/([^/]+)""))"),"Jardim Pedra Branca")</f>
        <v>Jardim Pedra Branca</v>
      </c>
    </row>
    <row r="997" customFormat="false" ht="15.75" hidden="false" customHeight="false" outlineLevel="0" collapsed="false">
      <c r="A997" s="2" t="n">
        <v>104504</v>
      </c>
      <c r="B997" s="2" t="s">
        <v>162</v>
      </c>
      <c r="C997" s="2" t="n">
        <v>2</v>
      </c>
      <c r="D997" s="2" t="n">
        <v>1</v>
      </c>
      <c r="E997" s="2" t="n">
        <v>1</v>
      </c>
      <c r="F997" s="2" t="n">
        <v>48</v>
      </c>
      <c r="G997" s="2" t="s">
        <v>435</v>
      </c>
      <c r="H997" s="2" t="str">
        <f aca="false">IFERROR(__xludf.dummyfunction("IF(I1009="""", """", REGEXEXTRACT(I1009, ""Padrao/([^/]+)""))"),"Conjunto Habitacional Silvio Passalacqua")</f>
        <v>Conjunto Habitacional Silvio Passalacqua</v>
      </c>
    </row>
    <row r="998" customFormat="false" ht="15.75" hidden="false" customHeight="false" outlineLevel="0" collapsed="false">
      <c r="A998" s="2" t="n">
        <v>100796</v>
      </c>
      <c r="B998" s="2" t="s">
        <v>748</v>
      </c>
      <c r="C998" s="2" t="n">
        <v>2</v>
      </c>
      <c r="D998" s="2" t="n">
        <v>1</v>
      </c>
      <c r="E998" s="2" t="n">
        <v>1</v>
      </c>
      <c r="F998" s="2" t="n">
        <v>47</v>
      </c>
      <c r="G998" s="2" t="s">
        <v>435</v>
      </c>
      <c r="H998" s="2" t="str">
        <f aca="false">IFERROR(__xludf.dummyfunction("IF(I1010="""", """", REGEXEXTRACT(I1010, ""Padrao/([^/]+)""))"),"Parque Sao Sebastiao")</f>
        <v>Parque Sao Sebastiao</v>
      </c>
    </row>
    <row r="999" customFormat="false" ht="15.75" hidden="false" customHeight="false" outlineLevel="0" collapsed="false">
      <c r="A999" s="2" t="n">
        <v>95660</v>
      </c>
      <c r="B999" s="2" t="s">
        <v>982</v>
      </c>
      <c r="C999" s="2" t="n">
        <v>2</v>
      </c>
      <c r="D999" s="2" t="n">
        <v>1</v>
      </c>
      <c r="E999" s="2" t="n">
        <v>1</v>
      </c>
      <c r="F999" s="2" t="n">
        <v>43</v>
      </c>
      <c r="G999" s="2" t="s">
        <v>435</v>
      </c>
      <c r="H999" s="2" t="str">
        <f aca="false">IFERROR(__xludf.dummyfunction("IF(I1011="""", """", REGEXEXTRACT(I1011, ""Padrao/([^/]+)""))"),"Residencial das Americas")</f>
        <v>Residencial das Americas</v>
      </c>
    </row>
    <row r="1000" customFormat="false" ht="15.75" hidden="false" customHeight="false" outlineLevel="0" collapsed="false">
      <c r="A1000" s="2" t="n">
        <v>95084</v>
      </c>
      <c r="B1000" s="2" t="s">
        <v>162</v>
      </c>
      <c r="C1000" s="2" t="n">
        <v>1</v>
      </c>
      <c r="D1000" s="2" t="n">
        <v>1</v>
      </c>
      <c r="E1000" s="2" t="n">
        <v>1</v>
      </c>
      <c r="F1000" s="2" t="n">
        <v>54</v>
      </c>
      <c r="G1000" s="2" t="s">
        <v>435</v>
      </c>
      <c r="H1000" s="2" t="str">
        <f aca="false">IFERROR(__xludf.dummyfunction("IF(I1012="""", """", REGEXEXTRACT(I1012, ""Padrao/([^/]+)""))"),"Centro")</f>
        <v>Centro</v>
      </c>
    </row>
    <row r="1001" customFormat="false" ht="15.75" hidden="false" customHeight="false" outlineLevel="0" collapsed="false">
      <c r="A1001" s="2" t="n">
        <v>90563</v>
      </c>
      <c r="B1001" s="2" t="s">
        <v>983</v>
      </c>
      <c r="C1001" s="2" t="n">
        <v>2</v>
      </c>
      <c r="D1001" s="2" t="n">
        <v>1</v>
      </c>
      <c r="E1001" s="2" t="n">
        <v>1</v>
      </c>
      <c r="F1001" s="2" t="n">
        <v>56</v>
      </c>
      <c r="G1001" s="2" t="s">
        <v>435</v>
      </c>
      <c r="H1001" s="2" t="str">
        <f aca="false">IFERROR(__xludf.dummyfunction("IF(I1013="""", """", REGEXEXTRACT(I1013, ""Padrao/([^/]+)""))"),"Centro")</f>
        <v>Centro</v>
      </c>
    </row>
    <row r="1002" customFormat="false" ht="15.75" hidden="false" customHeight="false" outlineLevel="0" collapsed="false">
      <c r="A1002" s="2" t="n">
        <v>73241</v>
      </c>
      <c r="B1002" s="2" t="s">
        <v>770</v>
      </c>
      <c r="C1002" s="2" t="n">
        <v>2</v>
      </c>
      <c r="D1002" s="2" t="n">
        <v>1</v>
      </c>
      <c r="E1002" s="2" t="n">
        <v>1</v>
      </c>
      <c r="F1002" s="2" t="n">
        <v>42</v>
      </c>
      <c r="G1002" s="2" t="s">
        <v>435</v>
      </c>
      <c r="H1002" s="2" t="str">
        <f aca="false">IFERROR(__xludf.dummyfunction("IF(I1014="""", """", REGEXEXTRACT(I1014, ""Padrao/([^/]+)""))"),"Ipiranga")</f>
        <v>Ipiranga</v>
      </c>
    </row>
    <row r="1003" customFormat="false" ht="15.75" hidden="false" customHeight="false" outlineLevel="0" collapsed="false">
      <c r="A1003" s="2" t="n">
        <v>172697</v>
      </c>
      <c r="B1003" s="2" t="s">
        <v>984</v>
      </c>
      <c r="C1003" s="2" t="n">
        <v>2</v>
      </c>
      <c r="D1003" s="2" t="n">
        <v>1</v>
      </c>
      <c r="E1003" s="2" t="n">
        <v>1</v>
      </c>
      <c r="F1003" s="2" t="n">
        <v>42</v>
      </c>
      <c r="G1003" s="2" t="s">
        <v>985</v>
      </c>
      <c r="H1003" s="2" t="str">
        <f aca="false">IFERROR(__xludf.dummyfunction("IF(I1015="""", """", REGEXEXTRACT(I1015, ""Padrao/([^/]+)""))"),"Quintino Facci II")</f>
        <v>Quintino Facci II</v>
      </c>
    </row>
    <row r="1004" customFormat="false" ht="15.75" hidden="false" customHeight="false" outlineLevel="0" collapsed="false">
      <c r="A1004" s="2" t="n">
        <v>160517</v>
      </c>
      <c r="B1004" s="2" t="s">
        <v>879</v>
      </c>
      <c r="C1004" s="2" t="n">
        <v>2</v>
      </c>
      <c r="D1004" s="2" t="n">
        <v>1</v>
      </c>
      <c r="E1004" s="2" t="n">
        <v>1</v>
      </c>
      <c r="F1004" s="2" t="n">
        <v>40</v>
      </c>
      <c r="G1004" s="2" t="s">
        <v>986</v>
      </c>
      <c r="H1004" s="2" t="str">
        <f aca="false">IFERROR(__xludf.dummyfunction("IF(I1016="""", """", REGEXEXTRACT(I1016, ""Padrao/([^/]+)""))"),"Reserva Real")</f>
        <v>Reserva Real</v>
      </c>
    </row>
    <row r="1005" customFormat="false" ht="15.75" hidden="false" customHeight="false" outlineLevel="0" collapsed="false">
      <c r="A1005" s="2" t="n">
        <v>150152</v>
      </c>
      <c r="B1005" s="2" t="s">
        <v>987</v>
      </c>
      <c r="C1005" s="2" t="n">
        <v>2</v>
      </c>
      <c r="D1005" s="2" t="n">
        <v>1</v>
      </c>
      <c r="E1005" s="2" t="n">
        <v>1</v>
      </c>
      <c r="F1005" s="2" t="n">
        <v>43</v>
      </c>
      <c r="G1005" s="2" t="s">
        <v>986</v>
      </c>
      <c r="H1005" s="2" t="str">
        <f aca="false">IFERROR(__xludf.dummyfunction("IF(I1017="""", """", REGEXEXTRACT(I1017, ""Padrao/([^/]+)""))"),"Jardim Diva Tarla de Carvalho")</f>
        <v>Jardim Diva Tarla de Carvalho</v>
      </c>
    </row>
    <row r="1006" customFormat="false" ht="15.75" hidden="false" customHeight="false" outlineLevel="0" collapsed="false">
      <c r="A1006" s="2" t="n">
        <v>67226</v>
      </c>
      <c r="B1006" s="2" t="s">
        <v>966</v>
      </c>
      <c r="C1006" s="2" t="n">
        <v>2</v>
      </c>
      <c r="D1006" s="2" t="n">
        <v>1</v>
      </c>
      <c r="E1006" s="2" t="n">
        <v>1</v>
      </c>
      <c r="F1006" s="2" t="n">
        <v>46</v>
      </c>
      <c r="G1006" s="2" t="s">
        <v>435</v>
      </c>
      <c r="H1006" s="2" t="str">
        <f aca="false">IFERROR(__xludf.dummyfunction("IF(I1018="""", """", REGEXEXTRACT(I1018, ""Padrao/([^/]+)""))"),"Ipiranga")</f>
        <v>Ipiranga</v>
      </c>
    </row>
    <row r="1007" customFormat="false" ht="15.75" hidden="false" customHeight="false" outlineLevel="0" collapsed="false">
      <c r="A1007" s="2" t="n">
        <v>145964</v>
      </c>
      <c r="B1007" s="2" t="s">
        <v>988</v>
      </c>
      <c r="C1007" s="2" t="n">
        <v>2</v>
      </c>
      <c r="D1007" s="2" t="n">
        <v>1</v>
      </c>
      <c r="E1007" s="2" t="n">
        <v>1</v>
      </c>
      <c r="F1007" s="2" t="n">
        <v>42</v>
      </c>
      <c r="G1007" s="2" t="s">
        <v>989</v>
      </c>
      <c r="H1007" s="2" t="str">
        <f aca="false">IFERROR(__xludf.dummyfunction("IF(I1019="""", """", REGEXEXTRACT(I1019, ""Padrao/([^/]+)""))"),"Jardim Itau")</f>
        <v>Jardim Itau</v>
      </c>
    </row>
    <row r="1008" customFormat="false" ht="15.75" hidden="false" customHeight="false" outlineLevel="0" collapsed="false">
      <c r="A1008" s="2" t="n">
        <v>122366</v>
      </c>
      <c r="B1008" s="2" t="s">
        <v>990</v>
      </c>
      <c r="C1008" s="2" t="n">
        <v>2</v>
      </c>
      <c r="D1008" s="2" t="n">
        <v>1</v>
      </c>
      <c r="E1008" s="2" t="n">
        <v>1</v>
      </c>
      <c r="F1008" s="2" t="n">
        <v>46</v>
      </c>
      <c r="G1008" s="2" t="s">
        <v>700</v>
      </c>
      <c r="H1008" s="2" t="str">
        <f aca="false">IFERROR(__xludf.dummyfunction("IF(I1020="""", """", REGEXEXTRACT(I1020, ""Padrao/([^/]+)""))"),"Jardim das Palmeiras")</f>
        <v>Jardim das Palmeiras</v>
      </c>
    </row>
    <row r="1009" customFormat="false" ht="15.75" hidden="false" customHeight="false" outlineLevel="0" collapsed="false">
      <c r="A1009" s="2" t="n">
        <v>224507</v>
      </c>
      <c r="B1009" s="2" t="s">
        <v>937</v>
      </c>
      <c r="C1009" s="2" t="n">
        <v>2</v>
      </c>
      <c r="D1009" s="2" t="n">
        <v>1</v>
      </c>
      <c r="E1009" s="2" t="n">
        <v>1</v>
      </c>
      <c r="F1009" s="2" t="n">
        <v>43</v>
      </c>
      <c r="G1009" s="2" t="s">
        <v>407</v>
      </c>
      <c r="H1009" s="2" t="str">
        <f aca="false">IFERROR(__xludf.dummyfunction("IF(I1021="""", """", REGEXEXTRACT(I1021, ""Padrao/([^/]+)""))"),"Chacaras Pedro Correa de Carvalho")</f>
        <v>Chacaras Pedro Correa de Carvalho</v>
      </c>
    </row>
    <row r="1010" customFormat="false" ht="15.75" hidden="false" customHeight="false" outlineLevel="0" collapsed="false">
      <c r="A1010" s="2" t="n">
        <v>173708</v>
      </c>
      <c r="B1010" s="2" t="s">
        <v>991</v>
      </c>
      <c r="C1010" s="2" t="n">
        <v>3</v>
      </c>
      <c r="D1010" s="2" t="n">
        <v>1</v>
      </c>
      <c r="E1010" s="2" t="n">
        <v>1</v>
      </c>
      <c r="F1010" s="2" t="n">
        <v>63</v>
      </c>
      <c r="G1010" s="2" t="s">
        <v>428</v>
      </c>
      <c r="H1010" s="2" t="str">
        <f aca="false">IFERROR(__xludf.dummyfunction("IF(I1022="""", """", REGEXEXTRACT(I1022, ""Padrao/([^/]+)""))"),"Jardim Palma Travassos")</f>
        <v>Jardim Palma Travassos</v>
      </c>
    </row>
    <row r="1011" customFormat="false" ht="15.75" hidden="false" customHeight="false" outlineLevel="0" collapsed="false">
      <c r="A1011" s="2" t="n">
        <v>189962</v>
      </c>
      <c r="B1011" s="2" t="s">
        <v>992</v>
      </c>
      <c r="C1011" s="2" t="n">
        <v>2</v>
      </c>
      <c r="D1011" s="2" t="n">
        <v>1</v>
      </c>
      <c r="E1011" s="2" t="n">
        <v>1</v>
      </c>
      <c r="F1011" s="2" t="n">
        <v>43</v>
      </c>
      <c r="G1011" s="2" t="s">
        <v>435</v>
      </c>
      <c r="H1011" s="2" t="str">
        <f aca="false">IFERROR(__xludf.dummyfunction("IF(I1023="""", """", REGEXEXTRACT(I1023, ""Padrao/([^/]+)""))"),"Jardim Interlagos")</f>
        <v>Jardim Interlagos</v>
      </c>
    </row>
    <row r="1012" customFormat="false" ht="15.75" hidden="false" customHeight="false" outlineLevel="0" collapsed="false">
      <c r="A1012" s="2" t="n">
        <v>137177</v>
      </c>
      <c r="B1012" s="2" t="s">
        <v>993</v>
      </c>
      <c r="C1012" s="2" t="n">
        <v>3</v>
      </c>
      <c r="D1012" s="2" t="n">
        <v>2</v>
      </c>
      <c r="E1012" s="2" t="n">
        <v>1</v>
      </c>
      <c r="F1012" s="2" t="n">
        <v>47</v>
      </c>
      <c r="G1012" s="2" t="s">
        <v>435</v>
      </c>
      <c r="H1012" s="2" t="str">
        <f aca="false">IFERROR(__xludf.dummyfunction("IF(I1024="""", """", REGEXEXTRACT(I1024, ""Padrao/([^/]+)""))"),"Campos Eliseos")</f>
        <v>Campos Eliseos</v>
      </c>
    </row>
    <row r="1013" customFormat="false" ht="15.75" hidden="false" customHeight="false" outlineLevel="0" collapsed="false">
      <c r="A1013" s="2" t="n">
        <v>241379</v>
      </c>
      <c r="B1013" s="2" t="s">
        <v>454</v>
      </c>
      <c r="C1013" s="2" t="n">
        <v>2</v>
      </c>
      <c r="D1013" s="2" t="n">
        <v>1</v>
      </c>
      <c r="E1013" s="2" t="n">
        <v>1</v>
      </c>
      <c r="F1013" s="2" t="n">
        <v>41</v>
      </c>
      <c r="G1013" s="2" t="s">
        <v>443</v>
      </c>
      <c r="H1013" s="2" t="str">
        <f aca="false">IFERROR(__xludf.dummyfunction("IF(I1025="""", """", REGEXEXTRACT(I1025, ""Padrao/([^/]+)""))"),"Reserva Real")</f>
        <v>Reserva Real</v>
      </c>
    </row>
    <row r="1014" customFormat="false" ht="15.75" hidden="false" customHeight="false" outlineLevel="0" collapsed="false">
      <c r="A1014" s="2" t="n">
        <v>239936</v>
      </c>
      <c r="B1014" s="2" t="s">
        <v>994</v>
      </c>
      <c r="C1014" s="2" t="n">
        <v>2</v>
      </c>
      <c r="D1014" s="2" t="n">
        <v>1</v>
      </c>
      <c r="E1014" s="2" t="n">
        <v>1</v>
      </c>
      <c r="F1014" s="2" t="n">
        <v>42</v>
      </c>
      <c r="G1014" s="2" t="s">
        <v>443</v>
      </c>
      <c r="H1014" s="2" t="str">
        <f aca="false">IFERROR(__xludf.dummyfunction("IF(I1026="""", """", REGEXEXTRACT(I1026, ""Padrao/([^/]+)""))"),"Jardim Itau")</f>
        <v>Jardim Itau</v>
      </c>
    </row>
    <row r="1015" customFormat="false" ht="15.75" hidden="false" customHeight="false" outlineLevel="0" collapsed="false">
      <c r="A1015" s="2" t="n">
        <v>239210</v>
      </c>
      <c r="B1015" s="2" t="s">
        <v>995</v>
      </c>
      <c r="C1015" s="2" t="n">
        <v>2</v>
      </c>
      <c r="D1015" s="2" t="n">
        <v>1</v>
      </c>
      <c r="E1015" s="2" t="n">
        <v>1</v>
      </c>
      <c r="F1015" s="2" t="n">
        <v>43</v>
      </c>
      <c r="G1015" s="2" t="s">
        <v>443</v>
      </c>
      <c r="H1015" s="2" t="str">
        <f aca="false">IFERROR(__xludf.dummyfunction("IF(I1027="""", """", REGEXEXTRACT(I1027, ""Padrao/([^/]+)""))"),"Valentina Figueiredo")</f>
        <v>Valentina Figueiredo</v>
      </c>
    </row>
    <row r="1016" customFormat="false" ht="15.75" hidden="false" customHeight="false" outlineLevel="0" collapsed="false">
      <c r="A1016" s="2" t="n">
        <v>235214</v>
      </c>
      <c r="B1016" s="2" t="s">
        <v>996</v>
      </c>
      <c r="C1016" s="2" t="n">
        <v>2</v>
      </c>
      <c r="D1016" s="2" t="n">
        <v>1</v>
      </c>
      <c r="E1016" s="2" t="n">
        <v>1</v>
      </c>
      <c r="F1016" s="2" t="n">
        <v>40</v>
      </c>
      <c r="G1016" s="2" t="s">
        <v>443</v>
      </c>
      <c r="H1016" s="2" t="str">
        <f aca="false">IFERROR(__xludf.dummyfunction("IF(I1028="""", """", REGEXEXTRACT(I1028, ""Padrao/([^/]+)""))"),"Reserva Real")</f>
        <v>Reserva Real</v>
      </c>
    </row>
    <row r="1017" customFormat="false" ht="15.75" hidden="false" customHeight="false" outlineLevel="0" collapsed="false">
      <c r="A1017" s="2" t="n">
        <v>234917</v>
      </c>
      <c r="B1017" s="2" t="s">
        <v>799</v>
      </c>
      <c r="C1017" s="2" t="n">
        <v>2</v>
      </c>
      <c r="D1017" s="2" t="n">
        <v>1</v>
      </c>
      <c r="E1017" s="2" t="n">
        <v>1</v>
      </c>
      <c r="F1017" s="2" t="n">
        <v>43</v>
      </c>
      <c r="G1017" s="2" t="s">
        <v>443</v>
      </c>
      <c r="H1017" s="2" t="str">
        <f aca="false">IFERROR(__xludf.dummyfunction("IF(I1029="""", """", REGEXEXTRACT(I1029, ""Padrao/([^/]+)""))"),"Jardim Diva Tarla de Carvalho")</f>
        <v>Jardim Diva Tarla de Carvalho</v>
      </c>
    </row>
    <row r="1018" customFormat="false" ht="15.75" hidden="false" customHeight="false" outlineLevel="0" collapsed="false">
      <c r="A1018" s="2" t="n">
        <v>234767</v>
      </c>
      <c r="B1018" s="2" t="s">
        <v>997</v>
      </c>
      <c r="C1018" s="2" t="n">
        <v>2</v>
      </c>
      <c r="D1018" s="2" t="n">
        <v>1</v>
      </c>
      <c r="E1018" s="2" t="n">
        <v>1</v>
      </c>
      <c r="F1018" s="2" t="n">
        <v>43</v>
      </c>
      <c r="G1018" s="2" t="s">
        <v>443</v>
      </c>
      <c r="H1018" s="2" t="str">
        <f aca="false">IFERROR(__xludf.dummyfunction("IF(I1030="""", """", REGEXEXTRACT(I1030, ""Padrao/([^/]+)""))"),"Jardim Zara")</f>
        <v>Jardim Zara</v>
      </c>
    </row>
    <row r="1019" customFormat="false" ht="15.75" hidden="false" customHeight="false" outlineLevel="0" collapsed="false">
      <c r="A1019" s="2" t="n">
        <v>234152</v>
      </c>
      <c r="B1019" s="2" t="s">
        <v>706</v>
      </c>
      <c r="C1019" s="2" t="n">
        <v>2</v>
      </c>
      <c r="D1019" s="2" t="n">
        <v>1</v>
      </c>
      <c r="E1019" s="2" t="n">
        <v>1</v>
      </c>
      <c r="F1019" s="2" t="n">
        <v>55</v>
      </c>
      <c r="G1019" s="2" t="s">
        <v>443</v>
      </c>
      <c r="H1019" s="2" t="str">
        <f aca="false">IFERROR(__xludf.dummyfunction("IF(I1031="""", """", REGEXEXTRACT(I1031, ""Padrao/([^/]+)""))"),"Vila Virginia")</f>
        <v>Vila Virginia</v>
      </c>
    </row>
    <row r="1020" customFormat="false" ht="15.75" hidden="false" customHeight="false" outlineLevel="0" collapsed="false">
      <c r="A1020" s="2" t="n">
        <v>222395</v>
      </c>
      <c r="B1020" s="2" t="s">
        <v>998</v>
      </c>
      <c r="C1020" s="2" t="n">
        <v>2</v>
      </c>
      <c r="D1020" s="2" t="n">
        <v>1</v>
      </c>
      <c r="E1020" s="2" t="n">
        <v>1</v>
      </c>
      <c r="F1020" s="2" t="n">
        <v>43</v>
      </c>
      <c r="G1020" s="2" t="s">
        <v>443</v>
      </c>
      <c r="H1020" s="2" t="str">
        <f aca="false">IFERROR(__xludf.dummyfunction("IF(I1032="""", """", REGEXEXTRACT(I1032, ""Padrao/([^/]+)""))"),"Parque Sao Sebastiao")</f>
        <v>Parque Sao Sebastiao</v>
      </c>
    </row>
    <row r="1021" customFormat="false" ht="15.75" hidden="false" customHeight="false" outlineLevel="0" collapsed="false">
      <c r="A1021" s="2" t="n">
        <v>212060</v>
      </c>
      <c r="B1021" s="2" t="s">
        <v>868</v>
      </c>
      <c r="C1021" s="2" t="n">
        <v>2</v>
      </c>
      <c r="D1021" s="2" t="n">
        <v>1</v>
      </c>
      <c r="E1021" s="2" t="n">
        <v>1</v>
      </c>
      <c r="F1021" s="2" t="n">
        <v>42</v>
      </c>
      <c r="G1021" s="2" t="s">
        <v>443</v>
      </c>
      <c r="H1021" s="2" t="str">
        <f aca="false">IFERROR(__xludf.dummyfunction("IF(I1033="""", """", REGEXEXTRACT(I1033, ""Padrao/([^/]+)""))"),"Vila Virginia")</f>
        <v>Vila Virginia</v>
      </c>
    </row>
    <row r="1022" customFormat="false" ht="15.75" hidden="false" customHeight="false" outlineLevel="0" collapsed="false">
      <c r="A1022" s="2" t="n">
        <v>205235</v>
      </c>
      <c r="B1022" s="2" t="s">
        <v>999</v>
      </c>
      <c r="C1022" s="2" t="n">
        <v>2</v>
      </c>
      <c r="D1022" s="2" t="n">
        <v>1</v>
      </c>
      <c r="E1022" s="2" t="n">
        <v>1</v>
      </c>
      <c r="F1022" s="2" t="n">
        <v>41</v>
      </c>
      <c r="G1022" s="2" t="s">
        <v>443</v>
      </c>
      <c r="H1022" s="2" t="str">
        <f aca="false">IFERROR(__xludf.dummyfunction("IF(I1034="""", """", REGEXEXTRACT(I1034, ""Padrao/([^/]+)""))"),"Reserva Real")</f>
        <v>Reserva Real</v>
      </c>
    </row>
    <row r="1023" customFormat="false" ht="15.75" hidden="false" customHeight="false" outlineLevel="0" collapsed="false">
      <c r="A1023" s="2" t="n">
        <v>200573</v>
      </c>
      <c r="B1023" s="2" t="s">
        <v>605</v>
      </c>
      <c r="C1023" s="2" t="n">
        <v>2</v>
      </c>
      <c r="D1023" s="2" t="n">
        <v>1</v>
      </c>
      <c r="E1023" s="2" t="n">
        <v>1</v>
      </c>
      <c r="F1023" s="2" t="n">
        <v>43</v>
      </c>
      <c r="G1023" s="2" t="s">
        <v>443</v>
      </c>
      <c r="H1023" s="2" t="str">
        <f aca="false">IFERROR(__xludf.dummyfunction("IF(I1035="""", """", REGEXEXTRACT(I1035, ""Padrao/([^/]+)""))"),"Campos Eliseos")</f>
        <v>Campos Eliseos</v>
      </c>
    </row>
    <row r="1024" customFormat="false" ht="15.75" hidden="false" customHeight="false" outlineLevel="0" collapsed="false">
      <c r="A1024" s="2" t="n">
        <v>199034</v>
      </c>
      <c r="B1024" s="2" t="s">
        <v>1000</v>
      </c>
      <c r="C1024" s="2" t="n">
        <v>2</v>
      </c>
      <c r="D1024" s="2" t="n">
        <v>1</v>
      </c>
      <c r="E1024" s="2" t="n">
        <v>1</v>
      </c>
      <c r="F1024" s="2" t="n">
        <v>46</v>
      </c>
      <c r="G1024" s="2" t="s">
        <v>443</v>
      </c>
      <c r="H1024" s="2" t="str">
        <f aca="false">IFERROR(__xludf.dummyfunction("IF(I1036="""", """", REGEXEXTRACT(I1036, ""Padrao/([^/]+)""))"),"Ipiranga")</f>
        <v>Ipiranga</v>
      </c>
    </row>
    <row r="1025" customFormat="false" ht="15.75" hidden="false" customHeight="false" outlineLevel="0" collapsed="false">
      <c r="A1025" s="2" t="n">
        <v>198470</v>
      </c>
      <c r="B1025" s="2" t="s">
        <v>1001</v>
      </c>
      <c r="C1025" s="2" t="n">
        <v>2</v>
      </c>
      <c r="D1025" s="2" t="n">
        <v>1</v>
      </c>
      <c r="E1025" s="2" t="n">
        <v>1</v>
      </c>
      <c r="F1025" s="2" t="n">
        <v>41</v>
      </c>
      <c r="G1025" s="2" t="s">
        <v>443</v>
      </c>
      <c r="H1025" s="2" t="str">
        <f aca="false">IFERROR(__xludf.dummyfunction("IF(I1037="""", """", REGEXEXTRACT(I1037, ""Padrao/([^/]+)""))"),"Ipiranga")</f>
        <v>Ipiranga</v>
      </c>
    </row>
    <row r="1026" customFormat="false" ht="15.75" hidden="false" customHeight="false" outlineLevel="0" collapsed="false">
      <c r="A1026" s="2" t="n">
        <v>195632</v>
      </c>
      <c r="B1026" s="2" t="s">
        <v>851</v>
      </c>
      <c r="C1026" s="2" t="n">
        <v>2</v>
      </c>
      <c r="D1026" s="2" t="n">
        <v>1</v>
      </c>
      <c r="E1026" s="2" t="n">
        <v>1</v>
      </c>
      <c r="F1026" s="2" t="n">
        <v>48</v>
      </c>
      <c r="G1026" s="2" t="s">
        <v>443</v>
      </c>
      <c r="H1026" s="2" t="str">
        <f aca="false">IFERROR(__xludf.dummyfunction("IF(I1038="""", """", REGEXEXTRACT(I1038, ""Padrao/([^/]+)""))"),"Ipiranga")</f>
        <v>Ipiranga</v>
      </c>
    </row>
    <row r="1027" customFormat="false" ht="15.75" hidden="false" customHeight="false" outlineLevel="0" collapsed="false">
      <c r="A1027" s="2" t="n">
        <v>193826</v>
      </c>
      <c r="B1027" s="2" t="s">
        <v>1002</v>
      </c>
      <c r="C1027" s="2" t="n">
        <v>2</v>
      </c>
      <c r="D1027" s="2" t="n">
        <v>1</v>
      </c>
      <c r="E1027" s="2" t="n">
        <v>1</v>
      </c>
      <c r="F1027" s="2" t="n">
        <v>47</v>
      </c>
      <c r="G1027" s="2" t="s">
        <v>443</v>
      </c>
      <c r="H1027" s="2" t="str">
        <f aca="false">IFERROR(__xludf.dummyfunction("IF(I1039="""", """", REGEXEXTRACT(I1039, ""Padrao/([^/]+)""))"),"Parque Sao Sebastiao")</f>
        <v>Parque Sao Sebastiao</v>
      </c>
    </row>
    <row r="1028" customFormat="false" ht="15.75" hidden="false" customHeight="false" outlineLevel="0" collapsed="false">
      <c r="A1028" s="2" t="n">
        <v>184493</v>
      </c>
      <c r="B1028" s="2" t="s">
        <v>162</v>
      </c>
      <c r="C1028" s="2" t="n">
        <v>2</v>
      </c>
      <c r="D1028" s="2" t="n">
        <v>1</v>
      </c>
      <c r="E1028" s="2" t="n">
        <v>1</v>
      </c>
      <c r="F1028" s="2" t="n">
        <v>57</v>
      </c>
      <c r="G1028" s="2" t="s">
        <v>443</v>
      </c>
      <c r="H1028" s="2" t="str">
        <f aca="false">IFERROR(__xludf.dummyfunction("IF(I1040="""", """", REGEXEXTRACT(I1040, ""Padrao/([^/]+)""))"),"Residencial das Americas")</f>
        <v>Residencial das Americas</v>
      </c>
    </row>
    <row r="1029" customFormat="false" ht="15.75" hidden="false" customHeight="false" outlineLevel="0" collapsed="false">
      <c r="A1029" s="2" t="n">
        <v>175139</v>
      </c>
      <c r="B1029" s="2" t="s">
        <v>402</v>
      </c>
      <c r="C1029" s="2" t="n">
        <v>2</v>
      </c>
      <c r="D1029" s="2" t="n">
        <v>1</v>
      </c>
      <c r="E1029" s="2" t="n">
        <v>1</v>
      </c>
      <c r="F1029" s="2" t="n">
        <v>55</v>
      </c>
      <c r="G1029" s="2" t="s">
        <v>443</v>
      </c>
      <c r="H1029" s="2" t="str">
        <f aca="false">IFERROR(__xludf.dummyfunction("IF(I1041="""", """", REGEXEXTRACT(I1041, ""Padrao/([^/]+)""))"),"Vila Virginia")</f>
        <v>Vila Virginia</v>
      </c>
    </row>
    <row r="1030" customFormat="false" ht="15.75" hidden="false" customHeight="false" outlineLevel="0" collapsed="false">
      <c r="A1030" s="2" t="n">
        <v>175133</v>
      </c>
      <c r="B1030" s="2" t="s">
        <v>402</v>
      </c>
      <c r="C1030" s="2" t="n">
        <v>2</v>
      </c>
      <c r="D1030" s="2" t="n">
        <v>1</v>
      </c>
      <c r="E1030" s="2" t="n">
        <v>1</v>
      </c>
      <c r="F1030" s="2" t="n">
        <v>55</v>
      </c>
      <c r="G1030" s="2" t="s">
        <v>443</v>
      </c>
      <c r="H1030" s="2" t="str">
        <f aca="false">IFERROR(__xludf.dummyfunction("IF(I1042="""", """", REGEXEXTRACT(I1042, ""Padrao/([^/]+)""))"),"Vila Virginia")</f>
        <v>Vila Virginia</v>
      </c>
    </row>
    <row r="1031" customFormat="false" ht="15.75" hidden="false" customHeight="false" outlineLevel="0" collapsed="false">
      <c r="A1031" s="2" t="n">
        <v>174860</v>
      </c>
      <c r="B1031" s="2" t="s">
        <v>1003</v>
      </c>
      <c r="C1031" s="2" t="n">
        <v>2</v>
      </c>
      <c r="D1031" s="2" t="n">
        <v>1</v>
      </c>
      <c r="E1031" s="2" t="n">
        <v>1</v>
      </c>
      <c r="F1031" s="2" t="n">
        <v>43</v>
      </c>
      <c r="G1031" s="2" t="s">
        <v>443</v>
      </c>
      <c r="H1031" s="2" t="str">
        <f aca="false">IFERROR(__xludf.dummyfunction("IF(I1043="""", """", REGEXEXTRACT(I1043, ""Padrao/([^/]+)""))"),"Jardim Heitor Rigon")</f>
        <v>Jardim Heitor Rigon</v>
      </c>
    </row>
    <row r="1032" customFormat="false" ht="15.75" hidden="false" customHeight="false" outlineLevel="0" collapsed="false">
      <c r="A1032" s="2" t="n">
        <v>164939</v>
      </c>
      <c r="B1032" s="2" t="s">
        <v>162</v>
      </c>
      <c r="C1032" s="2" t="n">
        <v>2</v>
      </c>
      <c r="D1032" s="2" t="n">
        <v>1</v>
      </c>
      <c r="E1032" s="2" t="n">
        <v>1</v>
      </c>
      <c r="F1032" s="2" t="n">
        <v>48</v>
      </c>
      <c r="G1032" s="2" t="s">
        <v>443</v>
      </c>
      <c r="H1032" s="2" t="str">
        <f aca="false">IFERROR(__xludf.dummyfunction("IF(I1044="""", """", REGEXEXTRACT(I1044, ""Padrao/([^/]+)""))"),"Geraldo Correia de Carvalho")</f>
        <v>Geraldo Correia de Carvalho</v>
      </c>
    </row>
    <row r="1033" customFormat="false" ht="15.75" hidden="false" customHeight="false" outlineLevel="0" collapsed="false">
      <c r="A1033" s="2" t="n">
        <v>157130</v>
      </c>
      <c r="B1033" s="2" t="s">
        <v>857</v>
      </c>
      <c r="C1033" s="2" t="n">
        <v>2</v>
      </c>
      <c r="D1033" s="2" t="n">
        <v>1</v>
      </c>
      <c r="E1033" s="2" t="n">
        <v>1</v>
      </c>
      <c r="F1033" s="2" t="n">
        <v>43</v>
      </c>
      <c r="G1033" s="2" t="s">
        <v>443</v>
      </c>
      <c r="H1033" s="2" t="str">
        <f aca="false">IFERROR(__xludf.dummyfunction("IF(I1045="""", """", REGEXEXTRACT(I1045, ""Padrao/([^/]+)""))"),"Valentina Figueiredo")</f>
        <v>Valentina Figueiredo</v>
      </c>
    </row>
    <row r="1034" customFormat="false" ht="15.75" hidden="false" customHeight="false" outlineLevel="0" collapsed="false">
      <c r="A1034" s="2" t="n">
        <v>155330</v>
      </c>
      <c r="B1034" s="2" t="s">
        <v>1004</v>
      </c>
      <c r="C1034" s="2" t="n">
        <v>2</v>
      </c>
      <c r="D1034" s="2" t="n">
        <v>1</v>
      </c>
      <c r="E1034" s="2" t="n">
        <v>1</v>
      </c>
      <c r="F1034" s="2" t="n">
        <v>43</v>
      </c>
      <c r="G1034" s="2" t="s">
        <v>443</v>
      </c>
      <c r="H1034" s="2" t="str">
        <f aca="false">IFERROR(__xludf.dummyfunction("IF(I1046="""", """", REGEXEXTRACT(I1046, ""Padrao/([^/]+)""))"),"Jardim Marchesi")</f>
        <v>Jardim Marchesi</v>
      </c>
    </row>
    <row r="1035" customFormat="false" ht="15.75" hidden="false" customHeight="false" outlineLevel="0" collapsed="false">
      <c r="A1035" s="2" t="n">
        <v>142172</v>
      </c>
      <c r="B1035" s="2" t="s">
        <v>722</v>
      </c>
      <c r="C1035" s="2" t="n">
        <v>2</v>
      </c>
      <c r="D1035" s="2" t="n">
        <v>1</v>
      </c>
      <c r="E1035" s="2" t="n">
        <v>1</v>
      </c>
      <c r="F1035" s="2" t="n">
        <v>42</v>
      </c>
      <c r="G1035" s="2" t="s">
        <v>443</v>
      </c>
      <c r="H1035" s="2" t="str">
        <f aca="false">IFERROR(__xludf.dummyfunction("IF(I1047="""", """", REGEXEXTRACT(I1047, ""Padrao/([^/]+)""))"),"Jardim Heitor Rigon")</f>
        <v>Jardim Heitor Rigon</v>
      </c>
    </row>
    <row r="1036" customFormat="false" ht="15.75" hidden="false" customHeight="false" outlineLevel="0" collapsed="false">
      <c r="A1036" s="2" t="n">
        <v>132866</v>
      </c>
      <c r="B1036" s="2" t="s">
        <v>1005</v>
      </c>
      <c r="C1036" s="2" t="n">
        <v>2</v>
      </c>
      <c r="D1036" s="2" t="n">
        <v>1</v>
      </c>
      <c r="E1036" s="2" t="n">
        <v>1</v>
      </c>
      <c r="F1036" s="2" t="n">
        <v>48</v>
      </c>
      <c r="G1036" s="2" t="s">
        <v>443</v>
      </c>
      <c r="H1036" s="2" t="str">
        <f aca="false">IFERROR(__xludf.dummyfunction("IF(I1048="""", """", REGEXEXTRACT(I1048, ""Padrao/([^/]+)""))"),"Parque Sao Sebastiao")</f>
        <v>Parque Sao Sebastiao</v>
      </c>
    </row>
    <row r="1037" customFormat="false" ht="15.75" hidden="false" customHeight="false" outlineLevel="0" collapsed="false">
      <c r="A1037" s="2" t="n">
        <v>115643</v>
      </c>
      <c r="B1037" s="2" t="s">
        <v>1006</v>
      </c>
      <c r="C1037" s="2" t="n">
        <v>1</v>
      </c>
      <c r="D1037" s="2" t="n">
        <v>1</v>
      </c>
      <c r="E1037" s="2" t="n">
        <v>1</v>
      </c>
      <c r="F1037" s="2" t="n">
        <v>34</v>
      </c>
      <c r="G1037" s="2" t="s">
        <v>443</v>
      </c>
      <c r="H1037" s="2" t="str">
        <f aca="false">IFERROR(__xludf.dummyfunction("IF(I1049="""", """", REGEXEXTRACT(I1049, ""Padrao/([^/]+)""))"),"Vila Tiberio")</f>
        <v>Vila Tiberio</v>
      </c>
    </row>
    <row r="1038" customFormat="false" ht="15.75" hidden="false" customHeight="false" outlineLevel="0" collapsed="false">
      <c r="A1038" s="2" t="n">
        <v>112658</v>
      </c>
      <c r="B1038" s="2" t="s">
        <v>1007</v>
      </c>
      <c r="C1038" s="2" t="n">
        <v>2</v>
      </c>
      <c r="D1038" s="2" t="n">
        <v>1</v>
      </c>
      <c r="E1038" s="2" t="n">
        <v>1</v>
      </c>
      <c r="F1038" s="2" t="n">
        <v>42</v>
      </c>
      <c r="G1038" s="2" t="s">
        <v>443</v>
      </c>
      <c r="H1038" s="2" t="str">
        <f aca="false">IFERROR(__xludf.dummyfunction("IF(I1050="""", """", REGEXEXTRACT(I1050, ""Padrao/([^/]+)""))"),"Planalto Verde")</f>
        <v>Planalto Verde</v>
      </c>
    </row>
    <row r="1039" customFormat="false" ht="15.75" hidden="false" customHeight="false" outlineLevel="0" collapsed="false">
      <c r="A1039" s="2" t="n">
        <v>104789</v>
      </c>
      <c r="B1039" s="2" t="s">
        <v>1008</v>
      </c>
      <c r="C1039" s="2" t="n">
        <v>1</v>
      </c>
      <c r="D1039" s="2" t="n">
        <v>1</v>
      </c>
      <c r="E1039" s="2" t="n">
        <v>1</v>
      </c>
      <c r="F1039" s="2" t="n">
        <v>45</v>
      </c>
      <c r="G1039" s="2" t="s">
        <v>443</v>
      </c>
      <c r="H1039" s="2" t="str">
        <f aca="false">IFERROR(__xludf.dummyfunction("IF(I1051="""", """", REGEXEXTRACT(I1051, ""Padrao/([^/]+)""))"),"Centro")</f>
        <v>Centro</v>
      </c>
    </row>
    <row r="1040" customFormat="false" ht="15.75" hidden="false" customHeight="false" outlineLevel="0" collapsed="false">
      <c r="A1040" s="2" t="n">
        <v>88868</v>
      </c>
      <c r="B1040" s="2" t="s">
        <v>1009</v>
      </c>
      <c r="C1040" s="2" t="n">
        <v>1</v>
      </c>
      <c r="D1040" s="2" t="n">
        <v>1</v>
      </c>
      <c r="E1040" s="2" t="n">
        <v>1</v>
      </c>
      <c r="F1040" s="2" t="n">
        <v>46</v>
      </c>
      <c r="G1040" s="2" t="s">
        <v>443</v>
      </c>
      <c r="H1040" s="2" t="str">
        <f aca="false">IFERROR(__xludf.dummyfunction("IF(I1052="""", """", REGEXEXTRACT(I1052, ""Padrao/([^/]+)""))"),"Centro")</f>
        <v>Centro</v>
      </c>
    </row>
    <row r="1041" customFormat="false" ht="15.75" hidden="false" customHeight="false" outlineLevel="0" collapsed="false">
      <c r="A1041" s="2" t="n">
        <v>83465</v>
      </c>
      <c r="B1041" s="2" t="s">
        <v>1010</v>
      </c>
      <c r="C1041" s="2" t="n">
        <v>2</v>
      </c>
      <c r="D1041" s="2" t="n">
        <v>1</v>
      </c>
      <c r="E1041" s="2" t="n">
        <v>1</v>
      </c>
      <c r="F1041" s="2" t="n">
        <v>47</v>
      </c>
      <c r="G1041" s="2" t="s">
        <v>443</v>
      </c>
      <c r="H1041" s="2" t="str">
        <f aca="false">IFERROR(__xludf.dummyfunction("IF(I1053="""", """", REGEXEXTRACT(I1053, ""Padrao/([^/]+)""))"),"Jardim Manoel Penna")</f>
        <v>Jardim Manoel Penna</v>
      </c>
    </row>
    <row r="1042" customFormat="false" ht="15.75" hidden="false" customHeight="false" outlineLevel="0" collapsed="false">
      <c r="A1042" s="2" t="n">
        <v>72299</v>
      </c>
      <c r="B1042" s="2" t="s">
        <v>1011</v>
      </c>
      <c r="C1042" s="2" t="n">
        <v>2</v>
      </c>
      <c r="D1042" s="2" t="n">
        <v>1</v>
      </c>
      <c r="E1042" s="2" t="n">
        <v>1</v>
      </c>
      <c r="F1042" s="2" t="n">
        <v>60</v>
      </c>
      <c r="G1042" s="2" t="s">
        <v>443</v>
      </c>
      <c r="H1042" s="2" t="str">
        <f aca="false">IFERROR(__xludf.dummyfunction("IF(I1054="""", """", REGEXEXTRACT(I1054, ""Padrao/([^/]+)""))"),"Geraldo Correia de Carvalho")</f>
        <v>Geraldo Correia de Carvalho</v>
      </c>
    </row>
    <row r="1043" customFormat="false" ht="15.75" hidden="false" customHeight="false" outlineLevel="0" collapsed="false">
      <c r="A1043" s="2" t="n">
        <v>134651</v>
      </c>
      <c r="B1043" s="2" t="s">
        <v>1012</v>
      </c>
      <c r="C1043" s="2" t="n">
        <v>2</v>
      </c>
      <c r="D1043" s="2" t="n">
        <v>1</v>
      </c>
      <c r="E1043" s="2" t="n">
        <v>1</v>
      </c>
      <c r="F1043" s="2" t="n">
        <v>42</v>
      </c>
      <c r="G1043" s="2" t="s">
        <v>443</v>
      </c>
      <c r="H1043" s="2" t="str">
        <f aca="false">IFERROR(__xludf.dummyfunction("IF(I1055="""", """", REGEXEXTRACT(I1055, ""Padrao/([^/]+)""))"),"Jardim Heitor Rigon")</f>
        <v>Jardim Heitor Rigon</v>
      </c>
    </row>
    <row r="1044" customFormat="false" ht="15.75" hidden="false" customHeight="false" outlineLevel="0" collapsed="false">
      <c r="A1044" s="2" t="n">
        <v>219827</v>
      </c>
      <c r="B1044" s="2" t="s">
        <v>1013</v>
      </c>
      <c r="C1044" s="2" t="n">
        <v>2</v>
      </c>
      <c r="D1044" s="2" t="n">
        <v>1</v>
      </c>
      <c r="E1044" s="2" t="n">
        <v>1</v>
      </c>
      <c r="F1044" s="2" t="n">
        <v>41</v>
      </c>
      <c r="G1044" s="2" t="s">
        <v>435</v>
      </c>
      <c r="H1044" s="2" t="str">
        <f aca="false">IFERROR(__xludf.dummyfunction("IF(I1056="""", """", REGEXEXTRACT(I1056, ""Padrao/([^/]+)""))"),"Ipiranga")</f>
        <v>Ipiranga</v>
      </c>
    </row>
    <row r="1045" customFormat="false" ht="15.75" hidden="false" customHeight="false" outlineLevel="0" collapsed="false">
      <c r="A1045" s="2" t="n">
        <v>130523</v>
      </c>
      <c r="B1045" s="2" t="s">
        <v>1014</v>
      </c>
      <c r="C1045" s="2" t="n">
        <v>2</v>
      </c>
      <c r="D1045" s="2" t="n">
        <v>2</v>
      </c>
      <c r="E1045" s="2" t="n">
        <v>1</v>
      </c>
      <c r="F1045" s="2" t="n">
        <v>47</v>
      </c>
      <c r="G1045" s="2" t="s">
        <v>443</v>
      </c>
      <c r="H1045" s="2" t="str">
        <f aca="false">IFERROR(__xludf.dummyfunction("IF(I1057="""", """", REGEXEXTRACT(I1057, ""Padrao/([^/]+)""))"),"Jardim Jandaia")</f>
        <v>Jardim Jandaia</v>
      </c>
    </row>
    <row r="1046" customFormat="false" ht="15.75" hidden="false" customHeight="false" outlineLevel="0" collapsed="false">
      <c r="A1046" s="2" t="n">
        <v>134774</v>
      </c>
      <c r="B1046" s="2" t="s">
        <v>1015</v>
      </c>
      <c r="C1046" s="2" t="n">
        <v>2</v>
      </c>
      <c r="D1046" s="2" t="n">
        <v>1</v>
      </c>
      <c r="E1046" s="2" t="n">
        <v>1</v>
      </c>
      <c r="F1046" s="2" t="n">
        <v>40</v>
      </c>
      <c r="G1046" s="2" t="s">
        <v>1016</v>
      </c>
      <c r="H1046" s="2" t="str">
        <f aca="false">IFERROR(__xludf.dummyfunction("IF(I1058="""", """", REGEXEXTRACT(I1058, ""Padrao/([^/]+)""))"),"Reserva Real")</f>
        <v>Reserva Real</v>
      </c>
    </row>
    <row r="1047" customFormat="false" ht="15.75" hidden="false" customHeight="false" outlineLevel="0" collapsed="false">
      <c r="A1047" s="2" t="n">
        <v>227102</v>
      </c>
      <c r="B1047" s="2" t="s">
        <v>1017</v>
      </c>
      <c r="C1047" s="2" t="n">
        <v>2</v>
      </c>
      <c r="D1047" s="2" t="n">
        <v>1</v>
      </c>
      <c r="E1047" s="2" t="n">
        <v>1</v>
      </c>
      <c r="F1047" s="2" t="n">
        <v>41</v>
      </c>
      <c r="G1047" s="2" t="s">
        <v>428</v>
      </c>
      <c r="H1047" s="2" t="str">
        <f aca="false">IFERROR(__xludf.dummyfunction("IF(I1059="""", """", REGEXEXTRACT(I1059, ""Padrao/([^/]+)""))"),"Ipiranga")</f>
        <v>Ipiranga</v>
      </c>
    </row>
    <row r="1048" customFormat="false" ht="15.75" hidden="false" customHeight="false" outlineLevel="0" collapsed="false">
      <c r="A1048" s="2" t="n">
        <v>206282</v>
      </c>
      <c r="B1048" s="2" t="s">
        <v>726</v>
      </c>
      <c r="C1048" s="2" t="n">
        <v>2</v>
      </c>
      <c r="D1048" s="2" t="n">
        <v>1</v>
      </c>
      <c r="E1048" s="2" t="n">
        <v>1</v>
      </c>
      <c r="F1048" s="2" t="n">
        <v>48</v>
      </c>
      <c r="G1048" s="2" t="s">
        <v>1018</v>
      </c>
      <c r="H1048" s="2" t="str">
        <f aca="false">IFERROR(__xludf.dummyfunction("IF(I1060="""", """", REGEXEXTRACT(I1060, ""Padrao/([^/]+)""))"),"Quintino Facci II")</f>
        <v>Quintino Facci II</v>
      </c>
    </row>
    <row r="1049" customFormat="false" ht="15.75" hidden="false" customHeight="false" outlineLevel="0" collapsed="false">
      <c r="A1049" s="2" t="n">
        <v>244451</v>
      </c>
      <c r="B1049" s="2" t="s">
        <v>1019</v>
      </c>
      <c r="C1049" s="2" t="n">
        <v>2</v>
      </c>
      <c r="D1049" s="2" t="n">
        <v>1</v>
      </c>
      <c r="E1049" s="2" t="n">
        <v>1</v>
      </c>
      <c r="F1049" s="2" t="n">
        <v>43</v>
      </c>
      <c r="G1049" s="2" t="s">
        <v>1020</v>
      </c>
      <c r="H1049" s="2" t="str">
        <f aca="false">IFERROR(__xludf.dummyfunction("IF(I1061="""", """", REGEXEXTRACT(I1061, ""Padrao/([^/]+)""))"),"Jardim Jose Wilson Toni")</f>
        <v>Jardim Jose Wilson Toni</v>
      </c>
    </row>
    <row r="1050" customFormat="false" ht="15.75" hidden="false" customHeight="false" outlineLevel="0" collapsed="false">
      <c r="A1050" s="2" t="n">
        <v>239099</v>
      </c>
      <c r="B1050" s="2" t="s">
        <v>162</v>
      </c>
      <c r="C1050" s="2" t="n">
        <v>2</v>
      </c>
      <c r="D1050" s="2" t="n">
        <v>1</v>
      </c>
      <c r="E1050" s="2" t="n">
        <v>1</v>
      </c>
      <c r="F1050" s="2" t="n">
        <v>42</v>
      </c>
      <c r="G1050" s="2" t="s">
        <v>1020</v>
      </c>
      <c r="H1050" s="2" t="str">
        <f aca="false">IFERROR(__xludf.dummyfunction("IF(I1062="""", """", REGEXEXTRACT(I1062, ""Padrao/([^/]+)""))"),"Jardim Santa Cecilia")</f>
        <v>Jardim Santa Cecilia</v>
      </c>
    </row>
    <row r="1051" customFormat="false" ht="15.75" hidden="false" customHeight="false" outlineLevel="0" collapsed="false">
      <c r="A1051" s="2" t="n">
        <v>217019</v>
      </c>
      <c r="B1051" s="2" t="s">
        <v>788</v>
      </c>
      <c r="C1051" s="2" t="n">
        <v>2</v>
      </c>
      <c r="D1051" s="2" t="n">
        <v>1</v>
      </c>
      <c r="E1051" s="2" t="n">
        <v>1</v>
      </c>
      <c r="F1051" s="2" t="n">
        <v>42</v>
      </c>
      <c r="G1051" s="2" t="s">
        <v>1020</v>
      </c>
      <c r="H1051" s="2" t="str">
        <f aca="false">IFERROR(__xludf.dummyfunction("IF(I1063="""", """", REGEXEXTRACT(I1063, ""Padrao/([^/]+)""))"),"Jardim Jose Wilson Toni")</f>
        <v>Jardim Jose Wilson Toni</v>
      </c>
    </row>
    <row r="1052" customFormat="false" ht="15.75" hidden="false" customHeight="false" outlineLevel="0" collapsed="false">
      <c r="A1052" s="2" t="n">
        <v>59075</v>
      </c>
      <c r="B1052" s="2" t="s">
        <v>1021</v>
      </c>
      <c r="C1052" s="2" t="n">
        <v>2</v>
      </c>
      <c r="D1052" s="2" t="n">
        <v>1</v>
      </c>
      <c r="E1052" s="2" t="n">
        <v>1</v>
      </c>
      <c r="F1052" s="2" t="n">
        <v>53</v>
      </c>
      <c r="G1052" s="2" t="s">
        <v>1022</v>
      </c>
      <c r="H1052" s="2" t="str">
        <f aca="false">IFERROR(__xludf.dummyfunction("IF(I1064="""", """", REGEXEXTRACT(I1064, ""Padrao/([^/]+)""))"),"Jardim Anhanguera")</f>
        <v>Jardim Anhanguera</v>
      </c>
    </row>
    <row r="1053" customFormat="false" ht="15.75" hidden="false" customHeight="false" outlineLevel="0" collapsed="false">
      <c r="A1053" s="2" t="n">
        <v>48581</v>
      </c>
      <c r="B1053" s="2" t="s">
        <v>1023</v>
      </c>
      <c r="C1053" s="2" t="n">
        <v>1</v>
      </c>
      <c r="D1053" s="2" t="n">
        <v>1</v>
      </c>
      <c r="E1053" s="2" t="n">
        <v>1</v>
      </c>
      <c r="F1053" s="2" t="n">
        <v>38</v>
      </c>
      <c r="G1053" s="2" t="s">
        <v>443</v>
      </c>
      <c r="H1053" s="2" t="str">
        <f aca="false">IFERROR(__xludf.dummyfunction("IF(I1065="""", """", REGEXEXTRACT(I1065, ""Padrao/([^/]+)""))"),"Presidente Medici")</f>
        <v>Presidente Medici</v>
      </c>
    </row>
    <row r="1054" customFormat="false" ht="15.75" hidden="false" customHeight="false" outlineLevel="0" collapsed="false">
      <c r="A1054" s="2" t="n">
        <v>243464</v>
      </c>
      <c r="B1054" s="2" t="s">
        <v>1024</v>
      </c>
      <c r="C1054" s="2" t="n">
        <v>2</v>
      </c>
      <c r="D1054" s="2" t="n">
        <v>1</v>
      </c>
      <c r="E1054" s="2" t="n">
        <v>1</v>
      </c>
      <c r="F1054" s="2" t="n">
        <v>43</v>
      </c>
      <c r="G1054" s="2" t="s">
        <v>1025</v>
      </c>
      <c r="H1054" s="2" t="str">
        <f aca="false">IFERROR(__xludf.dummyfunction("IF(I1066="""", """", REGEXEXTRACT(I1066, ""Padrao/([^/]+)""))"),"Adelino Simioni")</f>
        <v>Adelino Simioni</v>
      </c>
    </row>
    <row r="1055" customFormat="false" ht="15.75" hidden="false" customHeight="false" outlineLevel="0" collapsed="false">
      <c r="A1055" s="2" t="n">
        <v>224606</v>
      </c>
      <c r="B1055" s="2" t="s">
        <v>1026</v>
      </c>
      <c r="C1055" s="2" t="n">
        <v>2</v>
      </c>
      <c r="D1055" s="2" t="n">
        <v>1</v>
      </c>
      <c r="E1055" s="2" t="n">
        <v>1</v>
      </c>
      <c r="F1055" s="2" t="n">
        <v>47</v>
      </c>
      <c r="G1055" s="2" t="s">
        <v>1025</v>
      </c>
      <c r="H1055" s="2" t="str">
        <f aca="false">IFERROR(__xludf.dummyfunction("IF(I1067="""", """", REGEXEXTRACT(I1067, ""Padrao/([^/]+)""))"),"Residencial Jequitiba")</f>
        <v>Residencial Jequitiba</v>
      </c>
    </row>
    <row r="1056" customFormat="false" ht="15.75" hidden="false" customHeight="false" outlineLevel="0" collapsed="false">
      <c r="A1056" s="2" t="n">
        <v>202325</v>
      </c>
      <c r="B1056" s="2" t="s">
        <v>1027</v>
      </c>
      <c r="C1056" s="2" t="n">
        <v>2</v>
      </c>
      <c r="D1056" s="2" t="n">
        <v>1</v>
      </c>
      <c r="E1056" s="2" t="n">
        <v>1</v>
      </c>
      <c r="F1056" s="2" t="n">
        <v>43</v>
      </c>
      <c r="G1056" s="2" t="s">
        <v>1025</v>
      </c>
      <c r="H1056" s="2" t="str">
        <f aca="false">IFERROR(__xludf.dummyfunction("IF(I1068="""", """", REGEXEXTRACT(I1068, ""Padrao/([^/]+)""))"),"Valentina Figueiredo")</f>
        <v>Valentina Figueiredo</v>
      </c>
    </row>
    <row r="1057" customFormat="false" ht="15.75" hidden="false" customHeight="false" outlineLevel="0" collapsed="false">
      <c r="A1057" s="2" t="n">
        <v>156686</v>
      </c>
      <c r="B1057" s="2" t="s">
        <v>386</v>
      </c>
      <c r="C1057" s="2" t="n">
        <v>2</v>
      </c>
      <c r="D1057" s="2" t="n">
        <v>1</v>
      </c>
      <c r="E1057" s="2" t="n">
        <v>1</v>
      </c>
      <c r="F1057" s="2" t="n">
        <v>42</v>
      </c>
      <c r="G1057" s="2" t="s">
        <v>1025</v>
      </c>
      <c r="H1057" s="2" t="str">
        <f aca="false">IFERROR(__xludf.dummyfunction("IF(I1069="""", """", REGEXEXTRACT(I1069, ""Padrao/([^/]+)""))"),"Jardim Florestan Fernandes")</f>
        <v>Jardim Florestan Fernandes</v>
      </c>
    </row>
    <row r="1058" customFormat="false" ht="15.75" hidden="false" customHeight="false" outlineLevel="0" collapsed="false">
      <c r="A1058" s="2" t="n">
        <v>222368</v>
      </c>
      <c r="B1058" s="2" t="s">
        <v>455</v>
      </c>
      <c r="C1058" s="2" t="n">
        <v>2</v>
      </c>
      <c r="D1058" s="2" t="n">
        <v>1</v>
      </c>
      <c r="E1058" s="2" t="n">
        <v>1</v>
      </c>
      <c r="F1058" s="2" t="n">
        <v>40</v>
      </c>
      <c r="G1058" s="2" t="s">
        <v>432</v>
      </c>
      <c r="H1058" s="2" t="str">
        <f aca="false">IFERROR(__xludf.dummyfunction("IF(I1070="""", """", REGEXEXTRACT(I1070, ""Padrao/([^/]+)""))"),"Reserva Real")</f>
        <v>Reserva Real</v>
      </c>
    </row>
    <row r="1059" customFormat="false" ht="15.75" hidden="false" customHeight="false" outlineLevel="0" collapsed="false">
      <c r="A1059" s="2" t="n">
        <v>227525</v>
      </c>
      <c r="B1059" s="2" t="s">
        <v>1028</v>
      </c>
      <c r="C1059" s="2" t="n">
        <v>4</v>
      </c>
      <c r="D1059" s="2" t="n">
        <v>6</v>
      </c>
      <c r="E1059" s="2" t="n">
        <v>4</v>
      </c>
      <c r="F1059" s="2" t="n">
        <v>227</v>
      </c>
      <c r="G1059" s="2" t="s">
        <v>1029</v>
      </c>
      <c r="H1059" s="2" t="str">
        <f aca="false">IFERROR(__xludf.dummyfunction("IF(I1071="""", """", REGEXEXTRACT(I1071, ""Padrao/([^/]+)""))"),"Jardim Ilhas do Sul")</f>
        <v>Jardim Ilhas do Sul</v>
      </c>
    </row>
    <row r="1060" customFormat="false" ht="15.75" hidden="false" customHeight="false" outlineLevel="0" collapsed="false">
      <c r="A1060" s="2" t="n">
        <v>244460</v>
      </c>
      <c r="B1060" s="2" t="s">
        <v>1030</v>
      </c>
      <c r="C1060" s="2" t="n">
        <v>4</v>
      </c>
      <c r="D1060" s="2" t="n">
        <v>6</v>
      </c>
      <c r="E1060" s="2" t="n">
        <v>4</v>
      </c>
      <c r="F1060" s="2" t="n">
        <v>298</v>
      </c>
      <c r="G1060" s="2" t="s">
        <v>823</v>
      </c>
      <c r="H1060" s="2" t="str">
        <f aca="false">IFERROR(__xludf.dummyfunction("IF(I1072="""", """", REGEXEXTRACT(I1072, ""Padrao/([^/]+)""))"),"Jardim Olhos DAgua")</f>
        <v>Jardim Olhos DAgua</v>
      </c>
    </row>
    <row r="1061" customFormat="false" ht="15.75" hidden="false" customHeight="false" outlineLevel="0" collapsed="false">
      <c r="A1061" s="2" t="n">
        <v>237380</v>
      </c>
      <c r="B1061" s="2" t="s">
        <v>1031</v>
      </c>
      <c r="C1061" s="2" t="n">
        <v>1</v>
      </c>
      <c r="D1061" s="2" t="n">
        <v>1</v>
      </c>
      <c r="E1061" s="2" t="n">
        <v>1</v>
      </c>
      <c r="F1061" s="2" t="n">
        <v>49</v>
      </c>
      <c r="G1061" s="2" t="s">
        <v>681</v>
      </c>
      <c r="H1061" s="2" t="str">
        <f aca="false">IFERROR(__xludf.dummyfunction("IF(I1073="""", """", REGEXEXTRACT(I1073, ""Padrao/([^/]+)""))"),"Centro")</f>
        <v>Centro</v>
      </c>
    </row>
    <row r="1062" customFormat="false" ht="15.75" hidden="false" customHeight="false" outlineLevel="0" collapsed="false">
      <c r="A1062" s="2" t="n">
        <v>244358</v>
      </c>
      <c r="B1062" s="2" t="s">
        <v>1032</v>
      </c>
      <c r="C1062" s="2" t="n">
        <v>2</v>
      </c>
      <c r="D1062" s="2" t="n">
        <v>1</v>
      </c>
      <c r="E1062" s="2" t="n">
        <v>1</v>
      </c>
      <c r="F1062" s="2" t="n">
        <v>41</v>
      </c>
      <c r="G1062" s="2" t="s">
        <v>414</v>
      </c>
      <c r="H1062" s="2" t="str">
        <f aca="false">IFERROR(__xludf.dummyfunction("IF(I1074="""", """", REGEXEXTRACT(I1074, ""Padrao/([^/]+)""))"),"Reserva Real")</f>
        <v>Reserva Real</v>
      </c>
    </row>
    <row r="1063" customFormat="false" ht="15.75" hidden="false" customHeight="false" outlineLevel="0" collapsed="false">
      <c r="A1063" s="2" t="n">
        <v>207803</v>
      </c>
      <c r="B1063" s="2" t="s">
        <v>1033</v>
      </c>
      <c r="C1063" s="2" t="n">
        <v>2</v>
      </c>
      <c r="D1063" s="2" t="n">
        <v>1</v>
      </c>
      <c r="E1063" s="2" t="n">
        <v>1</v>
      </c>
      <c r="F1063" s="2" t="n">
        <v>42</v>
      </c>
      <c r="G1063" s="2" t="s">
        <v>797</v>
      </c>
      <c r="H1063" s="2" t="str">
        <f aca="false">IFERROR(__xludf.dummyfunction("IF(I1075="""", """", REGEXEXTRACT(I1075, ""Padrao/([^/]+)""))"),"Recanto das Palmeiras")</f>
        <v>Recanto das Palmeiras</v>
      </c>
    </row>
    <row r="1064" customFormat="false" ht="15.75" hidden="false" customHeight="false" outlineLevel="0" collapsed="false">
      <c r="A1064" s="2" t="n">
        <v>225974</v>
      </c>
      <c r="B1064" s="2" t="s">
        <v>819</v>
      </c>
      <c r="C1064" s="2" t="n">
        <v>2</v>
      </c>
      <c r="D1064" s="2" t="n">
        <v>1</v>
      </c>
      <c r="E1064" s="2" t="n">
        <v>1</v>
      </c>
      <c r="F1064" s="2" t="n">
        <v>42</v>
      </c>
      <c r="G1064" s="2" t="s">
        <v>425</v>
      </c>
      <c r="H1064" s="2" t="str">
        <f aca="false">IFERROR(__xludf.dummyfunction("IF(I1076="""", """", REGEXEXTRACT(I1076, ""Padrao/([^/]+)""))"),"Valentina Figueiredo")</f>
        <v>Valentina Figueiredo</v>
      </c>
    </row>
    <row r="1065" customFormat="false" ht="15.75" hidden="false" customHeight="false" outlineLevel="0" collapsed="false">
      <c r="A1065" s="2" t="n">
        <v>167576</v>
      </c>
      <c r="B1065" s="2" t="s">
        <v>1034</v>
      </c>
      <c r="C1065" s="2" t="n">
        <v>2</v>
      </c>
      <c r="D1065" s="2" t="n">
        <v>1</v>
      </c>
      <c r="E1065" s="2" t="n">
        <v>1</v>
      </c>
      <c r="F1065" s="2" t="n">
        <v>44</v>
      </c>
      <c r="G1065" s="2" t="s">
        <v>425</v>
      </c>
      <c r="H1065" s="2" t="str">
        <f aca="false">IFERROR(__xludf.dummyfunction("IF(I1077="""", """", REGEXEXTRACT(I1077, ""Padrao/([^/]+)""))"),"Jardim Eugenio Mendes Lopes")</f>
        <v>Jardim Eugenio Mendes Lopes</v>
      </c>
    </row>
    <row r="1066" customFormat="false" ht="15.75" hidden="false" customHeight="false" outlineLevel="0" collapsed="false">
      <c r="A1066" s="2" t="n">
        <v>135344</v>
      </c>
      <c r="B1066" s="2" t="s">
        <v>1035</v>
      </c>
      <c r="C1066" s="2" t="n">
        <v>2</v>
      </c>
      <c r="D1066" s="2" t="n">
        <v>1</v>
      </c>
      <c r="E1066" s="2" t="n">
        <v>1</v>
      </c>
      <c r="F1066" s="2" t="n">
        <v>42</v>
      </c>
      <c r="G1066" s="2" t="s">
        <v>425</v>
      </c>
      <c r="H1066" s="2" t="str">
        <f aca="false">IFERROR(__xludf.dummyfunction("IF(I1078="""", """", REGEXEXTRACT(I1078, ""Padrao/([^/]+)""))"),"Jardim Florestan Fernandes")</f>
        <v>Jardim Florestan Fernandes</v>
      </c>
    </row>
    <row r="1067" customFormat="false" ht="15.75" hidden="false" customHeight="false" outlineLevel="0" collapsed="false">
      <c r="A1067" s="2" t="n">
        <v>224642</v>
      </c>
      <c r="B1067" s="2" t="s">
        <v>1036</v>
      </c>
      <c r="C1067" s="2" t="n">
        <v>2</v>
      </c>
      <c r="D1067" s="2" t="n">
        <v>1</v>
      </c>
      <c r="E1067" s="2" t="n">
        <v>1</v>
      </c>
      <c r="F1067" s="2" t="n">
        <v>42</v>
      </c>
      <c r="G1067" s="2" t="s">
        <v>428</v>
      </c>
      <c r="H1067" s="2" t="str">
        <f aca="false">IFERROR(__xludf.dummyfunction("IF(I1079="""", """", REGEXEXTRACT(I1079, ""Padrao/([^/]+)""))"),"Jardim Heitor Rigon")</f>
        <v>Jardim Heitor Rigon</v>
      </c>
    </row>
    <row r="1068" customFormat="false" ht="15.75" hidden="false" customHeight="false" outlineLevel="0" collapsed="false">
      <c r="A1068" s="2" t="n">
        <v>161870</v>
      </c>
      <c r="B1068" s="2" t="s">
        <v>810</v>
      </c>
      <c r="C1068" s="2" t="n">
        <v>2</v>
      </c>
      <c r="D1068" s="2" t="n">
        <v>1</v>
      </c>
      <c r="E1068" s="2" t="n">
        <v>1</v>
      </c>
      <c r="F1068" s="2" t="n">
        <v>42</v>
      </c>
      <c r="G1068" s="2" t="s">
        <v>432</v>
      </c>
      <c r="H1068" s="2" t="str">
        <f aca="false">IFERROR(__xludf.dummyfunction("IF(I1080="""", """", REGEXEXTRACT(I1080, ""Padrao/([^/]+)""))"),"Jardim Florestan Fernandes")</f>
        <v>Jardim Florestan Fernandes</v>
      </c>
    </row>
    <row r="1069" customFormat="false" ht="15.75" hidden="false" customHeight="false" outlineLevel="0" collapsed="false">
      <c r="A1069" s="2" t="n">
        <v>214118</v>
      </c>
      <c r="B1069" s="2" t="s">
        <v>1037</v>
      </c>
      <c r="C1069" s="2" t="n">
        <v>2</v>
      </c>
      <c r="D1069" s="2" t="n">
        <v>1</v>
      </c>
      <c r="E1069" s="2" t="n">
        <v>1</v>
      </c>
      <c r="F1069" s="2" t="n">
        <v>41</v>
      </c>
      <c r="G1069" s="2" t="s">
        <v>435</v>
      </c>
      <c r="H1069" s="2" t="str">
        <f aca="false">IFERROR(__xludf.dummyfunction("IF(I1081="""", """", REGEXEXTRACT(I1081, ""Padrao/([^/]+)""))"),"Reserva Real")</f>
        <v>Reserva Real</v>
      </c>
    </row>
    <row r="1070" customFormat="false" ht="15.75" hidden="false" customHeight="false" outlineLevel="0" collapsed="false">
      <c r="A1070" s="2" t="n">
        <v>192305</v>
      </c>
      <c r="B1070" s="2" t="s">
        <v>1038</v>
      </c>
      <c r="C1070" s="2" t="n">
        <v>2</v>
      </c>
      <c r="D1070" s="2" t="n">
        <v>1</v>
      </c>
      <c r="E1070" s="2" t="n">
        <v>1</v>
      </c>
      <c r="F1070" s="2" t="n">
        <v>46</v>
      </c>
      <c r="G1070" s="2" t="s">
        <v>435</v>
      </c>
      <c r="H1070" s="2" t="str">
        <f aca="false">IFERROR(__xludf.dummyfunction("IF(I1082="""", """", REGEXEXTRACT(I1082, ""Padrao/([^/]+)""))"),"Ipiranga")</f>
        <v>Ipiranga</v>
      </c>
    </row>
    <row r="1071" customFormat="false" ht="15.75" hidden="false" customHeight="false" outlineLevel="0" collapsed="false">
      <c r="A1071" s="2" t="n">
        <v>161210</v>
      </c>
      <c r="B1071" s="2" t="s">
        <v>680</v>
      </c>
      <c r="C1071" s="2" t="n">
        <v>2</v>
      </c>
      <c r="D1071" s="2" t="n">
        <v>1</v>
      </c>
      <c r="E1071" s="2" t="n">
        <v>1</v>
      </c>
      <c r="F1071" s="2" t="n">
        <v>42</v>
      </c>
      <c r="G1071" s="2" t="s">
        <v>435</v>
      </c>
      <c r="H1071" s="2" t="str">
        <f aca="false">IFERROR(__xludf.dummyfunction("IF(I1083="""", """", REGEXEXTRACT(I1083, ""Padrao/([^/]+)""))"),"Quintino Facci II")</f>
        <v>Quintino Facci II</v>
      </c>
    </row>
    <row r="1072" customFormat="false" ht="15.75" hidden="false" customHeight="false" outlineLevel="0" collapsed="false">
      <c r="A1072" s="2" t="n">
        <v>106130</v>
      </c>
      <c r="B1072" s="2" t="s">
        <v>162</v>
      </c>
      <c r="C1072" s="2" t="n">
        <v>2</v>
      </c>
      <c r="D1072" s="2" t="n">
        <v>1</v>
      </c>
      <c r="E1072" s="2" t="n">
        <v>1</v>
      </c>
      <c r="F1072" s="2" t="n">
        <v>54</v>
      </c>
      <c r="G1072" s="2" t="s">
        <v>435</v>
      </c>
      <c r="H1072" s="2" t="str">
        <f aca="false">IFERROR(__xludf.dummyfunction("IF(I1084="""", """", REGEXEXTRACT(I1084, ""Padrao/([^/]+)""))"),"Planalto Verde")</f>
        <v>Planalto Verde</v>
      </c>
    </row>
    <row r="1073" customFormat="false" ht="15.75" hidden="false" customHeight="false" outlineLevel="0" collapsed="false">
      <c r="A1073" s="2" t="n">
        <v>185984</v>
      </c>
      <c r="B1073" s="2" t="s">
        <v>1039</v>
      </c>
      <c r="C1073" s="2" t="n">
        <v>2</v>
      </c>
      <c r="D1073" s="2" t="n">
        <v>1</v>
      </c>
      <c r="E1073" s="2" t="n">
        <v>1</v>
      </c>
      <c r="F1073" s="2" t="n">
        <v>45</v>
      </c>
      <c r="G1073" s="2" t="s">
        <v>443</v>
      </c>
      <c r="H1073" s="2" t="str">
        <f aca="false">IFERROR(__xludf.dummyfunction("IF(I1085="""", """", REGEXEXTRACT(I1085, ""Padrao/([^/]+)""))"),"Parque Sao Sebastiao")</f>
        <v>Parque Sao Sebastiao</v>
      </c>
    </row>
    <row r="1074" customFormat="false" ht="15.75" hidden="false" customHeight="false" outlineLevel="0" collapsed="false">
      <c r="A1074" s="2" t="n">
        <v>161759</v>
      </c>
      <c r="B1074" s="2" t="s">
        <v>819</v>
      </c>
      <c r="C1074" s="2" t="n">
        <v>2</v>
      </c>
      <c r="D1074" s="2" t="n">
        <v>1</v>
      </c>
      <c r="E1074" s="2" t="n">
        <v>1</v>
      </c>
      <c r="F1074" s="2" t="n">
        <v>42</v>
      </c>
      <c r="G1074" s="2" t="s">
        <v>443</v>
      </c>
      <c r="H1074" s="2" t="str">
        <f aca="false">IFERROR(__xludf.dummyfunction("IF(I1086="""", """", REGEXEXTRACT(I1086, ""Padrao/([^/]+)""))"),"Valentina Figueiredo")</f>
        <v>Valentina Figueiredo</v>
      </c>
    </row>
    <row r="1075" customFormat="false" ht="15.75" hidden="false" customHeight="false" outlineLevel="0" collapsed="false">
      <c r="A1075" s="2" t="n">
        <v>245585</v>
      </c>
      <c r="B1075" s="2" t="s">
        <v>843</v>
      </c>
      <c r="C1075" s="2" t="n">
        <v>2</v>
      </c>
      <c r="D1075" s="2" t="n">
        <v>1</v>
      </c>
      <c r="E1075" s="2" t="n">
        <v>1</v>
      </c>
      <c r="F1075" s="2" t="n">
        <v>40</v>
      </c>
      <c r="G1075" s="2" t="s">
        <v>446</v>
      </c>
      <c r="H1075" s="2" t="str">
        <f aca="false">IFERROR(__xludf.dummyfunction("IF(I1087="""", """", REGEXEXTRACT(I1087, ""Padrao/([^/]+)""))"),"Jardim Ouro Branco")</f>
        <v>Jardim Ouro Branco</v>
      </c>
    </row>
    <row r="1076" customFormat="false" ht="15.75" hidden="false" customHeight="false" outlineLevel="0" collapsed="false">
      <c r="A1076" s="2" t="n">
        <v>243359</v>
      </c>
      <c r="B1076" s="2" t="s">
        <v>843</v>
      </c>
      <c r="C1076" s="2" t="n">
        <v>2</v>
      </c>
      <c r="D1076" s="2" t="n">
        <v>1</v>
      </c>
      <c r="E1076" s="2" t="n">
        <v>1</v>
      </c>
      <c r="F1076" s="2" t="n">
        <v>40</v>
      </c>
      <c r="G1076" s="2" t="s">
        <v>446</v>
      </c>
      <c r="H1076" s="2" t="str">
        <f aca="false">IFERROR(__xludf.dummyfunction("IF(I1088="""", """", REGEXEXTRACT(I1088, ""Padrao/([^/]+)""))"),"Jardim Ouro Branco")</f>
        <v>Jardim Ouro Branco</v>
      </c>
    </row>
    <row r="1077" customFormat="false" ht="15.75" hidden="false" customHeight="false" outlineLevel="0" collapsed="false">
      <c r="A1077" s="2" t="n">
        <v>242165</v>
      </c>
      <c r="B1077" s="2" t="s">
        <v>1040</v>
      </c>
      <c r="C1077" s="2" t="n">
        <v>1</v>
      </c>
      <c r="D1077" s="2" t="n">
        <v>1</v>
      </c>
      <c r="E1077" s="2" t="n">
        <v>1</v>
      </c>
      <c r="F1077" s="2" t="n">
        <v>50</v>
      </c>
      <c r="G1077" s="2" t="s">
        <v>446</v>
      </c>
      <c r="H1077" s="2" t="str">
        <f aca="false">IFERROR(__xludf.dummyfunction("IF(I1089="""", """", REGEXEXTRACT(I1089, ""Padrao/([^/]+)""))"),"Centro")</f>
        <v>Centro</v>
      </c>
    </row>
    <row r="1078" customFormat="false" ht="15.75" hidden="false" customHeight="false" outlineLevel="0" collapsed="false">
      <c r="A1078" s="2" t="n">
        <v>240863</v>
      </c>
      <c r="B1078" s="2" t="s">
        <v>162</v>
      </c>
      <c r="C1078" s="2" t="n">
        <v>2</v>
      </c>
      <c r="D1078" s="2" t="n">
        <v>1</v>
      </c>
      <c r="E1078" s="2" t="n">
        <v>1</v>
      </c>
      <c r="F1078" s="2" t="n">
        <v>41</v>
      </c>
      <c r="G1078" s="2" t="s">
        <v>446</v>
      </c>
      <c r="H1078" s="2" t="str">
        <f aca="false">IFERROR(__xludf.dummyfunction("IF(I1090="""", """", REGEXEXTRACT(I1090, ""Padrao/([^/]+)""))"),"Reserva Real")</f>
        <v>Reserva Real</v>
      </c>
    </row>
    <row r="1079" customFormat="false" ht="15.75" hidden="false" customHeight="false" outlineLevel="0" collapsed="false">
      <c r="A1079" s="2" t="n">
        <v>240326</v>
      </c>
      <c r="B1079" s="2" t="s">
        <v>937</v>
      </c>
      <c r="C1079" s="2" t="n">
        <v>2</v>
      </c>
      <c r="D1079" s="2" t="n">
        <v>1</v>
      </c>
      <c r="E1079" s="2" t="n">
        <v>1</v>
      </c>
      <c r="F1079" s="2" t="n">
        <v>43</v>
      </c>
      <c r="G1079" s="2" t="s">
        <v>446</v>
      </c>
      <c r="H1079" s="2" t="str">
        <f aca="false">IFERROR(__xludf.dummyfunction("IF(I1091="""", """", REGEXEXTRACT(I1091, ""Padrao/([^/]+)""))"),"Chacaras Pedro Correa de Carvalho")</f>
        <v>Chacaras Pedro Correa de Carvalho</v>
      </c>
    </row>
    <row r="1080" customFormat="false" ht="15.75" hidden="false" customHeight="false" outlineLevel="0" collapsed="false">
      <c r="A1080" s="2" t="n">
        <v>239939</v>
      </c>
      <c r="B1080" s="2" t="s">
        <v>1041</v>
      </c>
      <c r="C1080" s="2" t="n">
        <v>2</v>
      </c>
      <c r="D1080" s="2" t="n">
        <v>1</v>
      </c>
      <c r="E1080" s="2" t="n">
        <v>1</v>
      </c>
      <c r="F1080" s="2" t="n">
        <v>48</v>
      </c>
      <c r="G1080" s="2" t="s">
        <v>446</v>
      </c>
      <c r="H1080" s="2" t="str">
        <f aca="false">IFERROR(__xludf.dummyfunction("IF(I1092="""", """", REGEXEXTRACT(I1092, ""Padrao/([^/]+)""))"),"Parque dos Pinus")</f>
        <v>Parque dos Pinus</v>
      </c>
    </row>
    <row r="1081" customFormat="false" ht="15.75" hidden="false" customHeight="false" outlineLevel="0" collapsed="false">
      <c r="A1081" s="2" t="n">
        <v>239789</v>
      </c>
      <c r="B1081" s="2" t="s">
        <v>1042</v>
      </c>
      <c r="C1081" s="2" t="n">
        <v>2</v>
      </c>
      <c r="D1081" s="2" t="n">
        <v>1</v>
      </c>
      <c r="E1081" s="2" t="n">
        <v>1</v>
      </c>
      <c r="F1081" s="2" t="n">
        <v>44</v>
      </c>
      <c r="G1081" s="2" t="s">
        <v>446</v>
      </c>
      <c r="H1081" s="2" t="str">
        <f aca="false">IFERROR(__xludf.dummyfunction("IF(I1093="""", """", REGEXEXTRACT(I1093, ""Padrao/([^/]+)""))"),"Residencial Greenville")</f>
        <v>Residencial Greenville</v>
      </c>
    </row>
    <row r="1082" customFormat="false" ht="15.75" hidden="false" customHeight="false" outlineLevel="0" collapsed="false">
      <c r="A1082" s="2" t="n">
        <v>239732</v>
      </c>
      <c r="B1082" s="2" t="s">
        <v>815</v>
      </c>
      <c r="C1082" s="2" t="n">
        <v>2</v>
      </c>
      <c r="D1082" s="2" t="n">
        <v>1</v>
      </c>
      <c r="E1082" s="2" t="n">
        <v>1</v>
      </c>
      <c r="F1082" s="2" t="n">
        <v>42</v>
      </c>
      <c r="G1082" s="2" t="s">
        <v>446</v>
      </c>
      <c r="H1082" s="2" t="str">
        <f aca="false">IFERROR(__xludf.dummyfunction("IF(I1094="""", """", REGEXEXTRACT(I1094, ""Padrao/([^/]+)""))"),"Planalto Verde")</f>
        <v>Planalto Verde</v>
      </c>
    </row>
    <row r="1083" customFormat="false" ht="15.75" hidden="false" customHeight="false" outlineLevel="0" collapsed="false">
      <c r="A1083" s="2" t="n">
        <v>239468</v>
      </c>
      <c r="B1083" s="2" t="s">
        <v>766</v>
      </c>
      <c r="C1083" s="2" t="n">
        <v>2</v>
      </c>
      <c r="D1083" s="2" t="n">
        <v>1</v>
      </c>
      <c r="E1083" s="2" t="n">
        <v>1</v>
      </c>
      <c r="F1083" s="2" t="n">
        <v>42</v>
      </c>
      <c r="G1083" s="2" t="s">
        <v>446</v>
      </c>
      <c r="H1083" s="2" t="str">
        <f aca="false">IFERROR(__xludf.dummyfunction("IF(I1095="""", """", REGEXEXTRACT(I1095, ""Padrao/([^/]+)""))"),"Residencial Parque dos Servidores")</f>
        <v>Residencial Parque dos Servidores</v>
      </c>
    </row>
    <row r="1084" customFormat="false" ht="15.75" hidden="false" customHeight="false" outlineLevel="0" collapsed="false">
      <c r="A1084" s="2" t="n">
        <v>239087</v>
      </c>
      <c r="B1084" s="2" t="s">
        <v>1043</v>
      </c>
      <c r="C1084" s="2" t="n">
        <v>2</v>
      </c>
      <c r="D1084" s="2" t="n">
        <v>1</v>
      </c>
      <c r="E1084" s="2" t="n">
        <v>1</v>
      </c>
      <c r="F1084" s="2" t="n">
        <v>43</v>
      </c>
      <c r="G1084" s="2" t="s">
        <v>446</v>
      </c>
      <c r="H1084" s="2" t="str">
        <f aca="false">IFERROR(__xludf.dummyfunction("IF(I1096="""", """", REGEXEXTRACT(I1096, ""Padrao/([^/]+)""))"),"Loteamento Santa Marta")</f>
        <v>Loteamento Santa Marta</v>
      </c>
    </row>
    <row r="1085" customFormat="false" ht="15.75" hidden="false" customHeight="false" outlineLevel="0" collapsed="false">
      <c r="A1085" s="2" t="n">
        <v>237323</v>
      </c>
      <c r="B1085" s="2" t="s">
        <v>403</v>
      </c>
      <c r="C1085" s="2" t="n">
        <v>2</v>
      </c>
      <c r="D1085" s="2" t="n">
        <v>1</v>
      </c>
      <c r="E1085" s="2" t="n">
        <v>1</v>
      </c>
      <c r="F1085" s="2" t="n">
        <v>47</v>
      </c>
      <c r="G1085" s="2" t="s">
        <v>446</v>
      </c>
      <c r="H1085" s="2" t="str">
        <f aca="false">IFERROR(__xludf.dummyfunction("IF(I1097="""", """", REGEXEXTRACT(I1097, ""Padrao/([^/]+)""))"),"Conjunto Habitacional Jardim das Palmeiras")</f>
        <v>Conjunto Habitacional Jardim das Palmeiras</v>
      </c>
    </row>
    <row r="1086" customFormat="false" ht="15.75" hidden="false" customHeight="false" outlineLevel="0" collapsed="false">
      <c r="A1086" s="2" t="n">
        <v>236006</v>
      </c>
      <c r="B1086" s="2" t="s">
        <v>1044</v>
      </c>
      <c r="C1086" s="2" t="n">
        <v>1</v>
      </c>
      <c r="D1086" s="2" t="n">
        <v>1</v>
      </c>
      <c r="E1086" s="2" t="n">
        <v>1</v>
      </c>
      <c r="F1086" s="2" t="n">
        <v>31</v>
      </c>
      <c r="G1086" s="2" t="s">
        <v>446</v>
      </c>
      <c r="H1086" s="2" t="str">
        <f aca="false">IFERROR(__xludf.dummyfunction("IF(I1098="""", """", REGEXEXTRACT(I1098, ""Padrao/([^/]+)""))"),"Vila Virginia")</f>
        <v>Vila Virginia</v>
      </c>
    </row>
    <row r="1087" customFormat="false" ht="15.75" hidden="false" customHeight="false" outlineLevel="0" collapsed="false">
      <c r="A1087" s="2" t="n">
        <v>234221</v>
      </c>
      <c r="B1087" s="2" t="s">
        <v>905</v>
      </c>
      <c r="C1087" s="2" t="n">
        <v>2</v>
      </c>
      <c r="D1087" s="2" t="n">
        <v>1</v>
      </c>
      <c r="E1087" s="2" t="n">
        <v>1</v>
      </c>
      <c r="F1087" s="2" t="n">
        <v>42</v>
      </c>
      <c r="G1087" s="2" t="s">
        <v>446</v>
      </c>
      <c r="H1087" s="2" t="str">
        <f aca="false">IFERROR(__xludf.dummyfunction("IF(I1099="""", """", REGEXEXTRACT(I1099, ""Padrao/([^/]+)""))"),"Residencial Parque dos Servidores")</f>
        <v>Residencial Parque dos Servidores</v>
      </c>
    </row>
    <row r="1088" customFormat="false" ht="15.75" hidden="false" customHeight="false" outlineLevel="0" collapsed="false">
      <c r="A1088" s="2" t="n">
        <v>234062</v>
      </c>
      <c r="B1088" s="2" t="s">
        <v>398</v>
      </c>
      <c r="C1088" s="2" t="n">
        <v>2</v>
      </c>
      <c r="D1088" s="2" t="n">
        <v>1</v>
      </c>
      <c r="E1088" s="2" t="n">
        <v>1</v>
      </c>
      <c r="F1088" s="2" t="n">
        <v>43</v>
      </c>
      <c r="G1088" s="2" t="s">
        <v>446</v>
      </c>
      <c r="H1088" s="2" t="str">
        <f aca="false">IFERROR(__xludf.dummyfunction("IF(I1100="""", """", REGEXEXTRACT(I1100, ""Padrao/([^/]+)""))"),"Jardim Heitor Rigon")</f>
        <v>Jardim Heitor Rigon</v>
      </c>
    </row>
    <row r="1089" customFormat="false" ht="15.75" hidden="false" customHeight="false" outlineLevel="0" collapsed="false">
      <c r="A1089" s="2" t="n">
        <v>230753</v>
      </c>
      <c r="B1089" s="2" t="s">
        <v>1045</v>
      </c>
      <c r="C1089" s="2" t="n">
        <v>2</v>
      </c>
      <c r="D1089" s="2" t="n">
        <v>1</v>
      </c>
      <c r="E1089" s="2" t="n">
        <v>1</v>
      </c>
      <c r="F1089" s="2" t="n">
        <v>42</v>
      </c>
      <c r="G1089" s="2" t="s">
        <v>446</v>
      </c>
      <c r="H1089" s="2" t="str">
        <f aca="false">IFERROR(__xludf.dummyfunction("IF(I1101="""", """", REGEXEXTRACT(I1101, ""Padrao/([^/]+)""))"),"Planalto Verde")</f>
        <v>Planalto Verde</v>
      </c>
    </row>
    <row r="1090" customFormat="false" ht="15.75" hidden="false" customHeight="false" outlineLevel="0" collapsed="false">
      <c r="A1090" s="2" t="n">
        <v>229664</v>
      </c>
      <c r="B1090" s="2" t="s">
        <v>882</v>
      </c>
      <c r="C1090" s="2" t="n">
        <v>2</v>
      </c>
      <c r="D1090" s="2" t="n">
        <v>1</v>
      </c>
      <c r="E1090" s="2" t="n">
        <v>1</v>
      </c>
      <c r="F1090" s="2" t="n">
        <v>45</v>
      </c>
      <c r="G1090" s="2" t="s">
        <v>446</v>
      </c>
      <c r="H1090" s="2" t="str">
        <f aca="false">IFERROR(__xludf.dummyfunction("IF(I1102="""", """", REGEXEXTRACT(I1102, ""Padrao/([^/]+)""))"),"Parque Sao Sebastiao")</f>
        <v>Parque Sao Sebastiao</v>
      </c>
    </row>
    <row r="1091" customFormat="false" ht="15.75" hidden="false" customHeight="false" outlineLevel="0" collapsed="false">
      <c r="A1091" s="2" t="n">
        <v>226067</v>
      </c>
      <c r="B1091" s="2" t="s">
        <v>1046</v>
      </c>
      <c r="C1091" s="2" t="n">
        <v>2</v>
      </c>
      <c r="D1091" s="2" t="n">
        <v>1</v>
      </c>
      <c r="E1091" s="2" t="n">
        <v>1</v>
      </c>
      <c r="F1091" s="2" t="n">
        <v>43</v>
      </c>
      <c r="G1091" s="2" t="s">
        <v>446</v>
      </c>
      <c r="H1091" s="2" t="str">
        <f aca="false">IFERROR(__xludf.dummyfunction("IF(I1103="""", """", REGEXEXTRACT(I1103, ""Padrao/([^/]+)""))"),"Chacaras Pedro Correa de Carvalho")</f>
        <v>Chacaras Pedro Correa de Carvalho</v>
      </c>
    </row>
    <row r="1092" customFormat="false" ht="15.75" hidden="false" customHeight="false" outlineLevel="0" collapsed="false">
      <c r="A1092" s="2" t="n">
        <v>224840</v>
      </c>
      <c r="B1092" s="2" t="s">
        <v>1047</v>
      </c>
      <c r="C1092" s="2" t="n">
        <v>2</v>
      </c>
      <c r="D1092" s="2" t="n">
        <v>1</v>
      </c>
      <c r="E1092" s="2" t="n">
        <v>1</v>
      </c>
      <c r="F1092" s="2" t="n">
        <v>42</v>
      </c>
      <c r="G1092" s="2" t="s">
        <v>446</v>
      </c>
      <c r="H1092" s="2" t="str">
        <f aca="false">IFERROR(__xludf.dummyfunction("IF(I1104="""", """", REGEXEXTRACT(I1104, ""Padrao/([^/]+)""))"),"Jardim Itau")</f>
        <v>Jardim Itau</v>
      </c>
    </row>
    <row r="1093" customFormat="false" ht="15.75" hidden="false" customHeight="false" outlineLevel="0" collapsed="false">
      <c r="A1093" s="2" t="n">
        <v>224720</v>
      </c>
      <c r="B1093" s="2" t="s">
        <v>1048</v>
      </c>
      <c r="C1093" s="2" t="n">
        <v>1</v>
      </c>
      <c r="D1093" s="2" t="n">
        <v>1</v>
      </c>
      <c r="E1093" s="2" t="n">
        <v>1</v>
      </c>
      <c r="F1093" s="2" t="n">
        <v>43</v>
      </c>
      <c r="G1093" s="2" t="s">
        <v>446</v>
      </c>
      <c r="H1093" s="2" t="str">
        <f aca="false">IFERROR(__xludf.dummyfunction("IF(I1105="""", """", REGEXEXTRACT(I1105, ""Padrao/([^/]+)""))"),"Centro")</f>
        <v>Centro</v>
      </c>
    </row>
    <row r="1094" customFormat="false" ht="15.75" hidden="false" customHeight="false" outlineLevel="0" collapsed="false">
      <c r="A1094" s="2" t="n">
        <v>223925</v>
      </c>
      <c r="B1094" s="2" t="s">
        <v>802</v>
      </c>
      <c r="C1094" s="2" t="n">
        <v>2</v>
      </c>
      <c r="D1094" s="2" t="n">
        <v>1</v>
      </c>
      <c r="E1094" s="2" t="n">
        <v>1</v>
      </c>
      <c r="F1094" s="2" t="n">
        <v>41</v>
      </c>
      <c r="G1094" s="2" t="s">
        <v>446</v>
      </c>
      <c r="H1094" s="2" t="str">
        <f aca="false">IFERROR(__xludf.dummyfunction("IF(I1106="""", """", REGEXEXTRACT(I1106, ""Padrao/([^/]+)""))"),"Conjunto Habitacional Silvio Passalacqua")</f>
        <v>Conjunto Habitacional Silvio Passalacqua</v>
      </c>
    </row>
    <row r="1095" customFormat="false" ht="15.75" hidden="false" customHeight="false" outlineLevel="0" collapsed="false">
      <c r="A1095" s="2" t="n">
        <v>223217</v>
      </c>
      <c r="B1095" s="2" t="s">
        <v>1049</v>
      </c>
      <c r="C1095" s="2" t="n">
        <v>2</v>
      </c>
      <c r="D1095" s="2" t="n">
        <v>1</v>
      </c>
      <c r="E1095" s="2" t="n">
        <v>1</v>
      </c>
      <c r="F1095" s="2" t="n">
        <v>41</v>
      </c>
      <c r="G1095" s="2" t="s">
        <v>446</v>
      </c>
      <c r="H1095" s="2" t="str">
        <f aca="false">IFERROR(__xludf.dummyfunction("IF(I1107="""", """", REGEXEXTRACT(I1107, ""Padrao/([^/]+)""))"),"Reserva Real")</f>
        <v>Reserva Real</v>
      </c>
    </row>
    <row r="1096" customFormat="false" ht="15.75" hidden="false" customHeight="false" outlineLevel="0" collapsed="false">
      <c r="A1096" s="2" t="n">
        <v>221885</v>
      </c>
      <c r="B1096" s="2" t="s">
        <v>680</v>
      </c>
      <c r="C1096" s="2" t="n">
        <v>2</v>
      </c>
      <c r="D1096" s="2" t="n">
        <v>1</v>
      </c>
      <c r="E1096" s="2" t="n">
        <v>1</v>
      </c>
      <c r="F1096" s="2" t="n">
        <v>42</v>
      </c>
      <c r="G1096" s="2" t="s">
        <v>446</v>
      </c>
      <c r="H1096" s="2" t="str">
        <f aca="false">IFERROR(__xludf.dummyfunction("IF(I1108="""", """", REGEXEXTRACT(I1108, ""Padrao/([^/]+)""))"),"Quintino Facci II")</f>
        <v>Quintino Facci II</v>
      </c>
    </row>
    <row r="1097" customFormat="false" ht="15.75" hidden="false" customHeight="false" outlineLevel="0" collapsed="false">
      <c r="A1097" s="2" t="n">
        <v>221198</v>
      </c>
      <c r="B1097" s="2" t="s">
        <v>1050</v>
      </c>
      <c r="C1097" s="2" t="n">
        <v>2</v>
      </c>
      <c r="D1097" s="2" t="n">
        <v>1</v>
      </c>
      <c r="E1097" s="2" t="n">
        <v>1</v>
      </c>
      <c r="F1097" s="2" t="n">
        <v>42</v>
      </c>
      <c r="G1097" s="2" t="s">
        <v>446</v>
      </c>
      <c r="H1097" s="2" t="str">
        <f aca="false">IFERROR(__xludf.dummyfunction("IF(I1109="""", """", REGEXEXTRACT(I1109, ""Padrao/([^/]+)""))"),"Residencial Parque dos Servidores")</f>
        <v>Residencial Parque dos Servidores</v>
      </c>
    </row>
    <row r="1098" customFormat="false" ht="15.75" hidden="false" customHeight="false" outlineLevel="0" collapsed="false">
      <c r="A1098" s="2" t="n">
        <v>219914</v>
      </c>
      <c r="B1098" s="2" t="s">
        <v>726</v>
      </c>
      <c r="C1098" s="2" t="n">
        <v>2</v>
      </c>
      <c r="D1098" s="2" t="n">
        <v>1</v>
      </c>
      <c r="E1098" s="2" t="n">
        <v>1</v>
      </c>
      <c r="F1098" s="2" t="n">
        <v>48</v>
      </c>
      <c r="G1098" s="2" t="s">
        <v>446</v>
      </c>
      <c r="H1098" s="2" t="str">
        <f aca="false">IFERROR(__xludf.dummyfunction("IF(I1110="""", """", REGEXEXTRACT(I1110, ""Padrao/([^/]+)""))"),"Quintino Facci II")</f>
        <v>Quintino Facci II</v>
      </c>
    </row>
    <row r="1099" customFormat="false" ht="15.75" hidden="false" customHeight="false" outlineLevel="0" collapsed="false">
      <c r="A1099" s="2" t="n">
        <v>218801</v>
      </c>
      <c r="B1099" s="2" t="s">
        <v>1051</v>
      </c>
      <c r="C1099" s="2" t="n">
        <v>2</v>
      </c>
      <c r="D1099" s="2" t="n">
        <v>1</v>
      </c>
      <c r="E1099" s="2" t="n">
        <v>1</v>
      </c>
      <c r="F1099" s="2" t="n">
        <v>43</v>
      </c>
      <c r="G1099" s="2" t="s">
        <v>446</v>
      </c>
      <c r="H1099" s="2" t="str">
        <f aca="false">IFERROR(__xludf.dummyfunction("IF(I1111="""", """", REGEXEXTRACT(I1111, ""Padrao/([^/]+)""))"),"Jardim Interlagos")</f>
        <v>Jardim Interlagos</v>
      </c>
    </row>
    <row r="1100" customFormat="false" ht="15.75" hidden="false" customHeight="false" outlineLevel="0" collapsed="false">
      <c r="A1100" s="2" t="n">
        <v>217637</v>
      </c>
      <c r="B1100" s="2" t="s">
        <v>841</v>
      </c>
      <c r="C1100" s="2" t="n">
        <v>2</v>
      </c>
      <c r="D1100" s="2" t="n">
        <v>1</v>
      </c>
      <c r="E1100" s="2" t="n">
        <v>1</v>
      </c>
      <c r="F1100" s="2" t="n">
        <v>42</v>
      </c>
      <c r="G1100" s="2" t="s">
        <v>446</v>
      </c>
      <c r="H1100" s="2" t="str">
        <f aca="false">IFERROR(__xludf.dummyfunction("IF(I1112="""", """", REGEXEXTRACT(I1112, ""Padrao/([^/]+)""))"),"Jardim Florestan Fernandes")</f>
        <v>Jardim Florestan Fernandes</v>
      </c>
    </row>
    <row r="1101" customFormat="false" ht="15.75" hidden="false" customHeight="false" outlineLevel="0" collapsed="false">
      <c r="A1101" s="2" t="n">
        <v>217427</v>
      </c>
      <c r="B1101" s="2" t="s">
        <v>1052</v>
      </c>
      <c r="C1101" s="2" t="n">
        <v>2</v>
      </c>
      <c r="D1101" s="2" t="n">
        <v>1</v>
      </c>
      <c r="E1101" s="2" t="n">
        <v>1</v>
      </c>
      <c r="F1101" s="2" t="n">
        <v>43</v>
      </c>
      <c r="G1101" s="2" t="s">
        <v>446</v>
      </c>
      <c r="H1101" s="2" t="str">
        <f aca="false">IFERROR(__xludf.dummyfunction("IF(I1113="""", """", REGEXEXTRACT(I1113, ""Padrao/([^/]+)""))"),"Jardim Interlagos")</f>
        <v>Jardim Interlagos</v>
      </c>
    </row>
    <row r="1102" customFormat="false" ht="15.75" hidden="false" customHeight="false" outlineLevel="0" collapsed="false">
      <c r="A1102" s="2" t="n">
        <v>216026</v>
      </c>
      <c r="B1102" s="2" t="s">
        <v>408</v>
      </c>
      <c r="C1102" s="2" t="n">
        <v>2</v>
      </c>
      <c r="D1102" s="2" t="n">
        <v>1</v>
      </c>
      <c r="E1102" s="2" t="n">
        <v>1</v>
      </c>
      <c r="F1102" s="2" t="n">
        <v>40</v>
      </c>
      <c r="G1102" s="2" t="s">
        <v>446</v>
      </c>
      <c r="H1102" s="2" t="str">
        <f aca="false">IFERROR(__xludf.dummyfunction("IF(I1114="""", """", REGEXEXTRACT(I1114, ""Padrao/([^/]+)""))"),"Reserva Real")</f>
        <v>Reserva Real</v>
      </c>
    </row>
    <row r="1103" customFormat="false" ht="15.75" hidden="false" customHeight="false" outlineLevel="0" collapsed="false">
      <c r="A1103" s="2" t="n">
        <v>214913</v>
      </c>
      <c r="B1103" s="2" t="s">
        <v>1053</v>
      </c>
      <c r="C1103" s="2" t="n">
        <v>2</v>
      </c>
      <c r="D1103" s="2" t="n">
        <v>1</v>
      </c>
      <c r="E1103" s="2" t="n">
        <v>1</v>
      </c>
      <c r="F1103" s="2" t="n">
        <v>42</v>
      </c>
      <c r="G1103" s="2" t="s">
        <v>446</v>
      </c>
      <c r="H1103" s="2" t="str">
        <f aca="false">IFERROR(__xludf.dummyfunction("IF(I1115="""", """", REGEXEXTRACT(I1115, ""Padrao/([^/]+)""))"),"Vila Abranches")</f>
        <v>Vila Abranches</v>
      </c>
    </row>
    <row r="1104" customFormat="false" ht="15.75" hidden="false" customHeight="false" outlineLevel="0" collapsed="false">
      <c r="A1104" s="2" t="n">
        <v>212741</v>
      </c>
      <c r="B1104" s="2" t="s">
        <v>1054</v>
      </c>
      <c r="C1104" s="2" t="n">
        <v>1</v>
      </c>
      <c r="D1104" s="2" t="n">
        <v>1</v>
      </c>
      <c r="E1104" s="2" t="n">
        <v>1</v>
      </c>
      <c r="F1104" s="2" t="n">
        <v>35</v>
      </c>
      <c r="G1104" s="2" t="s">
        <v>446</v>
      </c>
      <c r="H1104" s="2" t="str">
        <f aca="false">IFERROR(__xludf.dummyfunction("IF(I1116="""", """", REGEXEXTRACT(I1116, ""Padrao/([^/]+)""))"),"Vila Amelia")</f>
        <v>Vila Amelia</v>
      </c>
    </row>
    <row r="1105" customFormat="false" ht="15.75" hidden="false" customHeight="false" outlineLevel="0" collapsed="false">
      <c r="A1105" s="2" t="n">
        <v>212738</v>
      </c>
      <c r="B1105" s="2" t="s">
        <v>1054</v>
      </c>
      <c r="C1105" s="2" t="n">
        <v>1</v>
      </c>
      <c r="D1105" s="2" t="n">
        <v>1</v>
      </c>
      <c r="E1105" s="2" t="n">
        <v>1</v>
      </c>
      <c r="F1105" s="2" t="n">
        <v>35</v>
      </c>
      <c r="G1105" s="2" t="s">
        <v>446</v>
      </c>
      <c r="H1105" s="2" t="str">
        <f aca="false">IFERROR(__xludf.dummyfunction("IF(I1117="""", """", REGEXEXTRACT(I1117, ""Padrao/([^/]+)""))"),"Vila Amelia")</f>
        <v>Vila Amelia</v>
      </c>
    </row>
    <row r="1106" customFormat="false" ht="15.75" hidden="false" customHeight="false" outlineLevel="0" collapsed="false">
      <c r="A1106" s="2" t="n">
        <v>212558</v>
      </c>
      <c r="B1106" s="2" t="s">
        <v>433</v>
      </c>
      <c r="C1106" s="2" t="n">
        <v>2</v>
      </c>
      <c r="D1106" s="2" t="n">
        <v>1</v>
      </c>
      <c r="E1106" s="2" t="n">
        <v>1</v>
      </c>
      <c r="F1106" s="2" t="n">
        <v>41</v>
      </c>
      <c r="G1106" s="2" t="s">
        <v>446</v>
      </c>
      <c r="H1106" s="2" t="str">
        <f aca="false">IFERROR(__xludf.dummyfunction("IF(I1118="""", """", REGEXEXTRACT(I1118, ""Padrao/([^/]+)""))"),"Reserva Real")</f>
        <v>Reserva Real</v>
      </c>
    </row>
    <row r="1107" customFormat="false" ht="15.75" hidden="false" customHeight="false" outlineLevel="0" collapsed="false">
      <c r="A1107" s="2" t="n">
        <v>212075</v>
      </c>
      <c r="B1107" s="2" t="s">
        <v>1055</v>
      </c>
      <c r="C1107" s="2" t="n">
        <v>2</v>
      </c>
      <c r="D1107" s="2" t="n">
        <v>1</v>
      </c>
      <c r="E1107" s="2" t="n">
        <v>1</v>
      </c>
      <c r="F1107" s="2" t="n">
        <v>39</v>
      </c>
      <c r="G1107" s="2" t="s">
        <v>446</v>
      </c>
      <c r="H1107" s="2" t="str">
        <f aca="false">IFERROR(__xludf.dummyfunction("IF(I1119="""", """", REGEXEXTRACT(I1119, ""Padrao/([^/]+)""))"),"Jardim Zara")</f>
        <v>Jardim Zara</v>
      </c>
    </row>
    <row r="1108" customFormat="false" ht="15.75" hidden="false" customHeight="false" outlineLevel="0" collapsed="false">
      <c r="A1108" s="2" t="n">
        <v>210317</v>
      </c>
      <c r="B1108" s="2" t="s">
        <v>1056</v>
      </c>
      <c r="C1108" s="2" t="n">
        <v>2</v>
      </c>
      <c r="D1108" s="2" t="n">
        <v>1</v>
      </c>
      <c r="E1108" s="2" t="n">
        <v>1</v>
      </c>
      <c r="F1108" s="2" t="n">
        <v>45</v>
      </c>
      <c r="G1108" s="2" t="s">
        <v>446</v>
      </c>
      <c r="H1108" s="2" t="str">
        <f aca="false">IFERROR(__xludf.dummyfunction("IF(I1120="""", """", REGEXEXTRACT(I1120, ""Padrao/([^/]+)""))"),"Quintino Facci II")</f>
        <v>Quintino Facci II</v>
      </c>
    </row>
    <row r="1109" customFormat="false" ht="15.75" hidden="false" customHeight="false" outlineLevel="0" collapsed="false">
      <c r="A1109" s="2" t="n">
        <v>206948</v>
      </c>
      <c r="B1109" s="2" t="s">
        <v>724</v>
      </c>
      <c r="C1109" s="2" t="n">
        <v>2</v>
      </c>
      <c r="D1109" s="2" t="n">
        <v>1</v>
      </c>
      <c r="E1109" s="2" t="n">
        <v>1</v>
      </c>
      <c r="F1109" s="2" t="n">
        <v>42</v>
      </c>
      <c r="G1109" s="2" t="s">
        <v>446</v>
      </c>
      <c r="H1109" s="2" t="str">
        <f aca="false">IFERROR(__xludf.dummyfunction("IF(I1121="""", """", REGEXEXTRACT(I1121, ""Padrao/([^/]+)""))"),"Jardim Florestan Fernandes")</f>
        <v>Jardim Florestan Fernandes</v>
      </c>
    </row>
    <row r="1110" customFormat="false" ht="15.75" hidden="false" customHeight="false" outlineLevel="0" collapsed="false">
      <c r="A1110" s="2" t="n">
        <v>206618</v>
      </c>
      <c r="B1110" s="2" t="s">
        <v>1057</v>
      </c>
      <c r="C1110" s="2" t="n">
        <v>2</v>
      </c>
      <c r="D1110" s="2" t="n">
        <v>1</v>
      </c>
      <c r="E1110" s="2" t="n">
        <v>1</v>
      </c>
      <c r="F1110" s="2" t="n">
        <v>40</v>
      </c>
      <c r="G1110" s="2" t="s">
        <v>446</v>
      </c>
      <c r="H1110" s="2" t="str">
        <f aca="false">IFERROR(__xludf.dummyfunction("IF(I1122="""", """", REGEXEXTRACT(I1122, ""Padrao/([^/]+)""))"),"Jardim Heitor Rigon")</f>
        <v>Jardim Heitor Rigon</v>
      </c>
    </row>
    <row r="1111" customFormat="false" ht="15.75" hidden="false" customHeight="false" outlineLevel="0" collapsed="false">
      <c r="A1111" s="2" t="n">
        <v>203339</v>
      </c>
      <c r="B1111" s="2" t="s">
        <v>1058</v>
      </c>
      <c r="C1111" s="2" t="n">
        <v>2</v>
      </c>
      <c r="D1111" s="2" t="n">
        <v>1</v>
      </c>
      <c r="E1111" s="2" t="n">
        <v>1</v>
      </c>
      <c r="F1111" s="2" t="n">
        <v>47</v>
      </c>
      <c r="G1111" s="2" t="s">
        <v>446</v>
      </c>
      <c r="H1111" s="2" t="str">
        <f aca="false">IFERROR(__xludf.dummyfunction("IF(I1123="""", """", REGEXEXTRACT(I1123, ""Padrao/([^/]+)""))"),"Jardim Jose Figueira")</f>
        <v>Jardim Jose Figueira</v>
      </c>
    </row>
    <row r="1112" customFormat="false" ht="15.75" hidden="false" customHeight="false" outlineLevel="0" collapsed="false">
      <c r="A1112" s="2" t="n">
        <v>201329</v>
      </c>
      <c r="B1112" s="2" t="s">
        <v>876</v>
      </c>
      <c r="C1112" s="2" t="n">
        <v>2</v>
      </c>
      <c r="D1112" s="2" t="n">
        <v>1</v>
      </c>
      <c r="E1112" s="2" t="n">
        <v>1</v>
      </c>
      <c r="F1112" s="2" t="n">
        <v>41</v>
      </c>
      <c r="G1112" s="2" t="s">
        <v>446</v>
      </c>
      <c r="H1112" s="2" t="str">
        <f aca="false">IFERROR(__xludf.dummyfunction("IF(I1124="""", """", REGEXEXTRACT(I1124, ""Padrao/([^/]+)""))"),"Reserva Real")</f>
        <v>Reserva Real</v>
      </c>
    </row>
    <row r="1113" customFormat="false" ht="15.75" hidden="false" customHeight="false" outlineLevel="0" collapsed="false">
      <c r="A1113" s="2" t="n">
        <v>201245</v>
      </c>
      <c r="B1113" s="2" t="s">
        <v>1059</v>
      </c>
      <c r="C1113" s="2" t="n">
        <v>1</v>
      </c>
      <c r="D1113" s="2" t="n">
        <v>1</v>
      </c>
      <c r="E1113" s="2" t="n">
        <v>1</v>
      </c>
      <c r="F1113" s="2" t="n">
        <v>39</v>
      </c>
      <c r="G1113" s="2" t="s">
        <v>446</v>
      </c>
      <c r="H1113" s="2" t="str">
        <f aca="false">IFERROR(__xludf.dummyfunction("IF(I1125="""", """", REGEXEXTRACT(I1125, ""Padrao/([^/]+)""))"),"Jardim Paulista")</f>
        <v>Jardim Paulista</v>
      </c>
    </row>
    <row r="1114" customFormat="false" ht="15.75" hidden="false" customHeight="false" outlineLevel="0" collapsed="false">
      <c r="A1114" s="2" t="n">
        <v>200636</v>
      </c>
      <c r="B1114" s="2" t="s">
        <v>848</v>
      </c>
      <c r="C1114" s="2" t="n">
        <v>2</v>
      </c>
      <c r="D1114" s="2" t="n">
        <v>1</v>
      </c>
      <c r="E1114" s="2" t="n">
        <v>1</v>
      </c>
      <c r="F1114" s="2" t="n">
        <v>42</v>
      </c>
      <c r="G1114" s="2" t="s">
        <v>446</v>
      </c>
      <c r="H1114" s="2" t="str">
        <f aca="false">IFERROR(__xludf.dummyfunction("IF(I1126="""", """", REGEXEXTRACT(I1126, ""Padrao/([^/]+)""))"),"Jardim Florestan Fernandes")</f>
        <v>Jardim Florestan Fernandes</v>
      </c>
    </row>
    <row r="1115" customFormat="false" ht="15.75" hidden="false" customHeight="false" outlineLevel="0" collapsed="false">
      <c r="A1115" s="2" t="n">
        <v>200630</v>
      </c>
      <c r="B1115" s="2" t="s">
        <v>1060</v>
      </c>
      <c r="C1115" s="2" t="n">
        <v>2</v>
      </c>
      <c r="D1115" s="2" t="n">
        <v>1</v>
      </c>
      <c r="E1115" s="2" t="n">
        <v>1</v>
      </c>
      <c r="F1115" s="2" t="n">
        <v>60</v>
      </c>
      <c r="G1115" s="2" t="s">
        <v>446</v>
      </c>
      <c r="H1115" s="2" t="str">
        <f aca="false">IFERROR(__xludf.dummyfunction("IF(I1127="""", """", REGEXEXTRACT(I1127, ""Padrao/([^/]+)""))"),"Ribeirania")</f>
        <v>Ribeirania</v>
      </c>
    </row>
    <row r="1116" customFormat="false" ht="15.75" hidden="false" customHeight="false" outlineLevel="0" collapsed="false">
      <c r="A1116" s="2" t="n">
        <v>200513</v>
      </c>
      <c r="B1116" s="2" t="s">
        <v>1061</v>
      </c>
      <c r="C1116" s="2" t="n">
        <v>2</v>
      </c>
      <c r="D1116" s="2" t="n">
        <v>1</v>
      </c>
      <c r="E1116" s="2" t="n">
        <v>1</v>
      </c>
      <c r="F1116" s="2" t="n">
        <v>42</v>
      </c>
      <c r="G1116" s="2" t="s">
        <v>446</v>
      </c>
      <c r="H1116" s="2" t="str">
        <f aca="false">IFERROR(__xludf.dummyfunction("IF(I1128="""", """", REGEXEXTRACT(I1128, ""Padrao/([^/]+)""))"),"Planalto Verde")</f>
        <v>Planalto Verde</v>
      </c>
    </row>
    <row r="1117" customFormat="false" ht="15.75" hidden="false" customHeight="false" outlineLevel="0" collapsed="false">
      <c r="A1117" s="2" t="n">
        <v>199400</v>
      </c>
      <c r="B1117" s="2" t="s">
        <v>1062</v>
      </c>
      <c r="C1117" s="2" t="n">
        <v>2</v>
      </c>
      <c r="D1117" s="2" t="n">
        <v>1</v>
      </c>
      <c r="E1117" s="2" t="n">
        <v>1</v>
      </c>
      <c r="F1117" s="2" t="n">
        <v>41</v>
      </c>
      <c r="G1117" s="2" t="s">
        <v>446</v>
      </c>
      <c r="H1117" s="2" t="str">
        <f aca="false">IFERROR(__xludf.dummyfunction("IF(I1129="""", """", REGEXEXTRACT(I1129, ""Padrao/([^/]+)""))"),"Reserva Real")</f>
        <v>Reserva Real</v>
      </c>
    </row>
    <row r="1118" customFormat="false" ht="15.75" hidden="false" customHeight="false" outlineLevel="0" collapsed="false">
      <c r="A1118" s="2" t="n">
        <v>198185</v>
      </c>
      <c r="B1118" s="2" t="s">
        <v>1009</v>
      </c>
      <c r="C1118" s="2" t="n">
        <v>1</v>
      </c>
      <c r="D1118" s="2" t="n">
        <v>1</v>
      </c>
      <c r="E1118" s="2" t="n">
        <v>1</v>
      </c>
      <c r="F1118" s="2" t="n">
        <v>43</v>
      </c>
      <c r="G1118" s="2" t="s">
        <v>446</v>
      </c>
      <c r="H1118" s="2" t="str">
        <f aca="false">IFERROR(__xludf.dummyfunction("IF(I1130="""", """", REGEXEXTRACT(I1130, ""Padrao/([^/]+)""))"),"Centro")</f>
        <v>Centro</v>
      </c>
    </row>
    <row r="1119" customFormat="false" ht="15.75" hidden="false" customHeight="false" outlineLevel="0" collapsed="false">
      <c r="A1119" s="2" t="n">
        <v>197438</v>
      </c>
      <c r="B1119" s="2" t="s">
        <v>330</v>
      </c>
      <c r="C1119" s="2" t="n">
        <v>2</v>
      </c>
      <c r="D1119" s="2" t="n">
        <v>1</v>
      </c>
      <c r="E1119" s="2" t="n">
        <v>1</v>
      </c>
      <c r="F1119" s="2" t="n">
        <v>42</v>
      </c>
      <c r="G1119" s="2" t="s">
        <v>446</v>
      </c>
      <c r="H1119" s="2" t="str">
        <f aca="false">IFERROR(__xludf.dummyfunction("IF(I1131="""", """", REGEXEXTRACT(I1131, ""Padrao/([^/]+)""))"),"Planalto Verde")</f>
        <v>Planalto Verde</v>
      </c>
    </row>
    <row r="1120" customFormat="false" ht="15.75" hidden="false" customHeight="false" outlineLevel="0" collapsed="false">
      <c r="A1120" s="2" t="n">
        <v>197087</v>
      </c>
      <c r="B1120" s="2" t="s">
        <v>1040</v>
      </c>
      <c r="C1120" s="2" t="n">
        <v>1</v>
      </c>
      <c r="D1120" s="2" t="n">
        <v>1</v>
      </c>
      <c r="E1120" s="2" t="n">
        <v>1</v>
      </c>
      <c r="F1120" s="2" t="n">
        <v>50</v>
      </c>
      <c r="G1120" s="2" t="s">
        <v>446</v>
      </c>
      <c r="H1120" s="2" t="str">
        <f aca="false">IFERROR(__xludf.dummyfunction("IF(I1132="""", """", REGEXEXTRACT(I1132, ""Padrao/([^/]+)""))"),"Centro")</f>
        <v>Centro</v>
      </c>
    </row>
    <row r="1121" customFormat="false" ht="15.75" hidden="false" customHeight="false" outlineLevel="0" collapsed="false">
      <c r="A1121" s="2" t="n">
        <v>195569</v>
      </c>
      <c r="B1121" s="2" t="s">
        <v>1063</v>
      </c>
      <c r="C1121" s="2" t="n">
        <v>2</v>
      </c>
      <c r="D1121" s="2" t="n">
        <v>1</v>
      </c>
      <c r="E1121" s="2" t="n">
        <v>1</v>
      </c>
      <c r="F1121" s="2" t="n">
        <v>43</v>
      </c>
      <c r="G1121" s="2" t="s">
        <v>446</v>
      </c>
      <c r="H1121" s="2" t="str">
        <f aca="false">IFERROR(__xludf.dummyfunction("IF(I1133="""", """", REGEXEXTRACT(I1133, ""Padrao/([^/]+)""))"),"Jardim Florestan Fernandes")</f>
        <v>Jardim Florestan Fernandes</v>
      </c>
    </row>
    <row r="1122" customFormat="false" ht="15.75" hidden="false" customHeight="false" outlineLevel="0" collapsed="false">
      <c r="A1122" s="2" t="n">
        <v>194228</v>
      </c>
      <c r="B1122" s="2" t="s">
        <v>876</v>
      </c>
      <c r="C1122" s="2" t="n">
        <v>2</v>
      </c>
      <c r="D1122" s="2" t="n">
        <v>1</v>
      </c>
      <c r="E1122" s="2" t="n">
        <v>1</v>
      </c>
      <c r="F1122" s="2" t="n">
        <v>40</v>
      </c>
      <c r="G1122" s="2" t="s">
        <v>446</v>
      </c>
      <c r="H1122" s="2" t="str">
        <f aca="false">IFERROR(__xludf.dummyfunction("IF(I1134="""", """", REGEXEXTRACT(I1134, ""Padrao/([^/]+)""))"),"Reserva Real")</f>
        <v>Reserva Real</v>
      </c>
    </row>
    <row r="1123" customFormat="false" ht="15.75" hidden="false" customHeight="false" outlineLevel="0" collapsed="false">
      <c r="A1123" s="2" t="n">
        <v>192539</v>
      </c>
      <c r="B1123" s="2" t="s">
        <v>1064</v>
      </c>
      <c r="C1123" s="2" t="n">
        <v>2</v>
      </c>
      <c r="D1123" s="2" t="n">
        <v>1</v>
      </c>
      <c r="E1123" s="2" t="n">
        <v>1</v>
      </c>
      <c r="F1123" s="2" t="n">
        <v>43</v>
      </c>
      <c r="G1123" s="2" t="s">
        <v>446</v>
      </c>
      <c r="H1123" s="2" t="str">
        <f aca="false">IFERROR(__xludf.dummyfunction("IF(I1135="""", """", REGEXEXTRACT(I1135, ""Padrao/([^/]+)""))"),"Jardim Heitor Rigon")</f>
        <v>Jardim Heitor Rigon</v>
      </c>
    </row>
    <row r="1124" customFormat="false" ht="15.75" hidden="false" customHeight="false" outlineLevel="0" collapsed="false">
      <c r="A1124" s="2" t="n">
        <v>192065</v>
      </c>
      <c r="B1124" s="2" t="s">
        <v>1065</v>
      </c>
      <c r="C1124" s="2" t="n">
        <v>2</v>
      </c>
      <c r="D1124" s="2" t="n">
        <v>1</v>
      </c>
      <c r="E1124" s="2" t="n">
        <v>1</v>
      </c>
      <c r="F1124" s="2" t="n">
        <v>50</v>
      </c>
      <c r="G1124" s="2" t="s">
        <v>446</v>
      </c>
      <c r="H1124" s="2" t="str">
        <f aca="false">IFERROR(__xludf.dummyfunction("IF(I1136="""", """", REGEXEXTRACT(I1136, ""Padrao/([^/]+)""))"),"Reserva Sul Condominio")</f>
        <v>Reserva Sul Condominio</v>
      </c>
    </row>
    <row r="1125" customFormat="false" ht="15.75" hidden="false" customHeight="false" outlineLevel="0" collapsed="false">
      <c r="A1125" s="2" t="n">
        <v>191894</v>
      </c>
      <c r="B1125" s="2" t="s">
        <v>1066</v>
      </c>
      <c r="C1125" s="2" t="n">
        <v>1</v>
      </c>
      <c r="D1125" s="2" t="n">
        <v>1</v>
      </c>
      <c r="E1125" s="2" t="n">
        <v>1</v>
      </c>
      <c r="F1125" s="2" t="n">
        <v>41</v>
      </c>
      <c r="G1125" s="2" t="s">
        <v>446</v>
      </c>
      <c r="H1125" s="2" t="str">
        <f aca="false">IFERROR(__xludf.dummyfunction("IF(I1137="""", """", REGEXEXTRACT(I1137, ""Padrao/([^/]+)""))"),"Jardim Castelo Branco")</f>
        <v>Jardim Castelo Branco</v>
      </c>
    </row>
    <row r="1126" customFormat="false" ht="15.75" hidden="false" customHeight="false" outlineLevel="0" collapsed="false">
      <c r="A1126" s="2" t="n">
        <v>191882</v>
      </c>
      <c r="B1126" s="2" t="s">
        <v>1067</v>
      </c>
      <c r="C1126" s="2" t="n">
        <v>1</v>
      </c>
      <c r="D1126" s="2" t="n">
        <v>1</v>
      </c>
      <c r="E1126" s="2" t="n">
        <v>1</v>
      </c>
      <c r="F1126" s="2" t="n">
        <v>41</v>
      </c>
      <c r="G1126" s="2" t="s">
        <v>446</v>
      </c>
      <c r="H1126" s="2" t="str">
        <f aca="false">IFERROR(__xludf.dummyfunction("IF(I1138="""", """", REGEXEXTRACT(I1138, ""Padrao/([^/]+)""))"),"Jardim Castelo Branco")</f>
        <v>Jardim Castelo Branco</v>
      </c>
    </row>
    <row r="1127" customFormat="false" ht="15.75" hidden="false" customHeight="false" outlineLevel="0" collapsed="false">
      <c r="A1127" s="2" t="n">
        <v>189413</v>
      </c>
      <c r="B1127" s="2" t="s">
        <v>1068</v>
      </c>
      <c r="C1127" s="2" t="n">
        <v>2</v>
      </c>
      <c r="D1127" s="2" t="n">
        <v>1</v>
      </c>
      <c r="E1127" s="2" t="n">
        <v>1</v>
      </c>
      <c r="F1127" s="2" t="n">
        <v>42</v>
      </c>
      <c r="G1127" s="2" t="s">
        <v>446</v>
      </c>
      <c r="H1127" s="2" t="str">
        <f aca="false">IFERROR(__xludf.dummyfunction("IF(I1139="""", """", REGEXEXTRACT(I1139, ""Padrao/([^/]+)""))"),"Jardim Santa Cecilia")</f>
        <v>Jardim Santa Cecilia</v>
      </c>
    </row>
    <row r="1128" customFormat="false" ht="15.75" hidden="false" customHeight="false" outlineLevel="0" collapsed="false">
      <c r="A1128" s="2" t="n">
        <v>189110</v>
      </c>
      <c r="B1128" s="2" t="s">
        <v>1069</v>
      </c>
      <c r="C1128" s="2" t="n">
        <v>2</v>
      </c>
      <c r="D1128" s="2" t="n">
        <v>1</v>
      </c>
      <c r="E1128" s="2" t="n">
        <v>1</v>
      </c>
      <c r="F1128" s="2" t="n">
        <v>48</v>
      </c>
      <c r="G1128" s="2" t="s">
        <v>446</v>
      </c>
      <c r="H1128" s="2" t="str">
        <f aca="false">IFERROR(__xludf.dummyfunction("IF(I1140="""", """", REGEXEXTRACT(I1140, ""Padrao/([^/]+)""))"),"Ipiranga")</f>
        <v>Ipiranga</v>
      </c>
    </row>
    <row r="1129" customFormat="false" ht="15.75" hidden="false" customHeight="false" outlineLevel="0" collapsed="false">
      <c r="A1129" s="2" t="n">
        <v>183647</v>
      </c>
      <c r="B1129" s="2" t="s">
        <v>384</v>
      </c>
      <c r="C1129" s="2" t="n">
        <v>1</v>
      </c>
      <c r="D1129" s="2" t="n">
        <v>1</v>
      </c>
      <c r="E1129" s="2" t="n">
        <v>1</v>
      </c>
      <c r="F1129" s="2" t="n">
        <v>37</v>
      </c>
      <c r="G1129" s="2" t="s">
        <v>446</v>
      </c>
      <c r="H1129" s="2" t="str">
        <f aca="false">IFERROR(__xludf.dummyfunction("IF(I1141="""", """", REGEXEXTRACT(I1141, ""Padrao/([^/]+)""))"),"Ipiranga")</f>
        <v>Ipiranga</v>
      </c>
    </row>
    <row r="1130" customFormat="false" ht="15.75" hidden="false" customHeight="false" outlineLevel="0" collapsed="false">
      <c r="A1130" s="2" t="n">
        <v>182831</v>
      </c>
      <c r="B1130" s="2" t="s">
        <v>1070</v>
      </c>
      <c r="C1130" s="2" t="n">
        <v>2</v>
      </c>
      <c r="D1130" s="2" t="n">
        <v>1</v>
      </c>
      <c r="E1130" s="2" t="n">
        <v>1</v>
      </c>
      <c r="F1130" s="2" t="n">
        <v>46</v>
      </c>
      <c r="G1130" s="2" t="s">
        <v>446</v>
      </c>
      <c r="H1130" s="2" t="str">
        <f aca="false">IFERROR(__xludf.dummyfunction("IF(I1142="""", """", REGEXEXTRACT(I1142, ""Padrao/([^/]+)""))"),"Ipiranga")</f>
        <v>Ipiranga</v>
      </c>
    </row>
    <row r="1131" customFormat="false" ht="15.75" hidden="false" customHeight="false" outlineLevel="0" collapsed="false">
      <c r="A1131" s="2" t="n">
        <v>181460</v>
      </c>
      <c r="B1131" s="2" t="s">
        <v>951</v>
      </c>
      <c r="C1131" s="2" t="n">
        <v>2</v>
      </c>
      <c r="D1131" s="2" t="n">
        <v>1</v>
      </c>
      <c r="E1131" s="2" t="n">
        <v>1</v>
      </c>
      <c r="F1131" s="2" t="n">
        <v>43</v>
      </c>
      <c r="G1131" s="2" t="s">
        <v>446</v>
      </c>
      <c r="H1131" s="2" t="str">
        <f aca="false">IFERROR(__xludf.dummyfunction("IF(I1143="""", """", REGEXEXTRACT(I1143, ""Padrao/([^/]+)""))"),"Jardim Ouro Branco")</f>
        <v>Jardim Ouro Branco</v>
      </c>
    </row>
    <row r="1132" customFormat="false" ht="15.75" hidden="false" customHeight="false" outlineLevel="0" collapsed="false">
      <c r="A1132" s="2" t="n">
        <v>179843</v>
      </c>
      <c r="B1132" s="2" t="s">
        <v>1071</v>
      </c>
      <c r="C1132" s="2" t="n">
        <v>2</v>
      </c>
      <c r="D1132" s="2" t="n">
        <v>1</v>
      </c>
      <c r="E1132" s="2" t="n">
        <v>1</v>
      </c>
      <c r="F1132" s="2" t="n">
        <v>47</v>
      </c>
      <c r="G1132" s="2" t="s">
        <v>446</v>
      </c>
      <c r="H1132" s="2" t="str">
        <f aca="false">IFERROR(__xludf.dummyfunction("IF(I1144="""", """", REGEXEXTRACT(I1144, ""Padrao/([^/]+)""))"),"Jardim Jose Figueira")</f>
        <v>Jardim Jose Figueira</v>
      </c>
    </row>
    <row r="1133" customFormat="false" ht="15.75" hidden="false" customHeight="false" outlineLevel="0" collapsed="false">
      <c r="A1133" s="2" t="n">
        <v>178802</v>
      </c>
      <c r="B1133" s="2" t="s">
        <v>1072</v>
      </c>
      <c r="C1133" s="2" t="n">
        <v>2</v>
      </c>
      <c r="D1133" s="2" t="n">
        <v>1</v>
      </c>
      <c r="E1133" s="2" t="n">
        <v>1</v>
      </c>
      <c r="F1133" s="2" t="n">
        <v>46</v>
      </c>
      <c r="G1133" s="2" t="s">
        <v>446</v>
      </c>
      <c r="H1133" s="2" t="str">
        <f aca="false">IFERROR(__xludf.dummyfunction("IF(I1145="""", """", REGEXEXTRACT(I1145, ""Padrao/([^/]+)""))"),"Ipiranga")</f>
        <v>Ipiranga</v>
      </c>
    </row>
    <row r="1134" customFormat="false" ht="15.75" hidden="false" customHeight="false" outlineLevel="0" collapsed="false">
      <c r="A1134" s="2" t="n">
        <v>178769</v>
      </c>
      <c r="B1134" s="2" t="s">
        <v>1073</v>
      </c>
      <c r="C1134" s="2" t="n">
        <v>2</v>
      </c>
      <c r="D1134" s="2" t="n">
        <v>1</v>
      </c>
      <c r="E1134" s="2" t="n">
        <v>1</v>
      </c>
      <c r="F1134" s="2" t="n">
        <v>45</v>
      </c>
      <c r="G1134" s="2" t="s">
        <v>446</v>
      </c>
      <c r="H1134" s="2" t="str">
        <f aca="false">IFERROR(__xludf.dummyfunction("IF(I1146="""", """", REGEXEXTRACT(I1146, ""Padrao/([^/]+)""))"),"Ribeirania")</f>
        <v>Ribeirania</v>
      </c>
    </row>
    <row r="1135" customFormat="false" ht="15.75" hidden="false" customHeight="false" outlineLevel="0" collapsed="false">
      <c r="A1135" s="2" t="n">
        <v>178754</v>
      </c>
      <c r="B1135" s="2" t="s">
        <v>851</v>
      </c>
      <c r="C1135" s="2" t="n">
        <v>2</v>
      </c>
      <c r="D1135" s="2" t="n">
        <v>1</v>
      </c>
      <c r="E1135" s="2" t="n">
        <v>1</v>
      </c>
      <c r="F1135" s="2" t="n">
        <v>41</v>
      </c>
      <c r="G1135" s="2" t="s">
        <v>446</v>
      </c>
      <c r="H1135" s="2" t="str">
        <f aca="false">IFERROR(__xludf.dummyfunction("IF(I1147="""", """", REGEXEXTRACT(I1147, ""Padrao/([^/]+)""))"),"Ipiranga")</f>
        <v>Ipiranga</v>
      </c>
    </row>
    <row r="1136" customFormat="false" ht="15.75" hidden="false" customHeight="false" outlineLevel="0" collapsed="false">
      <c r="A1136" s="2" t="n">
        <v>176876</v>
      </c>
      <c r="B1136" s="2" t="s">
        <v>1074</v>
      </c>
      <c r="C1136" s="2" t="n">
        <v>2</v>
      </c>
      <c r="D1136" s="2" t="n">
        <v>1</v>
      </c>
      <c r="E1136" s="2" t="n">
        <v>1</v>
      </c>
      <c r="F1136" s="2" t="n">
        <v>62</v>
      </c>
      <c r="G1136" s="2" t="s">
        <v>446</v>
      </c>
      <c r="H1136" s="2" t="str">
        <f aca="false">IFERROR(__xludf.dummyfunction("IF(I1148="""", """", REGEXEXTRACT(I1148, ""Padrao/([^/]+)""))"),"Reserva Real")</f>
        <v>Reserva Real</v>
      </c>
    </row>
    <row r="1137" customFormat="false" ht="15.75" hidden="false" customHeight="false" outlineLevel="0" collapsed="false">
      <c r="A1137" s="2" t="n">
        <v>176150</v>
      </c>
      <c r="B1137" s="2" t="s">
        <v>1075</v>
      </c>
      <c r="C1137" s="2" t="n">
        <v>1</v>
      </c>
      <c r="D1137" s="2" t="n">
        <v>1</v>
      </c>
      <c r="E1137" s="2" t="n">
        <v>1</v>
      </c>
      <c r="F1137" s="2" t="n">
        <v>33</v>
      </c>
      <c r="G1137" s="2" t="s">
        <v>446</v>
      </c>
      <c r="H1137" s="2" t="str">
        <f aca="false">IFERROR(__xludf.dummyfunction("IF(I1149="""", """", REGEXEXTRACT(I1149, ""Padrao/([^/]+)""))"),"Vila Monte Alegre")</f>
        <v>Vila Monte Alegre</v>
      </c>
    </row>
    <row r="1138" customFormat="false" ht="15.75" hidden="false" customHeight="false" outlineLevel="0" collapsed="false">
      <c r="A1138" s="2" t="n">
        <v>176009</v>
      </c>
      <c r="B1138" s="2" t="s">
        <v>867</v>
      </c>
      <c r="C1138" s="2" t="n">
        <v>2</v>
      </c>
      <c r="D1138" s="2" t="n">
        <v>1</v>
      </c>
      <c r="E1138" s="2" t="n">
        <v>1</v>
      </c>
      <c r="F1138" s="2" t="n">
        <v>42</v>
      </c>
      <c r="G1138" s="2" t="s">
        <v>446</v>
      </c>
      <c r="H1138" s="2" t="str">
        <f aca="false">IFERROR(__xludf.dummyfunction("IF(I1150="""", """", REGEXEXTRACT(I1150, ""Padrao/([^/]+)""))"),"Jardim Itau")</f>
        <v>Jardim Itau</v>
      </c>
    </row>
    <row r="1139" customFormat="false" ht="15.75" hidden="false" customHeight="false" outlineLevel="0" collapsed="false">
      <c r="A1139" s="2" t="n">
        <v>175661</v>
      </c>
      <c r="B1139" s="2" t="s">
        <v>1076</v>
      </c>
      <c r="C1139" s="2" t="n">
        <v>2</v>
      </c>
      <c r="D1139" s="2" t="n">
        <v>1</v>
      </c>
      <c r="E1139" s="2" t="n">
        <v>1</v>
      </c>
      <c r="F1139" s="2" t="n">
        <v>44</v>
      </c>
      <c r="G1139" s="2" t="s">
        <v>446</v>
      </c>
      <c r="H1139" s="2" t="str">
        <f aca="false">IFERROR(__xludf.dummyfunction("IF(I1151="""", """", REGEXEXTRACT(I1151, ""Padrao/([^/]+)""))"),"Residencial Greenville")</f>
        <v>Residencial Greenville</v>
      </c>
    </row>
    <row r="1140" customFormat="false" ht="15.75" hidden="false" customHeight="false" outlineLevel="0" collapsed="false">
      <c r="A1140" s="2" t="n">
        <v>174089</v>
      </c>
      <c r="B1140" s="2" t="s">
        <v>1077</v>
      </c>
      <c r="C1140" s="2" t="n">
        <v>2</v>
      </c>
      <c r="D1140" s="2" t="n">
        <v>1</v>
      </c>
      <c r="E1140" s="2" t="n">
        <v>1</v>
      </c>
      <c r="F1140" s="2" t="n">
        <v>42</v>
      </c>
      <c r="G1140" s="2" t="s">
        <v>446</v>
      </c>
      <c r="H1140" s="2" t="str">
        <f aca="false">IFERROR(__xludf.dummyfunction("IF(I1152="""", """", REGEXEXTRACT(I1152, ""Padrao/([^/]+)""))"),"Jardim Florestan Fernandes")</f>
        <v>Jardim Florestan Fernandes</v>
      </c>
    </row>
    <row r="1141" customFormat="false" ht="15.75" hidden="false" customHeight="false" outlineLevel="0" collapsed="false">
      <c r="A1141" s="2" t="n">
        <v>169208</v>
      </c>
      <c r="B1141" s="2" t="s">
        <v>748</v>
      </c>
      <c r="C1141" s="2" t="n">
        <v>2</v>
      </c>
      <c r="D1141" s="2" t="n">
        <v>1</v>
      </c>
      <c r="E1141" s="2" t="n">
        <v>1</v>
      </c>
      <c r="F1141" s="2" t="n">
        <v>48</v>
      </c>
      <c r="G1141" s="2" t="s">
        <v>446</v>
      </c>
      <c r="H1141" s="2" t="str">
        <f aca="false">IFERROR(__xludf.dummyfunction("IF(I1153="""", """", REGEXEXTRACT(I1153, ""Padrao/([^/]+)""))"),"Parque Sao Sebastiao")</f>
        <v>Parque Sao Sebastiao</v>
      </c>
    </row>
    <row r="1142" customFormat="false" ht="15.75" hidden="false" customHeight="false" outlineLevel="0" collapsed="false">
      <c r="A1142" s="2" t="n">
        <v>169070</v>
      </c>
      <c r="B1142" s="2" t="s">
        <v>1078</v>
      </c>
      <c r="C1142" s="2" t="n">
        <v>1</v>
      </c>
      <c r="D1142" s="2" t="n">
        <v>1</v>
      </c>
      <c r="E1142" s="2" t="n">
        <v>1</v>
      </c>
      <c r="F1142" s="2" t="n">
        <v>34</v>
      </c>
      <c r="G1142" s="2" t="s">
        <v>446</v>
      </c>
      <c r="H1142" s="2" t="str">
        <f aca="false">IFERROR(__xludf.dummyfunction("IF(I1154="""", """", REGEXEXTRACT(I1154, ""Padrao/([^/]+)""))"),"Centro")</f>
        <v>Centro</v>
      </c>
    </row>
    <row r="1143" customFormat="false" ht="15.75" hidden="false" customHeight="false" outlineLevel="0" collapsed="false">
      <c r="A1143" s="2" t="n">
        <v>168887</v>
      </c>
      <c r="B1143" s="2" t="s">
        <v>858</v>
      </c>
      <c r="C1143" s="2" t="n">
        <v>2</v>
      </c>
      <c r="D1143" s="2" t="n">
        <v>1</v>
      </c>
      <c r="E1143" s="2" t="n">
        <v>1</v>
      </c>
      <c r="F1143" s="2" t="n">
        <v>42</v>
      </c>
      <c r="G1143" s="2" t="s">
        <v>446</v>
      </c>
      <c r="H1143" s="2" t="str">
        <f aca="false">IFERROR(__xludf.dummyfunction("IF(I1155="""", """", REGEXEXTRACT(I1155, ""Padrao/([^/]+)""))"),"Jardim Heitor Rigon")</f>
        <v>Jardim Heitor Rigon</v>
      </c>
    </row>
    <row r="1144" customFormat="false" ht="15.75" hidden="false" customHeight="false" outlineLevel="0" collapsed="false">
      <c r="A1144" s="2" t="n">
        <v>167462</v>
      </c>
      <c r="B1144" s="2" t="s">
        <v>1051</v>
      </c>
      <c r="C1144" s="2" t="n">
        <v>2</v>
      </c>
      <c r="D1144" s="2" t="n">
        <v>1</v>
      </c>
      <c r="E1144" s="2" t="n">
        <v>1</v>
      </c>
      <c r="F1144" s="2" t="n">
        <v>43</v>
      </c>
      <c r="G1144" s="2" t="s">
        <v>446</v>
      </c>
      <c r="H1144" s="2" t="str">
        <f aca="false">IFERROR(__xludf.dummyfunction("IF(I1156="""", """", REGEXEXTRACT(I1156, ""Padrao/([^/]+)""))"),"Jardim Interlagos")</f>
        <v>Jardim Interlagos</v>
      </c>
    </row>
    <row r="1145" customFormat="false" ht="15.75" hidden="false" customHeight="false" outlineLevel="0" collapsed="false">
      <c r="A1145" s="2" t="n">
        <v>167429</v>
      </c>
      <c r="B1145" s="2" t="s">
        <v>1079</v>
      </c>
      <c r="C1145" s="2" t="n">
        <v>2</v>
      </c>
      <c r="D1145" s="2" t="n">
        <v>1</v>
      </c>
      <c r="E1145" s="2" t="n">
        <v>1</v>
      </c>
      <c r="F1145" s="2" t="n">
        <v>44</v>
      </c>
      <c r="G1145" s="2" t="s">
        <v>446</v>
      </c>
      <c r="H1145" s="2" t="str">
        <f aca="false">IFERROR(__xludf.dummyfunction("IF(I1157="""", """", REGEXEXTRACT(I1157, ""Padrao/([^/]+)""))"),"Parque Residencial Candido Portinari")</f>
        <v>Parque Residencial Candido Portinari</v>
      </c>
    </row>
    <row r="1146" customFormat="false" ht="15.75" hidden="false" customHeight="false" outlineLevel="0" collapsed="false">
      <c r="A1146" s="2" t="n">
        <v>165650</v>
      </c>
      <c r="B1146" s="2" t="s">
        <v>1080</v>
      </c>
      <c r="C1146" s="2" t="n">
        <v>2</v>
      </c>
      <c r="D1146" s="2" t="n">
        <v>1</v>
      </c>
      <c r="E1146" s="2" t="n">
        <v>1</v>
      </c>
      <c r="F1146" s="2" t="n">
        <v>46</v>
      </c>
      <c r="G1146" s="2" t="s">
        <v>446</v>
      </c>
      <c r="H1146" s="2" t="str">
        <f aca="false">IFERROR(__xludf.dummyfunction("IF(I1158="""", """", REGEXEXTRACT(I1158, ""Padrao/([^/]+)""))"),"Sumarezinho")</f>
        <v>Sumarezinho</v>
      </c>
    </row>
    <row r="1147" customFormat="false" ht="15.75" hidden="false" customHeight="false" outlineLevel="0" collapsed="false">
      <c r="A1147" s="2" t="n">
        <v>165278</v>
      </c>
      <c r="B1147" s="2" t="s">
        <v>1081</v>
      </c>
      <c r="C1147" s="2" t="n">
        <v>2</v>
      </c>
      <c r="D1147" s="2" t="n">
        <v>1</v>
      </c>
      <c r="E1147" s="2" t="n">
        <v>1</v>
      </c>
      <c r="F1147" s="2" t="n">
        <v>42</v>
      </c>
      <c r="G1147" s="2" t="s">
        <v>446</v>
      </c>
      <c r="H1147" s="2" t="str">
        <f aca="false">IFERROR(__xludf.dummyfunction("IF(I1159="""", """", REGEXEXTRACT(I1159, ""Padrao/([^/]+)""))"),"Valentina Figueiredo")</f>
        <v>Valentina Figueiredo</v>
      </c>
    </row>
    <row r="1148" customFormat="false" ht="15.75" hidden="false" customHeight="false" outlineLevel="0" collapsed="false">
      <c r="A1148" s="2" t="n">
        <v>156113</v>
      </c>
      <c r="B1148" s="2" t="s">
        <v>1082</v>
      </c>
      <c r="C1148" s="2" t="n">
        <v>2</v>
      </c>
      <c r="D1148" s="2" t="n">
        <v>1</v>
      </c>
      <c r="E1148" s="2" t="n">
        <v>1</v>
      </c>
      <c r="F1148" s="2" t="n">
        <v>47</v>
      </c>
      <c r="G1148" s="2" t="s">
        <v>446</v>
      </c>
      <c r="H1148" s="2" t="str">
        <f aca="false">IFERROR(__xludf.dummyfunction("IF(I1160="""", """", REGEXEXTRACT(I1160, ""Padrao/([^/]+)""))"),"Reserva Sul Condominio")</f>
        <v>Reserva Sul Condominio</v>
      </c>
    </row>
    <row r="1149" customFormat="false" ht="15.75" hidden="false" customHeight="false" outlineLevel="0" collapsed="false">
      <c r="A1149" s="2" t="n">
        <v>154940</v>
      </c>
      <c r="B1149" s="2" t="s">
        <v>1083</v>
      </c>
      <c r="C1149" s="2" t="n">
        <v>2</v>
      </c>
      <c r="D1149" s="2" t="n">
        <v>2</v>
      </c>
      <c r="E1149" s="2" t="n">
        <v>1</v>
      </c>
      <c r="F1149" s="2" t="n">
        <v>43</v>
      </c>
      <c r="G1149" s="2" t="s">
        <v>446</v>
      </c>
      <c r="H1149" s="2" t="str">
        <f aca="false">IFERROR(__xludf.dummyfunction("IF(I1161="""", """", REGEXEXTRACT(I1161, ""Padrao/([^/]+)""))"),"Residencial Parque dos Servidores")</f>
        <v>Residencial Parque dos Servidores</v>
      </c>
    </row>
    <row r="1150" customFormat="false" ht="15.75" hidden="false" customHeight="false" outlineLevel="0" collapsed="false">
      <c r="A1150" s="2" t="n">
        <v>154835</v>
      </c>
      <c r="B1150" s="2" t="s">
        <v>765</v>
      </c>
      <c r="C1150" s="2" t="n">
        <v>2</v>
      </c>
      <c r="D1150" s="2" t="n">
        <v>1</v>
      </c>
      <c r="E1150" s="2" t="n">
        <v>1</v>
      </c>
      <c r="F1150" s="2" t="n">
        <v>42</v>
      </c>
      <c r="G1150" s="2" t="s">
        <v>446</v>
      </c>
      <c r="H1150" s="2" t="str">
        <f aca="false">IFERROR(__xludf.dummyfunction("IF(I1162="""", """", REGEXEXTRACT(I1162, ""Padrao/([^/]+)""))"),"Ribeirao Verde")</f>
        <v>Ribeirao Verde</v>
      </c>
    </row>
    <row r="1151" customFormat="false" ht="15.75" hidden="false" customHeight="false" outlineLevel="0" collapsed="false">
      <c r="A1151" s="2" t="n">
        <v>154622</v>
      </c>
      <c r="B1151" s="2" t="s">
        <v>900</v>
      </c>
      <c r="C1151" s="2" t="n">
        <v>2</v>
      </c>
      <c r="D1151" s="2" t="n">
        <v>2</v>
      </c>
      <c r="E1151" s="2" t="n">
        <v>1</v>
      </c>
      <c r="F1151" s="2" t="n">
        <v>50</v>
      </c>
      <c r="G1151" s="2" t="s">
        <v>446</v>
      </c>
      <c r="H1151" s="2" t="str">
        <f aca="false">IFERROR(__xludf.dummyfunction("IF(I1163="""", """", REGEXEXTRACT(I1163, ""Padrao/([^/]+)""))"),"Jardim Itapora")</f>
        <v>Jardim Itapora</v>
      </c>
    </row>
    <row r="1152" customFormat="false" ht="15.75" hidden="false" customHeight="false" outlineLevel="0" collapsed="false">
      <c r="A1152" s="2" t="n">
        <v>152942</v>
      </c>
      <c r="B1152" s="2" t="s">
        <v>162</v>
      </c>
      <c r="C1152" s="2" t="n">
        <v>2</v>
      </c>
      <c r="D1152" s="2" t="n">
        <v>1</v>
      </c>
      <c r="E1152" s="2" t="n">
        <v>1</v>
      </c>
      <c r="F1152" s="2" t="n">
        <v>42</v>
      </c>
      <c r="G1152" s="2" t="s">
        <v>446</v>
      </c>
      <c r="H1152" s="2" t="str">
        <f aca="false">IFERROR(__xludf.dummyfunction("IF(I1164="""", """", REGEXEXTRACT(I1164, ""Padrao/([^/]+)""))"),"Jardim Santa Cecilia")</f>
        <v>Jardim Santa Cecilia</v>
      </c>
    </row>
    <row r="1153" customFormat="false" ht="15.75" hidden="false" customHeight="false" outlineLevel="0" collapsed="false">
      <c r="A1153" s="2" t="n">
        <v>150986</v>
      </c>
      <c r="B1153" s="2" t="s">
        <v>1084</v>
      </c>
      <c r="C1153" s="2" t="n">
        <v>2</v>
      </c>
      <c r="D1153" s="2" t="n">
        <v>1</v>
      </c>
      <c r="E1153" s="2" t="n">
        <v>1</v>
      </c>
      <c r="F1153" s="2" t="n">
        <v>42</v>
      </c>
      <c r="G1153" s="2" t="s">
        <v>446</v>
      </c>
      <c r="H1153" s="2" t="str">
        <f aca="false">IFERROR(__xludf.dummyfunction("IF(I1165="""", """", REGEXEXTRACT(I1165, ""Padrao/([^/]+)""))"),"Jardim Florestan Fernandes")</f>
        <v>Jardim Florestan Fernandes</v>
      </c>
    </row>
    <row r="1154" customFormat="false" ht="15.75" hidden="false" customHeight="false" outlineLevel="0" collapsed="false">
      <c r="A1154" s="2" t="n">
        <v>150842</v>
      </c>
      <c r="B1154" s="2" t="s">
        <v>1085</v>
      </c>
      <c r="C1154" s="2" t="n">
        <v>2</v>
      </c>
      <c r="D1154" s="2" t="n">
        <v>1</v>
      </c>
      <c r="E1154" s="2" t="n">
        <v>1</v>
      </c>
      <c r="F1154" s="2" t="n">
        <v>43</v>
      </c>
      <c r="G1154" s="2" t="s">
        <v>446</v>
      </c>
      <c r="H1154" s="2" t="str">
        <f aca="false">IFERROR(__xludf.dummyfunction("IF(I1166="""", """", REGEXEXTRACT(I1166, ""Padrao/([^/]+)""))"),"Vila Virginia")</f>
        <v>Vila Virginia</v>
      </c>
    </row>
    <row r="1155" customFormat="false" ht="15.75" hidden="false" customHeight="false" outlineLevel="0" collapsed="false">
      <c r="A1155" s="2" t="n">
        <v>149696</v>
      </c>
      <c r="B1155" s="2" t="s">
        <v>386</v>
      </c>
      <c r="C1155" s="2" t="n">
        <v>2</v>
      </c>
      <c r="D1155" s="2" t="n">
        <v>1</v>
      </c>
      <c r="E1155" s="2" t="n">
        <v>1</v>
      </c>
      <c r="F1155" s="2" t="n">
        <v>42</v>
      </c>
      <c r="G1155" s="2" t="s">
        <v>446</v>
      </c>
      <c r="H1155" s="2" t="str">
        <f aca="false">IFERROR(__xludf.dummyfunction("IF(I1167="""", """", REGEXEXTRACT(I1167, ""Padrao/([^/]+)""))"),"Jardim Florestan Fernandes")</f>
        <v>Jardim Florestan Fernandes</v>
      </c>
    </row>
    <row r="1156" customFormat="false" ht="15.75" hidden="false" customHeight="false" outlineLevel="0" collapsed="false">
      <c r="A1156" s="2" t="n">
        <v>148160</v>
      </c>
      <c r="B1156" s="2" t="s">
        <v>709</v>
      </c>
      <c r="C1156" s="2" t="n">
        <v>2</v>
      </c>
      <c r="D1156" s="2" t="n">
        <v>1</v>
      </c>
      <c r="E1156" s="2" t="n">
        <v>1</v>
      </c>
      <c r="F1156" s="2" t="n">
        <v>43</v>
      </c>
      <c r="G1156" s="2" t="s">
        <v>446</v>
      </c>
      <c r="H1156" s="2" t="str">
        <f aca="false">IFERROR(__xludf.dummyfunction("IF(I1168="""", """", REGEXEXTRACT(I1168, ""Padrao/([^/]+)""))"),"Jardim Diva Tarla de Carvalho")</f>
        <v>Jardim Diva Tarla de Carvalho</v>
      </c>
    </row>
    <row r="1157" customFormat="false" ht="15.75" hidden="false" customHeight="false" outlineLevel="0" collapsed="false">
      <c r="A1157" s="2" t="n">
        <v>147971</v>
      </c>
      <c r="B1157" s="2" t="s">
        <v>1086</v>
      </c>
      <c r="C1157" s="2" t="n">
        <v>2</v>
      </c>
      <c r="D1157" s="2" t="n">
        <v>1</v>
      </c>
      <c r="E1157" s="2" t="n">
        <v>1</v>
      </c>
      <c r="F1157" s="2" t="n">
        <v>49</v>
      </c>
      <c r="G1157" s="2" t="s">
        <v>446</v>
      </c>
      <c r="H1157" s="2" t="str">
        <f aca="false">IFERROR(__xludf.dummyfunction("IF(I1169="""", """", REGEXEXTRACT(I1169, ""Padrao/([^/]+)""))"),"Parque Sao Sebastiao")</f>
        <v>Parque Sao Sebastiao</v>
      </c>
    </row>
    <row r="1158" customFormat="false" ht="15.75" hidden="false" customHeight="false" outlineLevel="0" collapsed="false">
      <c r="A1158" s="2" t="n">
        <v>147620</v>
      </c>
      <c r="B1158" s="2" t="s">
        <v>668</v>
      </c>
      <c r="C1158" s="2" t="n">
        <v>2</v>
      </c>
      <c r="D1158" s="2" t="n">
        <v>1</v>
      </c>
      <c r="E1158" s="2" t="n">
        <v>1</v>
      </c>
      <c r="F1158" s="2" t="n">
        <v>42</v>
      </c>
      <c r="G1158" s="2" t="s">
        <v>446</v>
      </c>
      <c r="H1158" s="2" t="str">
        <f aca="false">IFERROR(__xludf.dummyfunction("IF(I1170="""", """", REGEXEXTRACT(I1170, ""Padrao/([^/]+)""))"),"Ipiranga")</f>
        <v>Ipiranga</v>
      </c>
    </row>
    <row r="1159" customFormat="false" ht="15.75" hidden="false" customHeight="false" outlineLevel="0" collapsed="false">
      <c r="A1159" s="2" t="n">
        <v>146567</v>
      </c>
      <c r="B1159" s="2" t="s">
        <v>1087</v>
      </c>
      <c r="C1159" s="2" t="n">
        <v>2</v>
      </c>
      <c r="D1159" s="2" t="n">
        <v>1</v>
      </c>
      <c r="E1159" s="2" t="n">
        <v>1</v>
      </c>
      <c r="F1159" s="2" t="n">
        <v>42</v>
      </c>
      <c r="G1159" s="2" t="s">
        <v>446</v>
      </c>
      <c r="H1159" s="2" t="str">
        <f aca="false">IFERROR(__xludf.dummyfunction("IF(I1171="""", """", REGEXEXTRACT(I1171, ""Padrao/([^/]+)""))"),"Jardim Santa Cecilia")</f>
        <v>Jardim Santa Cecilia</v>
      </c>
    </row>
    <row r="1160" customFormat="false" ht="15.75" hidden="false" customHeight="false" outlineLevel="0" collapsed="false">
      <c r="A1160" s="2" t="n">
        <v>146564</v>
      </c>
      <c r="B1160" s="2" t="s">
        <v>1088</v>
      </c>
      <c r="C1160" s="2" t="n">
        <v>2</v>
      </c>
      <c r="D1160" s="2" t="n">
        <v>1</v>
      </c>
      <c r="E1160" s="2" t="n">
        <v>1</v>
      </c>
      <c r="F1160" s="2" t="n">
        <v>46</v>
      </c>
      <c r="G1160" s="2" t="s">
        <v>446</v>
      </c>
      <c r="H1160" s="2" t="str">
        <f aca="false">IFERROR(__xludf.dummyfunction("IF(I1172="""", """", REGEXEXTRACT(I1172, ""Padrao/([^/]+)""))"),"Sumarezinho")</f>
        <v>Sumarezinho</v>
      </c>
    </row>
    <row r="1161" customFormat="false" ht="15.75" hidden="false" customHeight="false" outlineLevel="0" collapsed="false">
      <c r="A1161" s="2" t="n">
        <v>146231</v>
      </c>
      <c r="B1161" s="2" t="s">
        <v>879</v>
      </c>
      <c r="C1161" s="2" t="n">
        <v>2</v>
      </c>
      <c r="D1161" s="2" t="n">
        <v>1</v>
      </c>
      <c r="E1161" s="2" t="n">
        <v>1</v>
      </c>
      <c r="F1161" s="2" t="n">
        <v>46</v>
      </c>
      <c r="G1161" s="2" t="s">
        <v>446</v>
      </c>
      <c r="H1161" s="2" t="str">
        <f aca="false">IFERROR(__xludf.dummyfunction("IF(I1173="""", """", REGEXEXTRACT(I1173, ""Padrao/([^/]+)""))"),"Conjunto Habitacional Jardim das Palmeiras")</f>
        <v>Conjunto Habitacional Jardim das Palmeiras</v>
      </c>
    </row>
    <row r="1162" customFormat="false" ht="15.75" hidden="false" customHeight="false" outlineLevel="0" collapsed="false">
      <c r="A1162" s="2" t="n">
        <v>145835</v>
      </c>
      <c r="B1162" s="2" t="s">
        <v>162</v>
      </c>
      <c r="C1162" s="2" t="n">
        <v>2</v>
      </c>
      <c r="D1162" s="2" t="n">
        <v>1</v>
      </c>
      <c r="E1162" s="2" t="n">
        <v>1</v>
      </c>
      <c r="F1162" s="2" t="n">
        <v>52</v>
      </c>
      <c r="G1162" s="2" t="s">
        <v>446</v>
      </c>
      <c r="H1162" s="2" t="str">
        <f aca="false">IFERROR(__xludf.dummyfunction("IF(I1174="""", """", REGEXEXTRACT(I1174, ""Padrao/([^/]+)""))"),"Jardim Palma Travassos")</f>
        <v>Jardim Palma Travassos</v>
      </c>
    </row>
    <row r="1163" customFormat="false" ht="15.75" hidden="false" customHeight="false" outlineLevel="0" collapsed="false">
      <c r="A1163" s="2" t="n">
        <v>143660</v>
      </c>
      <c r="B1163" s="2" t="s">
        <v>680</v>
      </c>
      <c r="C1163" s="2" t="n">
        <v>2</v>
      </c>
      <c r="D1163" s="2" t="n">
        <v>1</v>
      </c>
      <c r="E1163" s="2" t="n">
        <v>1</v>
      </c>
      <c r="F1163" s="2" t="n">
        <v>42</v>
      </c>
      <c r="G1163" s="2" t="s">
        <v>446</v>
      </c>
      <c r="H1163" s="2" t="str">
        <f aca="false">IFERROR(__xludf.dummyfunction("IF(I1175="""", """", REGEXEXTRACT(I1175, ""Padrao/([^/]+)""))"),"Quintino Facci II")</f>
        <v>Quintino Facci II</v>
      </c>
    </row>
    <row r="1164" customFormat="false" ht="15.75" hidden="false" customHeight="false" outlineLevel="0" collapsed="false">
      <c r="A1164" s="2" t="n">
        <v>142754</v>
      </c>
      <c r="B1164" s="2" t="s">
        <v>850</v>
      </c>
      <c r="C1164" s="2" t="n">
        <v>2</v>
      </c>
      <c r="D1164" s="2" t="n">
        <v>1</v>
      </c>
      <c r="E1164" s="2" t="n">
        <v>1</v>
      </c>
      <c r="F1164" s="2" t="n">
        <v>42</v>
      </c>
      <c r="G1164" s="2" t="s">
        <v>446</v>
      </c>
      <c r="H1164" s="2" t="str">
        <f aca="false">IFERROR(__xludf.dummyfunction("IF(I1176="""", """", REGEXEXTRACT(I1176, ""Padrao/([^/]+)""))"),"Jardim Vilico Cantarelli")</f>
        <v>Jardim Vilico Cantarelli</v>
      </c>
    </row>
    <row r="1165" customFormat="false" ht="15.75" hidden="false" customHeight="false" outlineLevel="0" collapsed="false">
      <c r="A1165" s="2" t="n">
        <v>141779</v>
      </c>
      <c r="B1165" s="2" t="s">
        <v>1089</v>
      </c>
      <c r="C1165" s="2" t="n">
        <v>2</v>
      </c>
      <c r="D1165" s="2" t="n">
        <v>1</v>
      </c>
      <c r="E1165" s="2" t="n">
        <v>1</v>
      </c>
      <c r="F1165" s="2" t="n">
        <v>42</v>
      </c>
      <c r="G1165" s="2" t="s">
        <v>446</v>
      </c>
      <c r="H1165" s="2" t="str">
        <f aca="false">IFERROR(__xludf.dummyfunction("IF(I1177="""", """", REGEXEXTRACT(I1177, ""Padrao/([^/]+)""))"),"Ribeirao Verde")</f>
        <v>Ribeirao Verde</v>
      </c>
    </row>
    <row r="1166" customFormat="false" ht="15.75" hidden="false" customHeight="false" outlineLevel="0" collapsed="false">
      <c r="A1166" s="2" t="n">
        <v>139358</v>
      </c>
      <c r="B1166" s="2" t="s">
        <v>1090</v>
      </c>
      <c r="C1166" s="2" t="n">
        <v>1</v>
      </c>
      <c r="D1166" s="2" t="n">
        <v>1</v>
      </c>
      <c r="E1166" s="2" t="n">
        <v>1</v>
      </c>
      <c r="F1166" s="2" t="n">
        <v>34</v>
      </c>
      <c r="G1166" s="2" t="s">
        <v>446</v>
      </c>
      <c r="H1166" s="2" t="str">
        <f aca="false">IFERROR(__xludf.dummyfunction("IF(I1178="""", """", REGEXEXTRACT(I1178, ""Padrao/([^/]+)""))"),"Residencial Greenville")</f>
        <v>Residencial Greenville</v>
      </c>
    </row>
    <row r="1167" customFormat="false" ht="15.75" hidden="false" customHeight="false" outlineLevel="0" collapsed="false">
      <c r="A1167" s="2" t="n">
        <v>138668</v>
      </c>
      <c r="B1167" s="2" t="s">
        <v>1091</v>
      </c>
      <c r="C1167" s="2" t="n">
        <v>1</v>
      </c>
      <c r="D1167" s="2" t="n">
        <v>1</v>
      </c>
      <c r="E1167" s="2" t="n">
        <v>1</v>
      </c>
      <c r="F1167" s="2" t="n">
        <v>49</v>
      </c>
      <c r="G1167" s="2" t="s">
        <v>446</v>
      </c>
      <c r="H1167" s="2" t="str">
        <f aca="false">IFERROR(__xludf.dummyfunction("IF(I1179="""", """", REGEXEXTRACT(I1179, ""Padrao/([^/]+)""))"),"Centro")</f>
        <v>Centro</v>
      </c>
    </row>
    <row r="1168" customFormat="false" ht="15.75" hidden="false" customHeight="false" outlineLevel="0" collapsed="false">
      <c r="A1168" s="2" t="n">
        <v>138002</v>
      </c>
      <c r="B1168" s="2" t="s">
        <v>1092</v>
      </c>
      <c r="C1168" s="2" t="n">
        <v>2</v>
      </c>
      <c r="D1168" s="2" t="n">
        <v>2</v>
      </c>
      <c r="E1168" s="2" t="n">
        <v>1</v>
      </c>
      <c r="F1168" s="2" t="n">
        <v>68</v>
      </c>
      <c r="G1168" s="2" t="s">
        <v>446</v>
      </c>
      <c r="H1168" s="2" t="str">
        <f aca="false">IFERROR(__xludf.dummyfunction("IF(I1180="""", """", REGEXEXTRACT(I1180, ""Padrao/([^/]+)""))"),"Vila Seixas")</f>
        <v>Vila Seixas</v>
      </c>
    </row>
    <row r="1169" customFormat="false" ht="15.75" hidden="false" customHeight="false" outlineLevel="0" collapsed="false">
      <c r="A1169" s="2" t="n">
        <v>137903</v>
      </c>
      <c r="B1169" s="2" t="s">
        <v>1093</v>
      </c>
      <c r="C1169" s="2" t="n">
        <v>1</v>
      </c>
      <c r="D1169" s="2" t="n">
        <v>1</v>
      </c>
      <c r="E1169" s="2" t="n">
        <v>1</v>
      </c>
      <c r="F1169" s="2" t="n">
        <v>49</v>
      </c>
      <c r="G1169" s="2" t="s">
        <v>446</v>
      </c>
      <c r="H1169" s="2" t="str">
        <f aca="false">IFERROR(__xludf.dummyfunction("IF(I1181="""", """", REGEXEXTRACT(I1181, ""Padrao/([^/]+)""))"),"Centro")</f>
        <v>Centro</v>
      </c>
    </row>
    <row r="1170" customFormat="false" ht="15.75" hidden="false" customHeight="false" outlineLevel="0" collapsed="false">
      <c r="A1170" s="2" t="n">
        <v>134483</v>
      </c>
      <c r="B1170" s="2" t="s">
        <v>1094</v>
      </c>
      <c r="C1170" s="2" t="n">
        <v>2</v>
      </c>
      <c r="D1170" s="2" t="n">
        <v>1</v>
      </c>
      <c r="E1170" s="2" t="n">
        <v>1</v>
      </c>
      <c r="F1170" s="2" t="n">
        <v>40</v>
      </c>
      <c r="G1170" s="2" t="s">
        <v>446</v>
      </c>
      <c r="H1170" s="2" t="str">
        <f aca="false">IFERROR(__xludf.dummyfunction("IF(I1182="""", """", REGEXEXTRACT(I1182, ""Padrao/([^/]+)""))"),"Ipiranga")</f>
        <v>Ipiranga</v>
      </c>
    </row>
    <row r="1171" customFormat="false" ht="15.75" hidden="false" customHeight="false" outlineLevel="0" collapsed="false">
      <c r="A1171" s="2" t="n">
        <v>133400</v>
      </c>
      <c r="B1171" s="2" t="s">
        <v>162</v>
      </c>
      <c r="C1171" s="2" t="n">
        <v>2</v>
      </c>
      <c r="D1171" s="2" t="n">
        <v>1</v>
      </c>
      <c r="E1171" s="2" t="n">
        <v>1</v>
      </c>
      <c r="F1171" s="2" t="n">
        <v>65</v>
      </c>
      <c r="G1171" s="2" t="s">
        <v>446</v>
      </c>
      <c r="H1171" s="2" t="str">
        <f aca="false">IFERROR(__xludf.dummyfunction("IF(I1183="""", """", REGEXEXTRACT(I1183, ""Padrao/([^/]+)""))"),"Jardim Eugenio Mendes Lopes")</f>
        <v>Jardim Eugenio Mendes Lopes</v>
      </c>
    </row>
    <row r="1172" customFormat="false" ht="15.75" hidden="false" customHeight="false" outlineLevel="0" collapsed="false">
      <c r="A1172" s="2" t="n">
        <v>133256</v>
      </c>
      <c r="B1172" s="2" t="s">
        <v>162</v>
      </c>
      <c r="C1172" s="2" t="n">
        <v>2</v>
      </c>
      <c r="D1172" s="2" t="n">
        <v>1</v>
      </c>
      <c r="E1172" s="2" t="n">
        <v>1</v>
      </c>
      <c r="F1172" s="2" t="n">
        <v>49</v>
      </c>
      <c r="G1172" s="2" t="s">
        <v>446</v>
      </c>
      <c r="H1172" s="2" t="str">
        <f aca="false">IFERROR(__xludf.dummyfunction("IF(I1184="""", """", REGEXEXTRACT(I1184, ""Padrao/([^/]+)""))"),"Parque Sao Sebastiao")</f>
        <v>Parque Sao Sebastiao</v>
      </c>
    </row>
    <row r="1173" customFormat="false" ht="15.75" hidden="false" customHeight="false" outlineLevel="0" collapsed="false">
      <c r="A1173" s="2" t="n">
        <v>132521</v>
      </c>
      <c r="B1173" s="2" t="s">
        <v>162</v>
      </c>
      <c r="C1173" s="2" t="n">
        <v>2</v>
      </c>
      <c r="D1173" s="2" t="n">
        <v>1</v>
      </c>
      <c r="E1173" s="2" t="n">
        <v>1</v>
      </c>
      <c r="F1173" s="2" t="n">
        <v>46</v>
      </c>
      <c r="G1173" s="2" t="s">
        <v>446</v>
      </c>
      <c r="H1173" s="2" t="str">
        <f aca="false">IFERROR(__xludf.dummyfunction("IF(I1185="""", """", REGEXEXTRACT(I1185, ""Padrao/([^/]+)""))"),"Sumarezinho")</f>
        <v>Sumarezinho</v>
      </c>
    </row>
    <row r="1174" customFormat="false" ht="15.75" hidden="false" customHeight="false" outlineLevel="0" collapsed="false">
      <c r="A1174" s="2"/>
      <c r="B1174" s="2"/>
      <c r="C1174" s="2"/>
      <c r="D1174" s="2"/>
      <c r="E1174" s="2"/>
      <c r="F1174" s="2"/>
      <c r="G1174" s="2"/>
      <c r="H1174" s="2"/>
    </row>
    <row r="1175" customFormat="false" ht="15.75" hidden="false" customHeight="false" outlineLevel="0" collapsed="false">
      <c r="A1175" s="2" t="n">
        <v>129635</v>
      </c>
      <c r="B1175" s="2" t="s">
        <v>1095</v>
      </c>
      <c r="C1175" s="2" t="n">
        <v>2</v>
      </c>
      <c r="D1175" s="2" t="n">
        <v>1</v>
      </c>
      <c r="E1175" s="2" t="n">
        <v>1</v>
      </c>
      <c r="F1175" s="2" t="n">
        <v>52</v>
      </c>
      <c r="G1175" s="2" t="s">
        <v>446</v>
      </c>
      <c r="H1175" s="2" t="str">
        <f aca="false">IFERROR(__xludf.dummyfunction("IF(I1187="""", """", REGEXEXTRACT(I1187, ""Padrao/([^/]+)""))"),"Jardim Palma Travassos")</f>
        <v>Jardim Palma Travassos</v>
      </c>
    </row>
    <row r="1176" customFormat="false" ht="15.75" hidden="false" customHeight="false" outlineLevel="0" collapsed="false">
      <c r="A1176" s="2" t="n">
        <v>129101</v>
      </c>
      <c r="B1176" s="2" t="s">
        <v>1096</v>
      </c>
      <c r="C1176" s="2" t="n">
        <v>2</v>
      </c>
      <c r="D1176" s="2" t="n">
        <v>1</v>
      </c>
      <c r="E1176" s="2" t="n">
        <v>1</v>
      </c>
      <c r="F1176" s="2" t="n">
        <v>42</v>
      </c>
      <c r="G1176" s="2" t="s">
        <v>446</v>
      </c>
      <c r="H1176" s="2" t="str">
        <f aca="false">IFERROR(__xludf.dummyfunction("IF(I1188="""", """", REGEXEXTRACT(I1188, ""Padrao/([^/]+)""))"),"Ipiranga")</f>
        <v>Ipiranga</v>
      </c>
    </row>
    <row r="1177" customFormat="false" ht="15.75" hidden="false" customHeight="false" outlineLevel="0" collapsed="false">
      <c r="A1177" s="2" t="n">
        <v>128381</v>
      </c>
      <c r="B1177" s="2" t="s">
        <v>1097</v>
      </c>
      <c r="C1177" s="2" t="n">
        <v>2</v>
      </c>
      <c r="D1177" s="2" t="n">
        <v>1</v>
      </c>
      <c r="E1177" s="2" t="n">
        <v>1</v>
      </c>
      <c r="F1177" s="2" t="n">
        <v>43</v>
      </c>
      <c r="G1177" s="2" t="s">
        <v>446</v>
      </c>
      <c r="H1177" s="2" t="str">
        <f aca="false">IFERROR(__xludf.dummyfunction("IF(I1189="""", """", REGEXEXTRACT(I1189, ""Padrao/([^/]+)""))"),"Residencial Parque dos Servidores")</f>
        <v>Residencial Parque dos Servidores</v>
      </c>
    </row>
    <row r="1178" customFormat="false" ht="15.75" hidden="false" customHeight="false" outlineLevel="0" collapsed="false">
      <c r="A1178" s="2" t="n">
        <v>127184</v>
      </c>
      <c r="B1178" s="2" t="s">
        <v>748</v>
      </c>
      <c r="C1178" s="2" t="n">
        <v>2</v>
      </c>
      <c r="D1178" s="2" t="n">
        <v>1</v>
      </c>
      <c r="E1178" s="2" t="n">
        <v>1</v>
      </c>
      <c r="F1178" s="2" t="n">
        <v>48</v>
      </c>
      <c r="G1178" s="2" t="s">
        <v>446</v>
      </c>
      <c r="H1178" s="2" t="str">
        <f aca="false">IFERROR(__xludf.dummyfunction("IF(I1190="""", """", REGEXEXTRACT(I1190, ""Padrao/([^/]+)""))"),"Parque Sao Sebastiao")</f>
        <v>Parque Sao Sebastiao</v>
      </c>
    </row>
    <row r="1179" customFormat="false" ht="15.75" hidden="false" customHeight="false" outlineLevel="0" collapsed="false">
      <c r="A1179" s="2" t="n">
        <v>124724</v>
      </c>
      <c r="B1179" s="2" t="s">
        <v>1098</v>
      </c>
      <c r="C1179" s="2" t="n">
        <v>2</v>
      </c>
      <c r="D1179" s="2" t="n">
        <v>1</v>
      </c>
      <c r="E1179" s="2" t="n">
        <v>1</v>
      </c>
      <c r="F1179" s="2" t="n">
        <v>42</v>
      </c>
      <c r="G1179" s="2" t="s">
        <v>446</v>
      </c>
      <c r="H1179" s="2" t="str">
        <f aca="false">IFERROR(__xludf.dummyfunction("IF(I1191="""", """", REGEXEXTRACT(I1191, ""Padrao/([^/]+)""))"),"Jardim Itau")</f>
        <v>Jardim Itau</v>
      </c>
    </row>
    <row r="1180" customFormat="false" ht="15.75" hidden="false" customHeight="false" outlineLevel="0" collapsed="false">
      <c r="A1180" s="2" t="n">
        <v>124202</v>
      </c>
      <c r="B1180" s="2" t="s">
        <v>1099</v>
      </c>
      <c r="C1180" s="2" t="n">
        <v>2</v>
      </c>
      <c r="D1180" s="2" t="n">
        <v>1</v>
      </c>
      <c r="E1180" s="2" t="n">
        <v>1</v>
      </c>
      <c r="F1180" s="2" t="n">
        <v>57</v>
      </c>
      <c r="G1180" s="2" t="s">
        <v>446</v>
      </c>
      <c r="H1180" s="2" t="str">
        <f aca="false">IFERROR(__xludf.dummyfunction("IF(I1192="""", """", REGEXEXTRACT(I1192, ""Padrao/([^/]+)""))"),"Republica")</f>
        <v>Republica</v>
      </c>
    </row>
    <row r="1181" customFormat="false" ht="15.75" hidden="false" customHeight="false" outlineLevel="0" collapsed="false">
      <c r="A1181" s="2" t="n">
        <v>122213</v>
      </c>
      <c r="B1181" s="2" t="s">
        <v>1100</v>
      </c>
      <c r="C1181" s="2" t="n">
        <v>2</v>
      </c>
      <c r="D1181" s="2" t="n">
        <v>1</v>
      </c>
      <c r="E1181" s="2" t="n">
        <v>1</v>
      </c>
      <c r="F1181" s="2" t="n">
        <v>42</v>
      </c>
      <c r="G1181" s="2" t="s">
        <v>446</v>
      </c>
      <c r="H1181" s="2" t="str">
        <f aca="false">IFERROR(__xludf.dummyfunction("IF(I1193="""", """", REGEXEXTRACT(I1193, ""Padrao/([^/]+)""))"),"Vila Virginia")</f>
        <v>Vila Virginia</v>
      </c>
    </row>
    <row r="1182" customFormat="false" ht="15.75" hidden="false" customHeight="false" outlineLevel="0" collapsed="false">
      <c r="A1182" s="2" t="n">
        <v>121487</v>
      </c>
      <c r="B1182" s="2" t="s">
        <v>162</v>
      </c>
      <c r="C1182" s="2" t="n">
        <v>2</v>
      </c>
      <c r="D1182" s="2" t="n">
        <v>1</v>
      </c>
      <c r="E1182" s="2" t="n">
        <v>1</v>
      </c>
      <c r="F1182" s="2" t="n">
        <v>66</v>
      </c>
      <c r="G1182" s="2" t="s">
        <v>446</v>
      </c>
      <c r="H1182" s="2" t="str">
        <f aca="false">IFERROR(__xludf.dummyfunction("IF(I1194="""", """", REGEXEXTRACT(I1194, ""Padrao/([^/]+)""))"),"Sumarezinho")</f>
        <v>Sumarezinho</v>
      </c>
    </row>
    <row r="1183" customFormat="false" ht="15.75" hidden="false" customHeight="false" outlineLevel="0" collapsed="false">
      <c r="A1183" s="2" t="n">
        <v>120197</v>
      </c>
      <c r="B1183" s="2" t="s">
        <v>1101</v>
      </c>
      <c r="C1183" s="2" t="n">
        <v>1</v>
      </c>
      <c r="D1183" s="2" t="n">
        <v>1</v>
      </c>
      <c r="E1183" s="2" t="n">
        <v>1</v>
      </c>
      <c r="F1183" s="2" t="n">
        <v>35</v>
      </c>
      <c r="G1183" s="2" t="s">
        <v>446</v>
      </c>
      <c r="H1183" s="2" t="str">
        <f aca="false">IFERROR(__xludf.dummyfunction("IF(I1195="""", """", REGEXEXTRACT(I1195, ""Padrao/([^/]+)""))"),"Vila Amelia")</f>
        <v>Vila Amelia</v>
      </c>
    </row>
    <row r="1184" customFormat="false" ht="15.75" hidden="false" customHeight="false" outlineLevel="0" collapsed="false">
      <c r="A1184" s="2" t="n">
        <v>120092</v>
      </c>
      <c r="B1184" s="2" t="s">
        <v>1102</v>
      </c>
      <c r="C1184" s="2" t="n">
        <v>2</v>
      </c>
      <c r="D1184" s="2" t="n">
        <v>1</v>
      </c>
      <c r="E1184" s="2" t="n">
        <v>1</v>
      </c>
      <c r="F1184" s="2" t="n">
        <v>46</v>
      </c>
      <c r="G1184" s="2" t="s">
        <v>446</v>
      </c>
      <c r="H1184" s="2" t="str">
        <f aca="false">IFERROR(__xludf.dummyfunction("IF(I1196="""", """", REGEXEXTRACT(I1196, ""Padrao/([^/]+)""))"),"Parque Sao Sebastiao")</f>
        <v>Parque Sao Sebastiao</v>
      </c>
    </row>
    <row r="1185" customFormat="false" ht="15.75" hidden="false" customHeight="false" outlineLevel="0" collapsed="false">
      <c r="A1185" s="2" t="n">
        <v>119432</v>
      </c>
      <c r="B1185" s="2" t="s">
        <v>162</v>
      </c>
      <c r="C1185" s="2" t="n">
        <v>2</v>
      </c>
      <c r="D1185" s="2" t="n">
        <v>1</v>
      </c>
      <c r="E1185" s="2" t="n">
        <v>1</v>
      </c>
      <c r="F1185" s="2" t="n">
        <v>42</v>
      </c>
      <c r="G1185" s="2" t="s">
        <v>446</v>
      </c>
      <c r="H1185" s="2" t="str">
        <f aca="false">IFERROR(__xludf.dummyfunction("IF(I1197="""", """", REGEXEXTRACT(I1197, ""Padrao/([^/]+)""))"),"Vila Virginia")</f>
        <v>Vila Virginia</v>
      </c>
    </row>
    <row r="1186" customFormat="false" ht="15.75" hidden="false" customHeight="false" outlineLevel="0" collapsed="false">
      <c r="A1186" s="2" t="n">
        <v>117113</v>
      </c>
      <c r="B1186" s="2" t="s">
        <v>714</v>
      </c>
      <c r="C1186" s="2" t="n">
        <v>2</v>
      </c>
      <c r="D1186" s="2" t="n">
        <v>1</v>
      </c>
      <c r="E1186" s="2" t="n">
        <v>1</v>
      </c>
      <c r="F1186" s="2" t="n">
        <v>48</v>
      </c>
      <c r="G1186" s="2" t="s">
        <v>446</v>
      </c>
      <c r="H1186" s="2" t="str">
        <f aca="false">IFERROR(__xludf.dummyfunction("IF(I1198="""", """", REGEXEXTRACT(I1198, ""Padrao/([^/]+)""))"),"Geraldo Correia de Carvalho")</f>
        <v>Geraldo Correia de Carvalho</v>
      </c>
    </row>
    <row r="1187" customFormat="false" ht="15.75" hidden="false" customHeight="false" outlineLevel="0" collapsed="false">
      <c r="A1187" s="2" t="n">
        <v>111092</v>
      </c>
      <c r="B1187" s="2" t="s">
        <v>162</v>
      </c>
      <c r="C1187" s="2" t="n">
        <v>2</v>
      </c>
      <c r="D1187" s="2" t="n">
        <v>1</v>
      </c>
      <c r="E1187" s="2" t="n">
        <v>1</v>
      </c>
      <c r="F1187" s="2" t="n">
        <v>52</v>
      </c>
      <c r="G1187" s="2" t="s">
        <v>446</v>
      </c>
      <c r="H1187" s="2" t="str">
        <f aca="false">IFERROR(__xludf.dummyfunction("IF(I1199="""", """", REGEXEXTRACT(I1199, ""Padrao/([^/]+)""))"),"Chacaras Pedro Correa de Carvalho")</f>
        <v>Chacaras Pedro Correa de Carvalho</v>
      </c>
    </row>
    <row r="1188" customFormat="false" ht="15.75" hidden="false" customHeight="false" outlineLevel="0" collapsed="false">
      <c r="A1188" s="2" t="n">
        <v>109451</v>
      </c>
      <c r="B1188" s="2" t="s">
        <v>1103</v>
      </c>
      <c r="C1188" s="2" t="n">
        <v>2</v>
      </c>
      <c r="D1188" s="2" t="n">
        <v>1</v>
      </c>
      <c r="E1188" s="2" t="n">
        <v>1</v>
      </c>
      <c r="F1188" s="2" t="n">
        <v>42</v>
      </c>
      <c r="G1188" s="2" t="s">
        <v>446</v>
      </c>
      <c r="H1188" s="2" t="str">
        <f aca="false">IFERROR(__xludf.dummyfunction("IF(I1200="""", """", REGEXEXTRACT(I1200, ""Padrao/([^/]+)""))"),"Vila Virginia")</f>
        <v>Vila Virginia</v>
      </c>
    </row>
    <row r="1189" customFormat="false" ht="15.75" hidden="false" customHeight="false" outlineLevel="0" collapsed="false">
      <c r="A1189" s="2" t="n">
        <v>107648</v>
      </c>
      <c r="B1189" s="2" t="s">
        <v>162</v>
      </c>
      <c r="C1189" s="2" t="n">
        <v>3</v>
      </c>
      <c r="D1189" s="2" t="n">
        <v>2</v>
      </c>
      <c r="E1189" s="2" t="n">
        <v>1</v>
      </c>
      <c r="F1189" s="2" t="n">
        <v>68</v>
      </c>
      <c r="G1189" s="2" t="s">
        <v>446</v>
      </c>
      <c r="H1189" s="2" t="str">
        <f aca="false">IFERROR(__xludf.dummyfunction("IF(I1201="""", """", REGEXEXTRACT(I1201, ""Padrao/([^/]+)""))"),"Residencial e Comercial Palmares")</f>
        <v>Residencial e Comercial Palmares</v>
      </c>
    </row>
    <row r="1190" customFormat="false" ht="15.75" hidden="false" customHeight="false" outlineLevel="0" collapsed="false">
      <c r="A1190" s="2" t="n">
        <v>99659</v>
      </c>
      <c r="B1190" s="2" t="s">
        <v>1104</v>
      </c>
      <c r="C1190" s="2" t="n">
        <v>1</v>
      </c>
      <c r="D1190" s="2" t="n">
        <v>1</v>
      </c>
      <c r="E1190" s="2" t="n">
        <v>1</v>
      </c>
      <c r="F1190" s="2" t="n">
        <v>31</v>
      </c>
      <c r="G1190" s="2" t="s">
        <v>446</v>
      </c>
      <c r="H1190" s="2" t="str">
        <f aca="false">IFERROR(__xludf.dummyfunction("IF(I1202="""", """", REGEXEXTRACT(I1202, ""Padrao/([^/]+)""))"),"Vila Monte Alegre")</f>
        <v>Vila Monte Alegre</v>
      </c>
    </row>
    <row r="1191" customFormat="false" ht="15.75" hidden="false" customHeight="false" outlineLevel="0" collapsed="false">
      <c r="A1191" s="2" t="n">
        <v>95978</v>
      </c>
      <c r="B1191" s="2" t="s">
        <v>402</v>
      </c>
      <c r="C1191" s="2" t="n">
        <v>1</v>
      </c>
      <c r="D1191" s="2" t="n">
        <v>1</v>
      </c>
      <c r="E1191" s="2" t="n">
        <v>1</v>
      </c>
      <c r="F1191" s="2" t="n">
        <v>31</v>
      </c>
      <c r="G1191" s="2" t="s">
        <v>446</v>
      </c>
      <c r="H1191" s="2" t="str">
        <f aca="false">IFERROR(__xludf.dummyfunction("IF(I1203="""", """", REGEXEXTRACT(I1203, ""Padrao/([^/]+)""))"),"Vila Virginia")</f>
        <v>Vila Virginia</v>
      </c>
    </row>
    <row r="1192" customFormat="false" ht="15.75" hidden="false" customHeight="false" outlineLevel="0" collapsed="false">
      <c r="A1192" s="2" t="n">
        <v>95558</v>
      </c>
      <c r="B1192" s="2" t="s">
        <v>1105</v>
      </c>
      <c r="C1192" s="2" t="n">
        <v>2</v>
      </c>
      <c r="D1192" s="2" t="n">
        <v>1</v>
      </c>
      <c r="E1192" s="2" t="n">
        <v>2</v>
      </c>
      <c r="F1192" s="2" t="n">
        <v>61</v>
      </c>
      <c r="G1192" s="2" t="s">
        <v>446</v>
      </c>
      <c r="H1192" s="2" t="str">
        <f aca="false">IFERROR(__xludf.dummyfunction("IF(I1204="""", """", REGEXEXTRACT(I1204, ""Padrao/([^/]+)""))"),"Ipiranga")</f>
        <v>Ipiranga</v>
      </c>
    </row>
    <row r="1193" customFormat="false" ht="15.75" hidden="false" customHeight="false" outlineLevel="0" collapsed="false">
      <c r="A1193" s="2" t="n">
        <v>92108</v>
      </c>
      <c r="B1193" s="2" t="s">
        <v>1106</v>
      </c>
      <c r="C1193" s="2" t="n">
        <v>2</v>
      </c>
      <c r="D1193" s="2" t="n">
        <v>1</v>
      </c>
      <c r="E1193" s="2" t="n">
        <v>1</v>
      </c>
      <c r="F1193" s="2" t="n">
        <v>59</v>
      </c>
      <c r="G1193" s="2" t="s">
        <v>446</v>
      </c>
      <c r="H1193" s="2" t="str">
        <f aca="false">IFERROR(__xludf.dummyfunction("IF(I1205="""", """", REGEXEXTRACT(I1205, ""Padrao/([^/]+)""))"),"Independencia")</f>
        <v>Independencia</v>
      </c>
    </row>
    <row r="1194" customFormat="false" ht="15.75" hidden="false" customHeight="false" outlineLevel="0" collapsed="false">
      <c r="A1194" s="2" t="n">
        <v>86414</v>
      </c>
      <c r="B1194" s="2" t="s">
        <v>1107</v>
      </c>
      <c r="C1194" s="2" t="n">
        <v>1</v>
      </c>
      <c r="D1194" s="2" t="n">
        <v>1</v>
      </c>
      <c r="E1194" s="2" t="n">
        <v>1</v>
      </c>
      <c r="F1194" s="2" t="n">
        <v>37</v>
      </c>
      <c r="G1194" s="2" t="s">
        <v>446</v>
      </c>
      <c r="H1194" s="2" t="str">
        <f aca="false">IFERROR(__xludf.dummyfunction("IF(I1206="""", """", REGEXEXTRACT(I1206, ""Padrao/([^/]+)""))"),"Parque Industrial Lagoinha")</f>
        <v>Parque Industrial Lagoinha</v>
      </c>
    </row>
    <row r="1195" customFormat="false" ht="15.75" hidden="false" customHeight="false" outlineLevel="0" collapsed="false">
      <c r="A1195" s="2" t="n">
        <v>83981</v>
      </c>
      <c r="B1195" s="2" t="s">
        <v>1108</v>
      </c>
      <c r="C1195" s="2" t="n">
        <v>1</v>
      </c>
      <c r="D1195" s="2" t="n">
        <v>1</v>
      </c>
      <c r="E1195" s="2" t="n">
        <v>1</v>
      </c>
      <c r="F1195" s="2" t="n">
        <v>50</v>
      </c>
      <c r="G1195" s="2" t="s">
        <v>446</v>
      </c>
      <c r="H1195" s="2" t="str">
        <f aca="false">IFERROR(__xludf.dummyfunction("IF(I1207="""", """", REGEXEXTRACT(I1207, ""Padrao/([^/]+)""))"),"Centro")</f>
        <v>Centro</v>
      </c>
    </row>
    <row r="1196" customFormat="false" ht="15.75" hidden="false" customHeight="false" outlineLevel="0" collapsed="false">
      <c r="A1196" s="2" t="n">
        <v>72323</v>
      </c>
      <c r="B1196" s="2" t="s">
        <v>1109</v>
      </c>
      <c r="C1196" s="2" t="n">
        <v>2</v>
      </c>
      <c r="D1196" s="2" t="n">
        <v>1</v>
      </c>
      <c r="E1196" s="2" t="n">
        <v>2</v>
      </c>
      <c r="F1196" s="2" t="n">
        <v>47</v>
      </c>
      <c r="G1196" s="2" t="s">
        <v>446</v>
      </c>
      <c r="H1196" s="2" t="str">
        <f aca="false">IFERROR(__xludf.dummyfunction("IF(I1208="""", """", REGEXEXTRACT(I1208, ""Padrao/([^/]+)""))"),"Jardim Paulistano")</f>
        <v>Jardim Paulistano</v>
      </c>
    </row>
    <row r="1197" customFormat="false" ht="15.75" hidden="false" customHeight="false" outlineLevel="0" collapsed="false">
      <c r="A1197" s="2" t="n">
        <v>64379</v>
      </c>
      <c r="B1197" s="2" t="s">
        <v>602</v>
      </c>
      <c r="C1197" s="2" t="n">
        <v>1</v>
      </c>
      <c r="D1197" s="2" t="n">
        <v>1</v>
      </c>
      <c r="E1197" s="2" t="n">
        <v>1</v>
      </c>
      <c r="F1197" s="2" t="n">
        <v>51</v>
      </c>
      <c r="G1197" s="2" t="s">
        <v>446</v>
      </c>
      <c r="H1197" s="2" t="str">
        <f aca="false">IFERROR(__xludf.dummyfunction("IF(I1209="""", """", REGEXEXTRACT(I1209, ""Padrao/([^/]+)""))"),"Centro")</f>
        <v>Centro</v>
      </c>
    </row>
    <row r="1198" customFormat="false" ht="15.75" hidden="false" customHeight="false" outlineLevel="0" collapsed="false">
      <c r="A1198" s="2" t="n">
        <v>30224</v>
      </c>
      <c r="B1198" s="2" t="s">
        <v>906</v>
      </c>
      <c r="C1198" s="2" t="n">
        <v>1</v>
      </c>
      <c r="D1198" s="2" t="n">
        <v>1</v>
      </c>
      <c r="E1198" s="2" t="n">
        <v>1</v>
      </c>
      <c r="F1198" s="2" t="n">
        <v>27</v>
      </c>
      <c r="G1198" s="2" t="s">
        <v>446</v>
      </c>
      <c r="H1198" s="2" t="str">
        <f aca="false">IFERROR(__xludf.dummyfunction("IF(I1210="""", """", REGEXEXTRACT(I1210, ""Padrao/([^/]+)""))"),"Jardim Macedo")</f>
        <v>Jardim Macedo</v>
      </c>
    </row>
    <row r="1199" customFormat="false" ht="15.75" hidden="false" customHeight="false" outlineLevel="0" collapsed="false">
      <c r="A1199" s="2" t="n">
        <v>25931</v>
      </c>
      <c r="B1199" s="2" t="s">
        <v>1110</v>
      </c>
      <c r="C1199" s="2" t="n">
        <v>1</v>
      </c>
      <c r="D1199" s="2" t="n">
        <v>1</v>
      </c>
      <c r="E1199" s="2" t="n">
        <v>1</v>
      </c>
      <c r="F1199" s="2" t="n">
        <v>35</v>
      </c>
      <c r="G1199" s="2" t="s">
        <v>446</v>
      </c>
      <c r="H1199" s="2" t="str">
        <f aca="false">IFERROR(__xludf.dummyfunction("IF(I1211="""", """", REGEXEXTRACT(I1211, ""Padrao/([^/]+)""))"),"Parque Industrial Lagoinha")</f>
        <v>Parque Industrial Lagoinha</v>
      </c>
    </row>
    <row r="1200" customFormat="false" ht="15.75" hidden="false" customHeight="false" outlineLevel="0" collapsed="false">
      <c r="A1200" s="2" t="n">
        <v>174965</v>
      </c>
      <c r="B1200" s="2" t="s">
        <v>1111</v>
      </c>
      <c r="C1200" s="2" t="n">
        <v>2</v>
      </c>
      <c r="D1200" s="2" t="n">
        <v>1</v>
      </c>
      <c r="E1200" s="2" t="n">
        <v>1</v>
      </c>
      <c r="F1200" s="2" t="n">
        <v>47</v>
      </c>
      <c r="G1200" s="2" t="s">
        <v>435</v>
      </c>
      <c r="H1200" s="2" t="str">
        <f aca="false">IFERROR(__xludf.dummyfunction("IF(I1212="""", """", REGEXEXTRACT(I1212, ""Padrao/([^/]+)""))"),"Parque Sao Sebastiao")</f>
        <v>Parque Sao Sebastiao</v>
      </c>
    </row>
    <row r="1201" customFormat="false" ht="15.75" hidden="false" customHeight="false" outlineLevel="0" collapsed="false">
      <c r="A1201" s="2" t="n">
        <v>191747</v>
      </c>
      <c r="B1201" s="2" t="s">
        <v>1112</v>
      </c>
      <c r="C1201" s="2" t="n">
        <v>2</v>
      </c>
      <c r="D1201" s="2" t="n">
        <v>1</v>
      </c>
      <c r="E1201" s="2" t="n">
        <v>1</v>
      </c>
      <c r="F1201" s="2" t="n">
        <v>43</v>
      </c>
      <c r="G1201" s="2" t="s">
        <v>435</v>
      </c>
      <c r="H1201" s="2" t="str">
        <f aca="false">IFERROR(__xludf.dummyfunction("IF(I1213="""", """", REGEXEXTRACT(I1213, ""Padrao/([^/]+)""))"),"Jardim Heitor Rigon")</f>
        <v>Jardim Heitor Rigon</v>
      </c>
    </row>
    <row r="1202" customFormat="false" ht="15.75" hidden="false" customHeight="false" outlineLevel="0" collapsed="false">
      <c r="A1202" s="2" t="n">
        <v>195932</v>
      </c>
      <c r="B1202" s="2" t="s">
        <v>1113</v>
      </c>
      <c r="C1202" s="2" t="n">
        <v>2</v>
      </c>
      <c r="D1202" s="2" t="n">
        <v>1</v>
      </c>
      <c r="E1202" s="2" t="n">
        <v>1</v>
      </c>
      <c r="F1202" s="2" t="n">
        <v>45</v>
      </c>
      <c r="G1202" s="2" t="s">
        <v>1114</v>
      </c>
      <c r="H1202" s="2" t="str">
        <f aca="false">IFERROR(__xludf.dummyfunction("IF(I1214="""", """", REGEXEXTRACT(I1214, ""Padrao/([^/]+)""))"),"Sumarezinho")</f>
        <v>Sumarezinho</v>
      </c>
    </row>
    <row r="1203" customFormat="false" ht="15.75" hidden="false" customHeight="false" outlineLevel="0" collapsed="false">
      <c r="A1203" s="2" t="n">
        <v>164552</v>
      </c>
      <c r="B1203" s="2" t="s">
        <v>1115</v>
      </c>
      <c r="C1203" s="2" t="n">
        <v>2</v>
      </c>
      <c r="D1203" s="2" t="n">
        <v>1</v>
      </c>
      <c r="E1203" s="2" t="n">
        <v>1</v>
      </c>
      <c r="F1203" s="2" t="n">
        <v>42</v>
      </c>
      <c r="G1203" s="2" t="s">
        <v>446</v>
      </c>
      <c r="H1203" s="2" t="str">
        <f aca="false">IFERROR(__xludf.dummyfunction("IF(I1215="""", """", REGEXEXTRACT(I1215, ""Padrao/([^/]+)""))"),"Quintino Facci II")</f>
        <v>Quintino Facci II</v>
      </c>
    </row>
    <row r="1204" customFormat="false" ht="15.75" hidden="false" customHeight="false" outlineLevel="0" collapsed="false">
      <c r="A1204" s="2" t="n">
        <v>217106</v>
      </c>
      <c r="B1204" s="2" t="s">
        <v>1116</v>
      </c>
      <c r="C1204" s="2" t="n">
        <v>1</v>
      </c>
      <c r="D1204" s="2" t="n">
        <v>1</v>
      </c>
      <c r="E1204" s="2" t="n">
        <v>1</v>
      </c>
      <c r="F1204" s="2" t="n">
        <v>40</v>
      </c>
      <c r="G1204" s="2" t="s">
        <v>1117</v>
      </c>
      <c r="H1204" s="2" t="str">
        <f aca="false">IFERROR(__xludf.dummyfunction("IF(I1216="""", """", REGEXEXTRACT(I1216, ""Padrao/([^/]+)""))"),"Parque dos Bandeirantes")</f>
        <v>Parque dos Bandeirantes</v>
      </c>
    </row>
    <row r="1205" customFormat="false" ht="15.75" hidden="false" customHeight="false" outlineLevel="0" collapsed="false">
      <c r="A1205" s="2" t="n">
        <v>94787</v>
      </c>
      <c r="B1205" s="2" t="s">
        <v>1118</v>
      </c>
      <c r="C1205" s="2" t="n">
        <v>2</v>
      </c>
      <c r="D1205" s="2" t="n">
        <v>1</v>
      </c>
      <c r="E1205" s="2" t="n">
        <v>1</v>
      </c>
      <c r="F1205" s="2" t="n">
        <v>45</v>
      </c>
      <c r="G1205" s="2" t="s">
        <v>432</v>
      </c>
      <c r="H1205" s="2" t="str">
        <f aca="false">IFERROR(__xludf.dummyfunction("IF(I1217="""", """", REGEXEXTRACT(I1217, ""Padrao/([^/]+)""))"),"Parque dos Lagos")</f>
        <v>Parque dos Lagos</v>
      </c>
    </row>
    <row r="1206" customFormat="false" ht="15.75" hidden="false" customHeight="false" outlineLevel="0" collapsed="false">
      <c r="A1206" s="2" t="n">
        <v>194624</v>
      </c>
      <c r="B1206" s="2" t="s">
        <v>1119</v>
      </c>
      <c r="C1206" s="2" t="n">
        <v>1</v>
      </c>
      <c r="D1206" s="2" t="n">
        <v>1</v>
      </c>
      <c r="E1206" s="2" t="n">
        <v>1</v>
      </c>
      <c r="F1206" s="2" t="n">
        <v>34</v>
      </c>
      <c r="G1206" s="2" t="s">
        <v>435</v>
      </c>
      <c r="H1206" s="2" t="str">
        <f aca="false">IFERROR(__xludf.dummyfunction("IF(I1218="""", """", REGEXEXTRACT(I1218, ""Padrao/([^/]+)""))"),"Residencial Greenville")</f>
        <v>Residencial Greenville</v>
      </c>
    </row>
    <row r="1207" customFormat="false" ht="15.75" hidden="false" customHeight="false" outlineLevel="0" collapsed="false">
      <c r="A1207" s="2" t="n">
        <v>235226</v>
      </c>
      <c r="B1207" s="2" t="s">
        <v>1120</v>
      </c>
      <c r="C1207" s="2" t="n">
        <v>3</v>
      </c>
      <c r="D1207" s="2" t="n">
        <v>1</v>
      </c>
      <c r="E1207" s="2" t="n">
        <v>2</v>
      </c>
      <c r="F1207" s="2" t="n">
        <v>80</v>
      </c>
      <c r="G1207" s="2" t="s">
        <v>443</v>
      </c>
      <c r="H1207" s="2" t="str">
        <f aca="false">IFERROR(__xludf.dummyfunction("IF(I1219="""", """", REGEXEXTRACT(I1219, ""Padrao/([^/]+)""))"),"Jardim Paulistano")</f>
        <v>Jardim Paulistano</v>
      </c>
    </row>
    <row r="1208" customFormat="false" ht="15.75" hidden="false" customHeight="false" outlineLevel="0" collapsed="false">
      <c r="A1208" s="2" t="n">
        <v>28727</v>
      </c>
      <c r="B1208" s="2" t="s">
        <v>461</v>
      </c>
      <c r="C1208" s="2" t="n">
        <v>2</v>
      </c>
      <c r="D1208" s="2" t="n">
        <v>1</v>
      </c>
      <c r="E1208" s="2" t="n">
        <v>1</v>
      </c>
      <c r="F1208" s="2" t="n">
        <v>62</v>
      </c>
      <c r="G1208" s="2" t="s">
        <v>443</v>
      </c>
      <c r="H1208" s="2" t="str">
        <f aca="false">IFERROR(__xludf.dummyfunction("IF(I1220="""", """", REGEXEXTRACT(I1220, ""Padrao/([^/]+)""))"),"Centro")</f>
        <v>Centro</v>
      </c>
    </row>
    <row r="1209" customFormat="false" ht="15.75" hidden="false" customHeight="false" outlineLevel="0" collapsed="false">
      <c r="A1209" s="2" t="n">
        <v>218243</v>
      </c>
      <c r="B1209" s="2" t="s">
        <v>1121</v>
      </c>
      <c r="C1209" s="2" t="n">
        <v>2</v>
      </c>
      <c r="D1209" s="2" t="n">
        <v>1</v>
      </c>
      <c r="E1209" s="2" t="n">
        <v>1</v>
      </c>
      <c r="F1209" s="2" t="n">
        <v>49</v>
      </c>
      <c r="G1209" s="2" t="s">
        <v>1025</v>
      </c>
      <c r="H1209" s="2" t="str">
        <f aca="false">IFERROR(__xludf.dummyfunction("IF(I1221="""", """", REGEXEXTRACT(I1221, ""Padrao/([^/]+)""))"),"Ipiranga")</f>
        <v>Ipiranga</v>
      </c>
    </row>
    <row r="1210" customFormat="false" ht="15.75" hidden="false" customHeight="false" outlineLevel="0" collapsed="false">
      <c r="A1210" s="2" t="n">
        <v>182009</v>
      </c>
      <c r="B1210" s="2" t="s">
        <v>1122</v>
      </c>
      <c r="C1210" s="2" t="n">
        <v>2</v>
      </c>
      <c r="D1210" s="2" t="n">
        <v>1</v>
      </c>
      <c r="E1210" s="2" t="n">
        <v>1</v>
      </c>
      <c r="F1210" s="2" t="n">
        <v>45</v>
      </c>
      <c r="G1210" s="2" t="s">
        <v>446</v>
      </c>
      <c r="H1210" s="2" t="str">
        <f aca="false">IFERROR(__xludf.dummyfunction("IF(I1222="""", """", REGEXEXTRACT(I1222, ""Padrao/([^/]+)""))"),"Parque dos Lagos")</f>
        <v>Parque dos Lagos</v>
      </c>
    </row>
    <row r="1211" customFormat="false" ht="15.75" hidden="false" customHeight="false" outlineLevel="0" collapsed="false">
      <c r="A1211" s="2" t="n">
        <v>156764</v>
      </c>
      <c r="B1211" s="2" t="s">
        <v>1123</v>
      </c>
      <c r="C1211" s="2" t="n">
        <v>2</v>
      </c>
      <c r="D1211" s="2" t="n">
        <v>1</v>
      </c>
      <c r="E1211" s="2" t="n">
        <v>1</v>
      </c>
      <c r="F1211" s="2" t="n">
        <v>43</v>
      </c>
      <c r="G1211" s="2" t="s">
        <v>446</v>
      </c>
      <c r="H1211" s="2" t="str">
        <f aca="false">IFERROR(__xludf.dummyfunction("IF(I1223="""", """", REGEXEXTRACT(I1223, ""Padrao/([^/]+)""))"),"Jardim Interlagos")</f>
        <v>Jardim Interlagos</v>
      </c>
    </row>
    <row r="1212" customFormat="false" ht="15.75" hidden="false" customHeight="false" outlineLevel="0" collapsed="false">
      <c r="A1212" s="2" t="n">
        <v>132341</v>
      </c>
      <c r="B1212" s="2" t="s">
        <v>1124</v>
      </c>
      <c r="C1212" s="2" t="n">
        <v>2</v>
      </c>
      <c r="D1212" s="2" t="n">
        <v>1</v>
      </c>
      <c r="E1212" s="2" t="n">
        <v>1</v>
      </c>
      <c r="F1212" s="2" t="n">
        <v>46</v>
      </c>
      <c r="G1212" s="2" t="s">
        <v>446</v>
      </c>
      <c r="H1212" s="2" t="str">
        <f aca="false">IFERROR(__xludf.dummyfunction("IF(I1224="""", """", REGEXEXTRACT(I1224, ""Padrao/([^/]+)""))"),"Ribeirania")</f>
        <v>Ribeirania</v>
      </c>
    </row>
    <row r="1213" customFormat="false" ht="15.75" hidden="false" customHeight="false" outlineLevel="0" collapsed="false">
      <c r="A1213" s="2" t="n">
        <v>128867</v>
      </c>
      <c r="B1213" s="2" t="s">
        <v>1125</v>
      </c>
      <c r="C1213" s="2" t="n">
        <v>2</v>
      </c>
      <c r="D1213" s="2" t="n">
        <v>1</v>
      </c>
      <c r="E1213" s="2" t="n">
        <v>1</v>
      </c>
      <c r="F1213" s="2" t="n">
        <v>45</v>
      </c>
      <c r="G1213" s="2" t="s">
        <v>446</v>
      </c>
      <c r="H1213" s="2" t="str">
        <f aca="false">IFERROR(__xludf.dummyfunction("IF(I1225="""", """", REGEXEXTRACT(I1225, ""Padrao/([^/]+)""))"),"Jardim Interlagos")</f>
        <v>Jardim Interlagos</v>
      </c>
    </row>
    <row r="1214" customFormat="false" ht="15.75" hidden="false" customHeight="false" outlineLevel="0" collapsed="false">
      <c r="A1214" s="2" t="n">
        <v>241670</v>
      </c>
      <c r="B1214" s="2" t="s">
        <v>815</v>
      </c>
      <c r="C1214" s="2" t="n">
        <v>2</v>
      </c>
      <c r="D1214" s="2" t="n">
        <v>1</v>
      </c>
      <c r="E1214" s="2" t="n">
        <v>1</v>
      </c>
      <c r="F1214" s="2" t="n">
        <v>42</v>
      </c>
      <c r="G1214" s="2" t="s">
        <v>459</v>
      </c>
      <c r="H1214" s="2" t="str">
        <f aca="false">IFERROR(__xludf.dummyfunction("IF(I1226="""", """", REGEXEXTRACT(I1226, ""Padrao/([^/]+)""))"),"Planalto Verde")</f>
        <v>Planalto Verde</v>
      </c>
    </row>
    <row r="1215" customFormat="false" ht="15.75" hidden="false" customHeight="false" outlineLevel="0" collapsed="false">
      <c r="A1215" s="2" t="n">
        <v>241550</v>
      </c>
      <c r="B1215" s="2" t="s">
        <v>1126</v>
      </c>
      <c r="C1215" s="2" t="n">
        <v>2</v>
      </c>
      <c r="D1215" s="2" t="n">
        <v>1</v>
      </c>
      <c r="E1215" s="2" t="n">
        <v>1</v>
      </c>
      <c r="F1215" s="2" t="n">
        <v>43</v>
      </c>
      <c r="G1215" s="2" t="s">
        <v>459</v>
      </c>
      <c r="H1215" s="2" t="str">
        <f aca="false">IFERROR(__xludf.dummyfunction("IF(I1227="""", """", REGEXEXTRACT(I1227, ""Padrao/([^/]+)""))"),"Adelino Simioni")</f>
        <v>Adelino Simioni</v>
      </c>
    </row>
    <row r="1216" customFormat="false" ht="15.75" hidden="false" customHeight="false" outlineLevel="0" collapsed="false">
      <c r="A1216" s="2" t="n">
        <v>240560</v>
      </c>
      <c r="B1216" s="2" t="s">
        <v>843</v>
      </c>
      <c r="C1216" s="2" t="n">
        <v>2</v>
      </c>
      <c r="D1216" s="2" t="n">
        <v>1</v>
      </c>
      <c r="E1216" s="2" t="n">
        <v>1</v>
      </c>
      <c r="F1216" s="2" t="n">
        <v>40</v>
      </c>
      <c r="G1216" s="2" t="s">
        <v>459</v>
      </c>
      <c r="H1216" s="2" t="str">
        <f aca="false">IFERROR(__xludf.dummyfunction("IF(I1228="""", """", REGEXEXTRACT(I1228, ""Padrao/([^/]+)""))"),"Jardim Ouro Branco")</f>
        <v>Jardim Ouro Branco</v>
      </c>
    </row>
    <row r="1217" customFormat="false" ht="15.75" hidden="false" customHeight="false" outlineLevel="0" collapsed="false">
      <c r="A1217" s="2" t="n">
        <v>239717</v>
      </c>
      <c r="B1217" s="2" t="s">
        <v>1127</v>
      </c>
      <c r="C1217" s="2" t="n">
        <v>2</v>
      </c>
      <c r="D1217" s="2" t="n">
        <v>1</v>
      </c>
      <c r="E1217" s="2" t="n">
        <v>1</v>
      </c>
      <c r="F1217" s="2" t="n">
        <v>42</v>
      </c>
      <c r="G1217" s="2" t="s">
        <v>459</v>
      </c>
      <c r="H1217" s="2" t="str">
        <f aca="false">IFERROR(__xludf.dummyfunction("IF(I1229="""", """", REGEXEXTRACT(I1229, ""Padrao/([^/]+)""))"),"Jardim Cybelli")</f>
        <v>Jardim Cybelli</v>
      </c>
    </row>
    <row r="1218" customFormat="false" ht="15.75" hidden="false" customHeight="false" outlineLevel="0" collapsed="false">
      <c r="A1218" s="2" t="n">
        <v>239147</v>
      </c>
      <c r="B1218" s="2" t="s">
        <v>1051</v>
      </c>
      <c r="C1218" s="2" t="n">
        <v>2</v>
      </c>
      <c r="D1218" s="2" t="n">
        <v>1</v>
      </c>
      <c r="E1218" s="2" t="n">
        <v>1</v>
      </c>
      <c r="F1218" s="2" t="n">
        <v>43</v>
      </c>
      <c r="G1218" s="2" t="s">
        <v>459</v>
      </c>
      <c r="H1218" s="2" t="str">
        <f aca="false">IFERROR(__xludf.dummyfunction("IF(I1230="""", """", REGEXEXTRACT(I1230, ""Padrao/([^/]+)""))"),"Jardim Interlagos")</f>
        <v>Jardim Interlagos</v>
      </c>
    </row>
    <row r="1219" customFormat="false" ht="15.75" hidden="false" customHeight="false" outlineLevel="0" collapsed="false">
      <c r="A1219" s="2" t="n">
        <v>238922</v>
      </c>
      <c r="B1219" s="2" t="s">
        <v>1128</v>
      </c>
      <c r="C1219" s="2" t="n">
        <v>2</v>
      </c>
      <c r="D1219" s="2" t="n">
        <v>1</v>
      </c>
      <c r="E1219" s="2" t="n">
        <v>1</v>
      </c>
      <c r="F1219" s="2" t="n">
        <v>42</v>
      </c>
      <c r="G1219" s="2" t="s">
        <v>459</v>
      </c>
      <c r="H1219" s="2" t="str">
        <f aca="false">IFERROR(__xludf.dummyfunction("IF(I1231="""", """", REGEXEXTRACT(I1231, ""Padrao/([^/]+)""))"),"Jardim Itau")</f>
        <v>Jardim Itau</v>
      </c>
    </row>
    <row r="1220" customFormat="false" ht="15.75" hidden="false" customHeight="false" outlineLevel="0" collapsed="false">
      <c r="A1220" s="2" t="n">
        <v>238763</v>
      </c>
      <c r="B1220" s="2" t="s">
        <v>815</v>
      </c>
      <c r="C1220" s="2" t="n">
        <v>2</v>
      </c>
      <c r="D1220" s="2" t="n">
        <v>1</v>
      </c>
      <c r="E1220" s="2" t="n">
        <v>1</v>
      </c>
      <c r="F1220" s="2" t="n">
        <v>42</v>
      </c>
      <c r="G1220" s="2" t="s">
        <v>459</v>
      </c>
      <c r="H1220" s="2" t="str">
        <f aca="false">IFERROR(__xludf.dummyfunction("IF(I1232="""", """", REGEXEXTRACT(I1232, ""Padrao/([^/]+)""))"),"Planalto Verde")</f>
        <v>Planalto Verde</v>
      </c>
    </row>
    <row r="1221" customFormat="false" ht="15.75" hidden="false" customHeight="false" outlineLevel="0" collapsed="false">
      <c r="A1221" s="2" t="n">
        <v>220793</v>
      </c>
      <c r="B1221" s="2" t="s">
        <v>1129</v>
      </c>
      <c r="C1221" s="2" t="n">
        <v>2</v>
      </c>
      <c r="D1221" s="2" t="n">
        <v>1</v>
      </c>
      <c r="E1221" s="2" t="n">
        <v>1</v>
      </c>
      <c r="F1221" s="2" t="n">
        <v>47</v>
      </c>
      <c r="G1221" s="2" t="s">
        <v>459</v>
      </c>
      <c r="H1221" s="2" t="str">
        <f aca="false">IFERROR(__xludf.dummyfunction("IF(I1233="""", """", REGEXEXTRACT(I1233, ""Padrao/([^/]+)""))"),"Conjunto Habitacional Jardim das Palmeiras")</f>
        <v>Conjunto Habitacional Jardim das Palmeiras</v>
      </c>
    </row>
    <row r="1222" customFormat="false" ht="15.75" hidden="false" customHeight="false" outlineLevel="0" collapsed="false">
      <c r="A1222" s="2" t="n">
        <v>219848</v>
      </c>
      <c r="B1222" s="2" t="s">
        <v>1130</v>
      </c>
      <c r="C1222" s="2" t="n">
        <v>2</v>
      </c>
      <c r="D1222" s="2" t="n">
        <v>1</v>
      </c>
      <c r="E1222" s="2" t="n">
        <v>1</v>
      </c>
      <c r="F1222" s="2" t="n">
        <v>41</v>
      </c>
      <c r="G1222" s="2" t="s">
        <v>459</v>
      </c>
      <c r="H1222" s="2" t="str">
        <f aca="false">IFERROR(__xludf.dummyfunction("IF(I1234="""", """", REGEXEXTRACT(I1234, ""Padrao/([^/]+)""))"),"Residencial Jequitiba")</f>
        <v>Residencial Jequitiba</v>
      </c>
    </row>
    <row r="1223" customFormat="false" ht="15.75" hidden="false" customHeight="false" outlineLevel="0" collapsed="false">
      <c r="A1223" s="2" t="n">
        <v>216359</v>
      </c>
      <c r="B1223" s="2" t="s">
        <v>1131</v>
      </c>
      <c r="C1223" s="2" t="n">
        <v>2</v>
      </c>
      <c r="D1223" s="2" t="n">
        <v>1</v>
      </c>
      <c r="E1223" s="2" t="n">
        <v>1</v>
      </c>
      <c r="F1223" s="2" t="n">
        <v>48</v>
      </c>
      <c r="G1223" s="2" t="s">
        <v>459</v>
      </c>
      <c r="H1223" s="2" t="str">
        <f aca="false">IFERROR(__xludf.dummyfunction("IF(I1235="""", """", REGEXEXTRACT(I1235, ""Padrao/([^/]+)""))"),"Jardim Sao Fernando")</f>
        <v>Jardim Sao Fernando</v>
      </c>
    </row>
    <row r="1224" customFormat="false" ht="15.75" hidden="false" customHeight="false" outlineLevel="0" collapsed="false">
      <c r="A1224" s="2" t="n">
        <v>213914</v>
      </c>
      <c r="B1224" s="2" t="s">
        <v>1132</v>
      </c>
      <c r="C1224" s="2" t="n">
        <v>2</v>
      </c>
      <c r="D1224" s="2" t="n">
        <v>1</v>
      </c>
      <c r="E1224" s="2" t="n">
        <v>1</v>
      </c>
      <c r="F1224" s="2" t="n">
        <v>43</v>
      </c>
      <c r="G1224" s="2" t="s">
        <v>459</v>
      </c>
      <c r="H1224" s="2" t="str">
        <f aca="false">IFERROR(__xludf.dummyfunction("IF(I1236="""", """", REGEXEXTRACT(I1236, ""Padrao/([^/]+)""))"),"Loteamento Santa Marta")</f>
        <v>Loteamento Santa Marta</v>
      </c>
    </row>
    <row r="1225" customFormat="false" ht="15.75" hidden="false" customHeight="false" outlineLevel="0" collapsed="false">
      <c r="A1225" s="2" t="n">
        <v>210293</v>
      </c>
      <c r="B1225" s="2" t="s">
        <v>1133</v>
      </c>
      <c r="C1225" s="2" t="n">
        <v>2</v>
      </c>
      <c r="D1225" s="2" t="n">
        <v>1</v>
      </c>
      <c r="E1225" s="2" t="n">
        <v>1</v>
      </c>
      <c r="F1225" s="2" t="n">
        <v>40</v>
      </c>
      <c r="G1225" s="2" t="s">
        <v>459</v>
      </c>
      <c r="H1225" s="2" t="str">
        <f aca="false">IFERROR(__xludf.dummyfunction("IF(I1237="""", """", REGEXEXTRACT(I1237, ""Padrao/([^/]+)""))"),"Jardim Jandaia")</f>
        <v>Jardim Jandaia</v>
      </c>
    </row>
    <row r="1226" customFormat="false" ht="15.75" hidden="false" customHeight="false" outlineLevel="0" collapsed="false">
      <c r="A1226" s="2" t="n">
        <v>210272</v>
      </c>
      <c r="B1226" s="2" t="s">
        <v>1134</v>
      </c>
      <c r="C1226" s="2" t="n">
        <v>2</v>
      </c>
      <c r="D1226" s="2" t="n">
        <v>1</v>
      </c>
      <c r="E1226" s="2" t="n">
        <v>1</v>
      </c>
      <c r="F1226" s="2" t="n">
        <v>40</v>
      </c>
      <c r="G1226" s="2" t="s">
        <v>459</v>
      </c>
      <c r="H1226" s="2" t="str">
        <f aca="false">IFERROR(__xludf.dummyfunction("IF(I1238="""", """", REGEXEXTRACT(I1238, ""Padrao/([^/]+)""))"),"Recreio das Acacias")</f>
        <v>Recreio das Acacias</v>
      </c>
    </row>
    <row r="1227" customFormat="false" ht="15.75" hidden="false" customHeight="false" outlineLevel="0" collapsed="false">
      <c r="A1227" s="2" t="n">
        <v>204068</v>
      </c>
      <c r="B1227" s="2" t="s">
        <v>1135</v>
      </c>
      <c r="C1227" s="2" t="n">
        <v>2</v>
      </c>
      <c r="D1227" s="2" t="n">
        <v>1</v>
      </c>
      <c r="E1227" s="2" t="n">
        <v>1</v>
      </c>
      <c r="F1227" s="2" t="n">
        <v>42</v>
      </c>
      <c r="G1227" s="2" t="s">
        <v>459</v>
      </c>
      <c r="H1227" s="2" t="str">
        <f aca="false">IFERROR(__xludf.dummyfunction("IF(I1239="""", """", REGEXEXTRACT(I1239, ""Padrao/([^/]+)""))"),"Residencial Parque dos Servidores")</f>
        <v>Residencial Parque dos Servidores</v>
      </c>
    </row>
    <row r="1228" customFormat="false" ht="15.75" hidden="false" customHeight="false" outlineLevel="0" collapsed="false">
      <c r="A1228" s="2" t="n">
        <v>196835</v>
      </c>
      <c r="B1228" s="2" t="s">
        <v>1136</v>
      </c>
      <c r="C1228" s="2" t="n">
        <v>2</v>
      </c>
      <c r="D1228" s="2" t="n">
        <v>1</v>
      </c>
      <c r="E1228" s="2" t="n">
        <v>1</v>
      </c>
      <c r="F1228" s="2" t="n">
        <v>43</v>
      </c>
      <c r="G1228" s="2" t="s">
        <v>459</v>
      </c>
      <c r="H1228" s="2" t="str">
        <f aca="false">IFERROR(__xludf.dummyfunction("IF(I1240="""", """", REGEXEXTRACT(I1240, ""Padrao/([^/]+)""))"),"Reserva Macauba")</f>
        <v>Reserva Macauba</v>
      </c>
    </row>
    <row r="1229" customFormat="false" ht="15.75" hidden="false" customHeight="false" outlineLevel="0" collapsed="false">
      <c r="A1229" s="2" t="n">
        <v>192812</v>
      </c>
      <c r="B1229" s="2" t="s">
        <v>1137</v>
      </c>
      <c r="C1229" s="2" t="n">
        <v>2</v>
      </c>
      <c r="D1229" s="2" t="n">
        <v>1</v>
      </c>
      <c r="E1229" s="2" t="n">
        <v>1</v>
      </c>
      <c r="F1229" s="2" t="n">
        <v>41</v>
      </c>
      <c r="G1229" s="2" t="s">
        <v>459</v>
      </c>
      <c r="H1229" s="2" t="str">
        <f aca="false">IFERROR(__xludf.dummyfunction("IF(I1241="""", """", REGEXEXTRACT(I1241, ""Padrao/([^/]+)""))"),"Recreio Anhanguera")</f>
        <v>Recreio Anhanguera</v>
      </c>
    </row>
    <row r="1230" customFormat="false" ht="15.75" hidden="false" customHeight="false" outlineLevel="0" collapsed="false">
      <c r="A1230" s="2" t="n">
        <v>192314</v>
      </c>
      <c r="B1230" s="2" t="s">
        <v>1138</v>
      </c>
      <c r="C1230" s="2" t="n">
        <v>2</v>
      </c>
      <c r="D1230" s="2" t="n">
        <v>1</v>
      </c>
      <c r="E1230" s="2" t="n">
        <v>1</v>
      </c>
      <c r="F1230" s="2" t="n">
        <v>40</v>
      </c>
      <c r="G1230" s="2" t="s">
        <v>459</v>
      </c>
      <c r="H1230" s="2" t="str">
        <f aca="false">IFERROR(__xludf.dummyfunction("IF(I1242="""", """", REGEXEXTRACT(I1242, ""Padrao/([^/]+)""))"),"Reserva Real")</f>
        <v>Reserva Real</v>
      </c>
    </row>
    <row r="1231" customFormat="false" ht="15.75" hidden="false" customHeight="false" outlineLevel="0" collapsed="false">
      <c r="A1231" s="2" t="n">
        <v>183419</v>
      </c>
      <c r="B1231" s="2" t="s">
        <v>386</v>
      </c>
      <c r="C1231" s="2" t="n">
        <v>2</v>
      </c>
      <c r="D1231" s="2" t="n">
        <v>1</v>
      </c>
      <c r="E1231" s="2" t="n">
        <v>1</v>
      </c>
      <c r="F1231" s="2" t="n">
        <v>43</v>
      </c>
      <c r="G1231" s="2" t="s">
        <v>459</v>
      </c>
      <c r="H1231" s="2" t="str">
        <f aca="false">IFERROR(__xludf.dummyfunction("IF(I1243="""", """", REGEXEXTRACT(I1243, ""Padrao/([^/]+)""))"),"Jardim Interlagos")</f>
        <v>Jardim Interlagos</v>
      </c>
    </row>
    <row r="1232" customFormat="false" ht="15.75" hidden="false" customHeight="false" outlineLevel="0" collapsed="false">
      <c r="A1232" s="2" t="n">
        <v>183416</v>
      </c>
      <c r="B1232" s="2" t="s">
        <v>386</v>
      </c>
      <c r="C1232" s="2" t="n">
        <v>2</v>
      </c>
      <c r="D1232" s="2" t="n">
        <v>1</v>
      </c>
      <c r="E1232" s="2" t="n">
        <v>1</v>
      </c>
      <c r="F1232" s="2" t="n">
        <v>43</v>
      </c>
      <c r="G1232" s="2" t="s">
        <v>459</v>
      </c>
      <c r="H1232" s="2" t="str">
        <f aca="false">IFERROR(__xludf.dummyfunction("IF(I1244="""", """", REGEXEXTRACT(I1244, ""Padrao/([^/]+)""))"),"Jardim Interlagos")</f>
        <v>Jardim Interlagos</v>
      </c>
    </row>
    <row r="1233" customFormat="false" ht="15.75" hidden="false" customHeight="false" outlineLevel="0" collapsed="false">
      <c r="A1233" s="2" t="n">
        <v>177653</v>
      </c>
      <c r="B1233" s="2" t="s">
        <v>1139</v>
      </c>
      <c r="C1233" s="2" t="n">
        <v>2</v>
      </c>
      <c r="D1233" s="2" t="n">
        <v>1</v>
      </c>
      <c r="E1233" s="2" t="n">
        <v>1</v>
      </c>
      <c r="F1233" s="2" t="n">
        <v>42</v>
      </c>
      <c r="G1233" s="2" t="s">
        <v>459</v>
      </c>
      <c r="H1233" s="2" t="str">
        <f aca="false">IFERROR(__xludf.dummyfunction("IF(I1245="""", """", REGEXEXTRACT(I1245, ""Padrao/([^/]+)""))"),"Jardim Vilico Cantarelli")</f>
        <v>Jardim Vilico Cantarelli</v>
      </c>
    </row>
    <row r="1234" customFormat="false" ht="15.75" hidden="false" customHeight="false" outlineLevel="0" collapsed="false">
      <c r="A1234" s="2" t="n">
        <v>175529</v>
      </c>
      <c r="B1234" s="2" t="s">
        <v>964</v>
      </c>
      <c r="C1234" s="2" t="n">
        <v>2</v>
      </c>
      <c r="D1234" s="2" t="n">
        <v>1</v>
      </c>
      <c r="E1234" s="2" t="n">
        <v>1</v>
      </c>
      <c r="F1234" s="2" t="n">
        <v>46</v>
      </c>
      <c r="G1234" s="2" t="s">
        <v>459</v>
      </c>
      <c r="H1234" s="2" t="str">
        <f aca="false">IFERROR(__xludf.dummyfunction("IF(I1246="""", """", REGEXEXTRACT(I1246, ""Padrao/([^/]+)""))"),"Jardim Heitor Rigon")</f>
        <v>Jardim Heitor Rigon</v>
      </c>
    </row>
    <row r="1235" customFormat="false" ht="15.75" hidden="false" customHeight="false" outlineLevel="0" collapsed="false">
      <c r="A1235" s="2" t="n">
        <v>172133</v>
      </c>
      <c r="B1235" s="2" t="s">
        <v>867</v>
      </c>
      <c r="C1235" s="2" t="n">
        <v>2</v>
      </c>
      <c r="D1235" s="2" t="n">
        <v>1</v>
      </c>
      <c r="E1235" s="2" t="n">
        <v>1</v>
      </c>
      <c r="F1235" s="2" t="n">
        <v>46</v>
      </c>
      <c r="G1235" s="2" t="s">
        <v>459</v>
      </c>
      <c r="H1235" s="2" t="str">
        <f aca="false">IFERROR(__xludf.dummyfunction("IF(I1247="""", """", REGEXEXTRACT(I1247, ""Padrao/([^/]+)""))"),"Jardim Itau")</f>
        <v>Jardim Itau</v>
      </c>
    </row>
    <row r="1236" customFormat="false" ht="15.75" hidden="false" customHeight="false" outlineLevel="0" collapsed="false">
      <c r="A1236" s="2" t="n">
        <v>168746</v>
      </c>
      <c r="B1236" s="2" t="s">
        <v>1140</v>
      </c>
      <c r="C1236" s="2" t="n">
        <v>2</v>
      </c>
      <c r="D1236" s="2" t="n">
        <v>1</v>
      </c>
      <c r="E1236" s="2" t="n">
        <v>1</v>
      </c>
      <c r="F1236" s="2" t="n">
        <v>42</v>
      </c>
      <c r="G1236" s="2" t="s">
        <v>459</v>
      </c>
      <c r="H1236" s="2" t="str">
        <f aca="false">IFERROR(__xludf.dummyfunction("IF(I1248="""", """", REGEXEXTRACT(I1248, ""Padrao/([^/]+)""))"),"Jardim Florestan Fernandes")</f>
        <v>Jardim Florestan Fernandes</v>
      </c>
    </row>
    <row r="1237" customFormat="false" ht="15.75" hidden="false" customHeight="false" outlineLevel="0" collapsed="false">
      <c r="A1237" s="2" t="n">
        <v>164201</v>
      </c>
      <c r="B1237" s="2" t="s">
        <v>605</v>
      </c>
      <c r="C1237" s="2" t="n">
        <v>2</v>
      </c>
      <c r="D1237" s="2" t="n">
        <v>1</v>
      </c>
      <c r="E1237" s="2" t="n">
        <v>1</v>
      </c>
      <c r="F1237" s="2" t="n">
        <v>46</v>
      </c>
      <c r="G1237" s="2" t="s">
        <v>459</v>
      </c>
      <c r="H1237" s="2" t="str">
        <f aca="false">IFERROR(__xludf.dummyfunction("IF(I1249="""", """", REGEXEXTRACT(I1249, ""Padrao/([^/]+)""))"),"Campos Eliseos")</f>
        <v>Campos Eliseos</v>
      </c>
    </row>
    <row r="1238" customFormat="false" ht="15.75" hidden="false" customHeight="false" outlineLevel="0" collapsed="false">
      <c r="A1238" s="2" t="n">
        <v>154508</v>
      </c>
      <c r="B1238" s="2" t="s">
        <v>1141</v>
      </c>
      <c r="C1238" s="2" t="n">
        <v>2</v>
      </c>
      <c r="D1238" s="2" t="n">
        <v>1</v>
      </c>
      <c r="E1238" s="2" t="n">
        <v>1</v>
      </c>
      <c r="F1238" s="2" t="n">
        <v>42</v>
      </c>
      <c r="G1238" s="2" t="s">
        <v>459</v>
      </c>
      <c r="H1238" s="2" t="str">
        <f aca="false">IFERROR(__xludf.dummyfunction("IF(I1250="""", """", REGEXEXTRACT(I1250, ""Padrao/([^/]+)""))"),"Quintino Facci II")</f>
        <v>Quintino Facci II</v>
      </c>
    </row>
    <row r="1239" customFormat="false" ht="15.75" hidden="false" customHeight="false" outlineLevel="0" collapsed="false">
      <c r="A1239" s="2" t="n">
        <v>151955</v>
      </c>
      <c r="B1239" s="2" t="s">
        <v>851</v>
      </c>
      <c r="C1239" s="2" t="n">
        <v>2</v>
      </c>
      <c r="D1239" s="2" t="n">
        <v>1</v>
      </c>
      <c r="E1239" s="2" t="n">
        <v>2</v>
      </c>
      <c r="F1239" s="2" t="n">
        <v>41</v>
      </c>
      <c r="G1239" s="2" t="s">
        <v>459</v>
      </c>
      <c r="H1239" s="2" t="str">
        <f aca="false">IFERROR(__xludf.dummyfunction("IF(I1251="""", """", REGEXEXTRACT(I1251, ""Padrao/([^/]+)""))"),"Ipiranga")</f>
        <v>Ipiranga</v>
      </c>
    </row>
    <row r="1240" customFormat="false" ht="15.75" hidden="false" customHeight="false" outlineLevel="0" collapsed="false">
      <c r="A1240" s="2" t="n">
        <v>149411</v>
      </c>
      <c r="B1240" s="2" t="s">
        <v>1086</v>
      </c>
      <c r="C1240" s="2" t="n">
        <v>2</v>
      </c>
      <c r="D1240" s="2" t="n">
        <v>1</v>
      </c>
      <c r="E1240" s="2" t="n">
        <v>1</v>
      </c>
      <c r="F1240" s="2" t="n">
        <v>46</v>
      </c>
      <c r="G1240" s="2" t="s">
        <v>459</v>
      </c>
      <c r="H1240" s="2" t="str">
        <f aca="false">IFERROR(__xludf.dummyfunction("IF(I1252="""", """", REGEXEXTRACT(I1252, ""Padrao/([^/]+)""))"),"Parque Sao Sebastiao")</f>
        <v>Parque Sao Sebastiao</v>
      </c>
    </row>
    <row r="1241" customFormat="false" ht="15.75" hidden="false" customHeight="false" outlineLevel="0" collapsed="false">
      <c r="A1241" s="2" t="n">
        <v>145913</v>
      </c>
      <c r="B1241" s="2" t="s">
        <v>1142</v>
      </c>
      <c r="C1241" s="2" t="n">
        <v>2</v>
      </c>
      <c r="D1241" s="2" t="n">
        <v>1</v>
      </c>
      <c r="E1241" s="2" t="n">
        <v>1</v>
      </c>
      <c r="F1241" s="2" t="n">
        <v>42</v>
      </c>
      <c r="G1241" s="2" t="s">
        <v>459</v>
      </c>
      <c r="H1241" s="2" t="str">
        <f aca="false">IFERROR(__xludf.dummyfunction("IF(I1253="""", """", REGEXEXTRACT(I1253, ""Padrao/([^/]+)""))"),"Quintino Facci II")</f>
        <v>Quintino Facci II</v>
      </c>
    </row>
    <row r="1242" customFormat="false" ht="15.75" hidden="false" customHeight="false" outlineLevel="0" collapsed="false">
      <c r="A1242" s="2" t="n">
        <v>144494</v>
      </c>
      <c r="B1242" s="2" t="s">
        <v>1143</v>
      </c>
      <c r="C1242" s="2" t="n">
        <v>2</v>
      </c>
      <c r="D1242" s="2" t="n">
        <v>1</v>
      </c>
      <c r="E1242" s="2" t="n">
        <v>1</v>
      </c>
      <c r="F1242" s="2" t="n">
        <v>49</v>
      </c>
      <c r="G1242" s="2" t="s">
        <v>459</v>
      </c>
      <c r="H1242" s="2" t="str">
        <f aca="false">IFERROR(__xludf.dummyfunction("IF(I1254="""", """", REGEXEXTRACT(I1254, ""Padrao/([^/]+)""))"),"Jardim Santa Cecilia")</f>
        <v>Jardim Santa Cecilia</v>
      </c>
    </row>
    <row r="1243" customFormat="false" ht="15.75" hidden="false" customHeight="false" outlineLevel="0" collapsed="false">
      <c r="A1243" s="2" t="n">
        <v>143678</v>
      </c>
      <c r="B1243" s="2" t="s">
        <v>384</v>
      </c>
      <c r="C1243" s="2" t="n">
        <v>2</v>
      </c>
      <c r="D1243" s="2" t="n">
        <v>1</v>
      </c>
      <c r="E1243" s="2" t="n">
        <v>1</v>
      </c>
      <c r="F1243" s="2" t="n">
        <v>39</v>
      </c>
      <c r="G1243" s="2" t="s">
        <v>459</v>
      </c>
      <c r="H1243" s="2" t="str">
        <f aca="false">IFERROR(__xludf.dummyfunction("IF(I1255="""", """", REGEXEXTRACT(I1255, ""Padrao/([^/]+)""))"),"Residencial das Americas")</f>
        <v>Residencial das Americas</v>
      </c>
    </row>
    <row r="1244" customFormat="false" ht="15.75" hidden="false" customHeight="false" outlineLevel="0" collapsed="false">
      <c r="A1244" s="2" t="n">
        <v>141605</v>
      </c>
      <c r="B1244" s="2" t="s">
        <v>1144</v>
      </c>
      <c r="C1244" s="2" t="n">
        <v>2</v>
      </c>
      <c r="D1244" s="2" t="n">
        <v>1</v>
      </c>
      <c r="E1244" s="2" t="n">
        <v>1</v>
      </c>
      <c r="F1244" s="2" t="n">
        <v>41</v>
      </c>
      <c r="G1244" s="2" t="s">
        <v>459</v>
      </c>
      <c r="H1244" s="2" t="str">
        <f aca="false">IFERROR(__xludf.dummyfunction("IF(I1256="""", """", REGEXEXTRACT(I1256, ""Padrao/([^/]+)""))"),"Reserva Real")</f>
        <v>Reserva Real</v>
      </c>
    </row>
    <row r="1245" customFormat="false" ht="15.75" hidden="false" customHeight="false" outlineLevel="0" collapsed="false">
      <c r="A1245" s="2" t="n">
        <v>137087</v>
      </c>
      <c r="B1245" s="2" t="s">
        <v>1145</v>
      </c>
      <c r="C1245" s="2" t="n">
        <v>2</v>
      </c>
      <c r="D1245" s="2" t="n">
        <v>2</v>
      </c>
      <c r="E1245" s="2" t="n">
        <v>1</v>
      </c>
      <c r="F1245" s="2" t="n">
        <v>61</v>
      </c>
      <c r="G1245" s="2" t="s">
        <v>459</v>
      </c>
      <c r="H1245" s="2" t="str">
        <f aca="false">IFERROR(__xludf.dummyfunction("IF(I1257="""", """", REGEXEXTRACT(I1257, ""Padrao/([^/]+)""))"),"Ipiranga")</f>
        <v>Ipiranga</v>
      </c>
    </row>
    <row r="1246" customFormat="false" ht="15.75" hidden="false" customHeight="false" outlineLevel="0" collapsed="false">
      <c r="A1246" s="2" t="n">
        <v>134627</v>
      </c>
      <c r="B1246" s="2" t="s">
        <v>1146</v>
      </c>
      <c r="C1246" s="2" t="n">
        <v>2</v>
      </c>
      <c r="D1246" s="2" t="n">
        <v>1</v>
      </c>
      <c r="E1246" s="2" t="n">
        <v>1</v>
      </c>
      <c r="F1246" s="2" t="n">
        <v>57</v>
      </c>
      <c r="G1246" s="2" t="s">
        <v>459</v>
      </c>
      <c r="H1246" s="2" t="str">
        <f aca="false">IFERROR(__xludf.dummyfunction("IF(I1258="""", """", REGEXEXTRACT(I1258, ""Padrao/([^/]+)""))"),"Jardim Antartica")</f>
        <v>Jardim Antartica</v>
      </c>
    </row>
    <row r="1247" customFormat="false" ht="15.75" hidden="false" customHeight="false" outlineLevel="0" collapsed="false">
      <c r="A1247" s="2" t="n">
        <v>122951</v>
      </c>
      <c r="B1247" s="2" t="s">
        <v>1147</v>
      </c>
      <c r="C1247" s="2" t="n">
        <v>2</v>
      </c>
      <c r="D1247" s="2" t="n">
        <v>1</v>
      </c>
      <c r="E1247" s="2" t="n">
        <v>1</v>
      </c>
      <c r="F1247" s="2" t="n">
        <v>44</v>
      </c>
      <c r="G1247" s="2" t="s">
        <v>459</v>
      </c>
      <c r="H1247" s="2" t="str">
        <f aca="false">IFERROR(__xludf.dummyfunction("IF(I1259="""", """", REGEXEXTRACT(I1259, ""Padrao/([^/]+)""))"),"Ipiranga")</f>
        <v>Ipiranga</v>
      </c>
    </row>
    <row r="1248" customFormat="false" ht="15.75" hidden="false" customHeight="false" outlineLevel="0" collapsed="false">
      <c r="A1248" s="2" t="n">
        <v>114329</v>
      </c>
      <c r="B1248" s="2" t="s">
        <v>1148</v>
      </c>
      <c r="C1248" s="2" t="n">
        <v>2</v>
      </c>
      <c r="D1248" s="2" t="n">
        <v>1</v>
      </c>
      <c r="E1248" s="2" t="n">
        <v>1</v>
      </c>
      <c r="F1248" s="2" t="n">
        <v>44</v>
      </c>
      <c r="G1248" s="2" t="s">
        <v>459</v>
      </c>
      <c r="H1248" s="2" t="str">
        <f aca="false">IFERROR(__xludf.dummyfunction("IF(I1260="""", """", REGEXEXTRACT(I1260, ""Padrao/([^/]+)""))"),"Vila Virginia")</f>
        <v>Vila Virginia</v>
      </c>
    </row>
    <row r="1249" customFormat="false" ht="15.75" hidden="false" customHeight="false" outlineLevel="0" collapsed="false">
      <c r="A1249" s="2" t="n">
        <v>111077</v>
      </c>
      <c r="B1249" s="2" t="s">
        <v>162</v>
      </c>
      <c r="C1249" s="2" t="n">
        <v>2</v>
      </c>
      <c r="D1249" s="2" t="n">
        <v>1</v>
      </c>
      <c r="E1249" s="2" t="n">
        <v>1</v>
      </c>
      <c r="F1249" s="2" t="n">
        <v>61</v>
      </c>
      <c r="G1249" s="2" t="s">
        <v>459</v>
      </c>
      <c r="H1249" s="2" t="str">
        <f aca="false">IFERROR(__xludf.dummyfunction("IF(I1261="""", """", REGEXEXTRACT(I1261, ""Padrao/([^/]+)""))"),"Ribeirania")</f>
        <v>Ribeirania</v>
      </c>
    </row>
    <row r="1250" customFormat="false" ht="15.75" hidden="false" customHeight="false" outlineLevel="0" collapsed="false">
      <c r="A1250" s="2" t="n">
        <v>107507</v>
      </c>
      <c r="B1250" s="2" t="s">
        <v>162</v>
      </c>
      <c r="C1250" s="2" t="n">
        <v>2</v>
      </c>
      <c r="D1250" s="2" t="n">
        <v>1</v>
      </c>
      <c r="E1250" s="2" t="n">
        <v>1</v>
      </c>
      <c r="F1250" s="2" t="n">
        <v>41</v>
      </c>
      <c r="G1250" s="2" t="s">
        <v>459</v>
      </c>
      <c r="H1250" s="2" t="str">
        <f aca="false">IFERROR(__xludf.dummyfunction("IF(I1262="""", """", REGEXEXTRACT(I1262, ""Padrao/([^/]+)""))"),"Ipiranga")</f>
        <v>Ipiranga</v>
      </c>
    </row>
    <row r="1251" customFormat="false" ht="15.75" hidden="false" customHeight="false" outlineLevel="0" collapsed="false">
      <c r="A1251" s="2" t="n">
        <v>104687</v>
      </c>
      <c r="B1251" s="2" t="s">
        <v>162</v>
      </c>
      <c r="C1251" s="2" t="n">
        <v>2</v>
      </c>
      <c r="D1251" s="2" t="n">
        <v>1</v>
      </c>
      <c r="E1251" s="2" t="n">
        <v>1</v>
      </c>
      <c r="F1251" s="2" t="n">
        <v>55</v>
      </c>
      <c r="G1251" s="2" t="s">
        <v>459</v>
      </c>
      <c r="H1251" s="2" t="str">
        <f aca="false">IFERROR(__xludf.dummyfunction("IF(I1263="""", """", REGEXEXTRACT(I1263, ""Padrao/([^/]+)""))"),"Vila Monte Alegre")</f>
        <v>Vila Monte Alegre</v>
      </c>
    </row>
    <row r="1252" customFormat="false" ht="15.75" hidden="false" customHeight="false" outlineLevel="0" collapsed="false">
      <c r="A1252" s="2" t="n">
        <v>102974</v>
      </c>
      <c r="B1252" s="2" t="s">
        <v>162</v>
      </c>
      <c r="C1252" s="2" t="n">
        <v>2</v>
      </c>
      <c r="D1252" s="2" t="n">
        <v>1</v>
      </c>
      <c r="E1252" s="2" t="n">
        <v>1</v>
      </c>
      <c r="F1252" s="2" t="n">
        <v>44</v>
      </c>
      <c r="G1252" s="2" t="s">
        <v>459</v>
      </c>
      <c r="H1252" s="2" t="str">
        <f aca="false">IFERROR(__xludf.dummyfunction("IF(I1264="""", """", REGEXEXTRACT(I1264, ""Padrao/([^/]+)""))"),"Residencial Greenville")</f>
        <v>Residencial Greenville</v>
      </c>
    </row>
    <row r="1253" customFormat="false" ht="15.75" hidden="false" customHeight="false" outlineLevel="0" collapsed="false">
      <c r="A1253" s="2" t="n">
        <v>63977</v>
      </c>
      <c r="B1253" s="2" t="s">
        <v>162</v>
      </c>
      <c r="C1253" s="2" t="n">
        <v>2</v>
      </c>
      <c r="D1253" s="2" t="n">
        <v>2</v>
      </c>
      <c r="E1253" s="2" t="n">
        <v>1</v>
      </c>
      <c r="F1253" s="2" t="n">
        <v>70</v>
      </c>
      <c r="G1253" s="2" t="s">
        <v>459</v>
      </c>
      <c r="H1253" s="2" t="str">
        <f aca="false">IFERROR(__xludf.dummyfunction("IF(I1265="""", """", REGEXEXTRACT(I1265, ""Padrao/([^/]+)""))"),"Vila Elisa")</f>
        <v>Vila Elisa</v>
      </c>
    </row>
    <row r="1254" customFormat="false" ht="15.75" hidden="false" customHeight="false" outlineLevel="0" collapsed="false">
      <c r="A1254" s="2" t="n">
        <v>44735</v>
      </c>
      <c r="B1254" s="2" t="s">
        <v>1149</v>
      </c>
      <c r="C1254" s="2" t="n">
        <v>1</v>
      </c>
      <c r="D1254" s="2" t="n">
        <v>1</v>
      </c>
      <c r="E1254" s="2" t="n">
        <v>1</v>
      </c>
      <c r="F1254" s="2" t="n">
        <v>48</v>
      </c>
      <c r="G1254" s="2" t="s">
        <v>459</v>
      </c>
      <c r="H1254" s="2" t="str">
        <f aca="false">IFERROR(__xludf.dummyfunction("IF(I1266="""", """", REGEXEXTRACT(I1266, ""Padrao/([^/]+)""))"),"Parque Industrial Lagoinha")</f>
        <v>Parque Industrial Lagoinha</v>
      </c>
    </row>
    <row r="1255" customFormat="false" ht="15.75" hidden="false" customHeight="false" outlineLevel="0" collapsed="false">
      <c r="A1255" s="2" t="n">
        <v>196829</v>
      </c>
      <c r="B1255" s="2" t="s">
        <v>1150</v>
      </c>
      <c r="C1255" s="2" t="n">
        <v>2</v>
      </c>
      <c r="D1255" s="2" t="n">
        <v>1</v>
      </c>
      <c r="E1255" s="2" t="n">
        <v>1</v>
      </c>
      <c r="F1255" s="2" t="n">
        <v>42</v>
      </c>
      <c r="G1255" s="2" t="s">
        <v>1151</v>
      </c>
      <c r="H1255" s="2" t="str">
        <f aca="false">IFERROR(__xludf.dummyfunction("IF(I1267="""", """", REGEXEXTRACT(I1267, ""Padrao/([^/]+)""))"),"Jardim Pedra Branca")</f>
        <v>Jardim Pedra Branca</v>
      </c>
    </row>
    <row r="1256" customFormat="false" ht="15.75" hidden="false" customHeight="false" outlineLevel="0" collapsed="false">
      <c r="A1256" s="2" t="n">
        <v>217802</v>
      </c>
      <c r="B1256" s="2" t="s">
        <v>905</v>
      </c>
      <c r="C1256" s="2" t="n">
        <v>2</v>
      </c>
      <c r="D1256" s="2" t="n">
        <v>1</v>
      </c>
      <c r="E1256" s="2" t="n">
        <v>1</v>
      </c>
      <c r="F1256" s="2" t="n">
        <v>42</v>
      </c>
      <c r="G1256" s="2" t="s">
        <v>1152</v>
      </c>
      <c r="H1256" s="2" t="str">
        <f aca="false">IFERROR(__xludf.dummyfunction("IF(I1268="""", """", REGEXEXTRACT(I1268, ""Padrao/([^/]+)""))"),"Residencial Parque dos Servidores")</f>
        <v>Residencial Parque dos Servidores</v>
      </c>
    </row>
    <row r="1257" customFormat="false" ht="15.75" hidden="false" customHeight="false" outlineLevel="0" collapsed="false">
      <c r="A1257" s="2" t="n">
        <v>27452</v>
      </c>
      <c r="B1257" s="2" t="s">
        <v>162</v>
      </c>
      <c r="C1257" s="2" t="n">
        <v>1</v>
      </c>
      <c r="D1257" s="2" t="n">
        <v>1</v>
      </c>
      <c r="E1257" s="2" t="n">
        <v>1</v>
      </c>
      <c r="F1257" s="2" t="n">
        <v>36</v>
      </c>
      <c r="G1257" s="2" t="s">
        <v>1152</v>
      </c>
      <c r="H1257" s="2" t="str">
        <f aca="false">IFERROR(__xludf.dummyfunction("IF(I1269="""", """", REGEXEXTRACT(I1269, ""Padrao/([^/]+)""))"),"Jardim Iraja")</f>
        <v>Jardim Iraja</v>
      </c>
    </row>
    <row r="1258" customFormat="false" ht="15.75" hidden="false" customHeight="false" outlineLevel="0" collapsed="false">
      <c r="A1258" s="2" t="n">
        <v>109370</v>
      </c>
      <c r="B1258" s="2" t="s">
        <v>1153</v>
      </c>
      <c r="C1258" s="2" t="n">
        <v>2</v>
      </c>
      <c r="D1258" s="2" t="n">
        <v>1</v>
      </c>
      <c r="E1258" s="2" t="n">
        <v>1</v>
      </c>
      <c r="F1258" s="2" t="n">
        <v>46</v>
      </c>
      <c r="G1258" s="2" t="s">
        <v>1154</v>
      </c>
      <c r="H1258" s="2" t="str">
        <f aca="false">IFERROR(__xludf.dummyfunction("IF(I1270="""", """", REGEXEXTRACT(I1270, ""Padrao/([^/]+)""))"),"Sumarezinho")</f>
        <v>Sumarezinho</v>
      </c>
    </row>
    <row r="1259" customFormat="false" ht="15.75" hidden="false" customHeight="false" outlineLevel="0" collapsed="false">
      <c r="A1259" s="2" t="n">
        <v>244862</v>
      </c>
      <c r="B1259" s="2" t="s">
        <v>1155</v>
      </c>
      <c r="C1259" s="2" t="n">
        <v>2</v>
      </c>
      <c r="D1259" s="2" t="n">
        <v>1</v>
      </c>
      <c r="E1259" s="2" t="n">
        <v>1</v>
      </c>
      <c r="F1259" s="2" t="n">
        <v>42</v>
      </c>
      <c r="G1259" s="2" t="s">
        <v>1156</v>
      </c>
      <c r="H1259" s="2" t="str">
        <f aca="false">IFERROR(__xludf.dummyfunction("IF(I1271="""", """", REGEXEXTRACT(I1271, ""Padrao/([^/]+)""))"),"Vila Virginia")</f>
        <v>Vila Virginia</v>
      </c>
    </row>
    <row r="1260" customFormat="false" ht="15.75" hidden="false" customHeight="false" outlineLevel="0" collapsed="false">
      <c r="A1260" s="2" t="n">
        <v>242810</v>
      </c>
      <c r="B1260" s="2" t="s">
        <v>1157</v>
      </c>
      <c r="C1260" s="2" t="n">
        <v>2</v>
      </c>
      <c r="D1260" s="2" t="n">
        <v>1</v>
      </c>
      <c r="E1260" s="2" t="n">
        <v>1</v>
      </c>
      <c r="F1260" s="2" t="n">
        <v>42</v>
      </c>
      <c r="G1260" s="2" t="s">
        <v>1156</v>
      </c>
      <c r="H1260" s="2" t="str">
        <f aca="false">IFERROR(__xludf.dummyfunction("IF(I1272="""", """", REGEXEXTRACT(I1272, ""Padrao/([^/]+)""))"),"Quintino Facci II")</f>
        <v>Quintino Facci II</v>
      </c>
    </row>
    <row r="1261" customFormat="false" ht="15.75" hidden="false" customHeight="false" outlineLevel="0" collapsed="false">
      <c r="A1261" s="2" t="n">
        <v>237551</v>
      </c>
      <c r="B1261" s="2" t="s">
        <v>1158</v>
      </c>
      <c r="C1261" s="2" t="n">
        <v>2</v>
      </c>
      <c r="D1261" s="2" t="n">
        <v>1</v>
      </c>
      <c r="E1261" s="2" t="n">
        <v>1</v>
      </c>
      <c r="F1261" s="2" t="n">
        <v>40</v>
      </c>
      <c r="G1261" s="2" t="s">
        <v>1156</v>
      </c>
      <c r="H1261" s="2" t="str">
        <f aca="false">IFERROR(__xludf.dummyfunction("IF(I1273="""", """", REGEXEXTRACT(I1273, ""Padrao/([^/]+)""))"),"Recreio das Acacias")</f>
        <v>Recreio das Acacias</v>
      </c>
    </row>
    <row r="1262" customFormat="false" ht="15.75" hidden="false" customHeight="false" outlineLevel="0" collapsed="false">
      <c r="A1262" s="2" t="n">
        <v>237113</v>
      </c>
      <c r="B1262" s="2" t="s">
        <v>454</v>
      </c>
      <c r="C1262" s="2" t="n">
        <v>2</v>
      </c>
      <c r="D1262" s="2" t="n">
        <v>1</v>
      </c>
      <c r="E1262" s="2" t="n">
        <v>1</v>
      </c>
      <c r="F1262" s="2" t="n">
        <v>41</v>
      </c>
      <c r="G1262" s="2" t="s">
        <v>1156</v>
      </c>
      <c r="H1262" s="2" t="str">
        <f aca="false">IFERROR(__xludf.dummyfunction("IF(I1274="""", """", REGEXEXTRACT(I1274, ""Padrao/([^/]+)""))"),"Reserva Real")</f>
        <v>Reserva Real</v>
      </c>
    </row>
    <row r="1263" customFormat="false" ht="15.75" hidden="false" customHeight="false" outlineLevel="0" collapsed="false">
      <c r="A1263" s="2" t="n">
        <v>224300</v>
      </c>
      <c r="B1263" s="2" t="s">
        <v>1159</v>
      </c>
      <c r="C1263" s="2" t="n">
        <v>2</v>
      </c>
      <c r="D1263" s="2" t="n">
        <v>1</v>
      </c>
      <c r="E1263" s="2" t="n">
        <v>1</v>
      </c>
      <c r="F1263" s="2" t="n">
        <v>42</v>
      </c>
      <c r="G1263" s="2" t="s">
        <v>1156</v>
      </c>
      <c r="H1263" s="2" t="str">
        <f aca="false">IFERROR(__xludf.dummyfunction("IF(I1275="""", """", REGEXEXTRACT(I1275, ""Padrao/([^/]+)""))"),"Jardim Florestan Fernandes")</f>
        <v>Jardim Florestan Fernandes</v>
      </c>
    </row>
    <row r="1264" customFormat="false" ht="15.75" hidden="false" customHeight="false" outlineLevel="0" collapsed="false">
      <c r="A1264" s="2" t="n">
        <v>221216</v>
      </c>
      <c r="B1264" s="2" t="s">
        <v>433</v>
      </c>
      <c r="C1264" s="2" t="n">
        <v>2</v>
      </c>
      <c r="D1264" s="2" t="n">
        <v>1</v>
      </c>
      <c r="E1264" s="2" t="n">
        <v>1</v>
      </c>
      <c r="F1264" s="2" t="n">
        <v>41</v>
      </c>
      <c r="G1264" s="2" t="s">
        <v>1156</v>
      </c>
      <c r="H1264" s="2" t="str">
        <f aca="false">IFERROR(__xludf.dummyfunction("IF(I1276="""", """", REGEXEXTRACT(I1276, ""Padrao/([^/]+)""))"),"Centro")</f>
        <v>Centro</v>
      </c>
    </row>
    <row r="1265" customFormat="false" ht="15.75" hidden="false" customHeight="false" outlineLevel="0" collapsed="false">
      <c r="A1265" s="2" t="n">
        <v>213398</v>
      </c>
      <c r="B1265" s="2" t="s">
        <v>1160</v>
      </c>
      <c r="C1265" s="2" t="n">
        <v>2</v>
      </c>
      <c r="D1265" s="2" t="n">
        <v>1</v>
      </c>
      <c r="E1265" s="2" t="n">
        <v>1</v>
      </c>
      <c r="F1265" s="2" t="n">
        <v>47</v>
      </c>
      <c r="G1265" s="2" t="s">
        <v>1156</v>
      </c>
      <c r="H1265" s="2" t="str">
        <f aca="false">IFERROR(__xludf.dummyfunction("IF(I1277="""", """", REGEXEXTRACT(I1277, ""Padrao/([^/]+)""))"),"Chacaras Pedro Correa de Carvalho")</f>
        <v>Chacaras Pedro Correa de Carvalho</v>
      </c>
    </row>
    <row r="1266" customFormat="false" ht="15.75" hidden="false" customHeight="false" outlineLevel="0" collapsed="false">
      <c r="A1266" s="2" t="n">
        <v>201974</v>
      </c>
      <c r="B1266" s="2" t="s">
        <v>1161</v>
      </c>
      <c r="C1266" s="2" t="n">
        <v>2</v>
      </c>
      <c r="D1266" s="2" t="n">
        <v>1</v>
      </c>
      <c r="E1266" s="2" t="n">
        <v>1</v>
      </c>
      <c r="F1266" s="2" t="n">
        <v>47</v>
      </c>
      <c r="G1266" s="2" t="s">
        <v>1156</v>
      </c>
      <c r="H1266" s="2" t="str">
        <f aca="false">IFERROR(__xludf.dummyfunction("IF(I1278="""", """", REGEXEXTRACT(I1278, ""Padrao/([^/]+)""))"),"Jardim Manoel Penna")</f>
        <v>Jardim Manoel Penna</v>
      </c>
    </row>
    <row r="1267" customFormat="false" ht="15.75" hidden="false" customHeight="false" outlineLevel="0" collapsed="false">
      <c r="A1267" s="2" t="n">
        <v>201869</v>
      </c>
      <c r="B1267" s="2" t="s">
        <v>1162</v>
      </c>
      <c r="C1267" s="2" t="n">
        <v>1</v>
      </c>
      <c r="D1267" s="2" t="n">
        <v>1</v>
      </c>
      <c r="E1267" s="2" t="n">
        <v>1</v>
      </c>
      <c r="F1267" s="2" t="n">
        <v>44</v>
      </c>
      <c r="G1267" s="2" t="s">
        <v>1156</v>
      </c>
      <c r="H1267" s="2" t="str">
        <f aca="false">IFERROR(__xludf.dummyfunction("IF(I1279="""", """", REGEXEXTRACT(I1279, ""Padrao/([^/]+)""))"),"Jardim Paulista")</f>
        <v>Jardim Paulista</v>
      </c>
    </row>
    <row r="1268" customFormat="false" ht="15.75" hidden="false" customHeight="false" outlineLevel="0" collapsed="false">
      <c r="A1268" s="2" t="n">
        <v>242456</v>
      </c>
      <c r="B1268" s="2" t="s">
        <v>1163</v>
      </c>
      <c r="C1268" s="2" t="n">
        <v>2</v>
      </c>
      <c r="D1268" s="2" t="n">
        <v>1</v>
      </c>
      <c r="E1268" s="2" t="n">
        <v>1</v>
      </c>
      <c r="F1268" s="2" t="n">
        <v>51</v>
      </c>
      <c r="G1268" s="2" t="s">
        <v>1164</v>
      </c>
      <c r="H1268" s="2" t="str">
        <f aca="false">IFERROR(__xludf.dummyfunction("IF(I1280="""", """", REGEXEXTRACT(I1280, ""Padrao/([^/]+)""))"),"Jardim Palma Travassos")</f>
        <v>Jardim Palma Travassos</v>
      </c>
    </row>
    <row r="1269" customFormat="false" ht="15.75" hidden="false" customHeight="false" outlineLevel="0" collapsed="false">
      <c r="A1269" s="2" t="n">
        <v>232988</v>
      </c>
      <c r="B1269" s="2" t="s">
        <v>1165</v>
      </c>
      <c r="C1269" s="2" t="n">
        <v>3</v>
      </c>
      <c r="D1269" s="2" t="n">
        <v>4</v>
      </c>
      <c r="E1269" s="2" t="n">
        <v>3</v>
      </c>
      <c r="F1269" s="2" t="n">
        <v>170</v>
      </c>
      <c r="G1269" s="2" t="s">
        <v>358</v>
      </c>
      <c r="H1269" s="2" t="str">
        <f aca="false">IFERROR(__xludf.dummyfunction("IF(I1281="""", """", REGEXEXTRACT(I1281, ""Padrao/([^/]+)""))"),"Vila do Golf")</f>
        <v>Vila do Golf</v>
      </c>
    </row>
    <row r="1270" customFormat="false" ht="15.75" hidden="false" customHeight="false" outlineLevel="0" collapsed="false">
      <c r="A1270" s="2" t="n">
        <v>163664</v>
      </c>
      <c r="B1270" s="2" t="s">
        <v>882</v>
      </c>
      <c r="C1270" s="2" t="n">
        <v>2</v>
      </c>
      <c r="D1270" s="2" t="n">
        <v>1</v>
      </c>
      <c r="E1270" s="2" t="n">
        <v>1</v>
      </c>
      <c r="F1270" s="2" t="n">
        <v>45</v>
      </c>
      <c r="G1270" s="2" t="s">
        <v>407</v>
      </c>
      <c r="H1270" s="2" t="str">
        <f aca="false">IFERROR(__xludf.dummyfunction("IF(I1282="""", """", REGEXEXTRACT(I1282, ""Padrao/([^/]+)""))"),"Parque Sao Sebastiao")</f>
        <v>Parque Sao Sebastiao</v>
      </c>
    </row>
    <row r="1271" customFormat="false" ht="15.75" hidden="false" customHeight="false" outlineLevel="0" collapsed="false">
      <c r="A1271" s="2" t="n">
        <v>221264</v>
      </c>
      <c r="B1271" s="2" t="s">
        <v>1166</v>
      </c>
      <c r="C1271" s="2" t="n">
        <v>2</v>
      </c>
      <c r="D1271" s="2" t="n">
        <v>1</v>
      </c>
      <c r="E1271" s="2" t="n">
        <v>1</v>
      </c>
      <c r="F1271" s="2" t="n">
        <v>42</v>
      </c>
      <c r="G1271" s="2" t="s">
        <v>425</v>
      </c>
      <c r="H1271" s="2" t="str">
        <f aca="false">IFERROR(__xludf.dummyfunction("IF(I1283="""", """", REGEXEXTRACT(I1283, ""Padrao/([^/]+)""))"),"Jardim Jose Sampaio Junior")</f>
        <v>Jardim Jose Sampaio Junior</v>
      </c>
    </row>
    <row r="1272" customFormat="false" ht="15.75" hidden="false" customHeight="false" outlineLevel="0" collapsed="false">
      <c r="A1272" s="2" t="n">
        <v>221252</v>
      </c>
      <c r="B1272" s="2" t="s">
        <v>1166</v>
      </c>
      <c r="C1272" s="2" t="n">
        <v>2</v>
      </c>
      <c r="D1272" s="2" t="n">
        <v>1</v>
      </c>
      <c r="E1272" s="2" t="n">
        <v>1</v>
      </c>
      <c r="F1272" s="2" t="n">
        <v>42</v>
      </c>
      <c r="G1272" s="2" t="s">
        <v>425</v>
      </c>
      <c r="H1272" s="2" t="str">
        <f aca="false">IFERROR(__xludf.dummyfunction("IF(I1284="""", """", REGEXEXTRACT(I1284, ""Padrao/([^/]+)""))"),"Jardim Jose Sampaio Junior")</f>
        <v>Jardim Jose Sampaio Junior</v>
      </c>
    </row>
    <row r="1273" customFormat="false" ht="15.75" hidden="false" customHeight="false" outlineLevel="0" collapsed="false">
      <c r="A1273" s="2" t="n">
        <v>198218</v>
      </c>
      <c r="B1273" s="2" t="s">
        <v>1167</v>
      </c>
      <c r="C1273" s="2" t="n">
        <v>2</v>
      </c>
      <c r="D1273" s="2" t="n">
        <v>1</v>
      </c>
      <c r="E1273" s="2" t="n">
        <v>1</v>
      </c>
      <c r="F1273" s="2" t="n">
        <v>47</v>
      </c>
      <c r="G1273" s="2" t="s">
        <v>425</v>
      </c>
      <c r="H1273" s="2" t="str">
        <f aca="false">IFERROR(__xludf.dummyfunction("IF(I1285="""", """", REGEXEXTRACT(I1285, ""Padrao/([^/]+)""))"),"Conjunto Habitacional Silvio Passalacqua")</f>
        <v>Conjunto Habitacional Silvio Passalacqua</v>
      </c>
    </row>
    <row r="1274" customFormat="false" ht="15.75" hidden="false" customHeight="false" outlineLevel="0" collapsed="false">
      <c r="A1274" s="2" t="n">
        <v>211013</v>
      </c>
      <c r="B1274" s="2" t="s">
        <v>1168</v>
      </c>
      <c r="C1274" s="2" t="n">
        <v>2</v>
      </c>
      <c r="D1274" s="2" t="n">
        <v>1</v>
      </c>
      <c r="E1274" s="2" t="n">
        <v>1</v>
      </c>
      <c r="F1274" s="2" t="n">
        <v>42</v>
      </c>
      <c r="G1274" s="2" t="s">
        <v>881</v>
      </c>
      <c r="H1274" s="2" t="str">
        <f aca="false">IFERROR(__xludf.dummyfunction("IF(I1286="""", """", REGEXEXTRACT(I1286, ""Padrao/([^/]+)""))"),"Vila Abranches")</f>
        <v>Vila Abranches</v>
      </c>
    </row>
    <row r="1275" customFormat="false" ht="15.75" hidden="false" customHeight="false" outlineLevel="0" collapsed="false">
      <c r="A1275" s="2" t="n">
        <v>111884</v>
      </c>
      <c r="B1275" s="2" t="s">
        <v>851</v>
      </c>
      <c r="C1275" s="2" t="n">
        <v>2</v>
      </c>
      <c r="D1275" s="2" t="n">
        <v>1</v>
      </c>
      <c r="E1275" s="2" t="n">
        <v>1</v>
      </c>
      <c r="F1275" s="2" t="n">
        <v>41</v>
      </c>
      <c r="G1275" s="2" t="s">
        <v>881</v>
      </c>
      <c r="H1275" s="2" t="str">
        <f aca="false">IFERROR(__xludf.dummyfunction("IF(I1287="""", """", REGEXEXTRACT(I1287, ""Padrao/([^/]+)""))"),"Ipiranga")</f>
        <v>Ipiranga</v>
      </c>
    </row>
    <row r="1276" customFormat="false" ht="15.75" hidden="false" customHeight="false" outlineLevel="0" collapsed="false">
      <c r="A1276" s="2" t="n">
        <v>122114</v>
      </c>
      <c r="B1276" s="2" t="s">
        <v>162</v>
      </c>
      <c r="C1276" s="2" t="n">
        <v>2</v>
      </c>
      <c r="D1276" s="2" t="n">
        <v>1</v>
      </c>
      <c r="E1276" s="2" t="n">
        <v>1</v>
      </c>
      <c r="F1276" s="2" t="n">
        <v>46</v>
      </c>
      <c r="G1276" s="2" t="s">
        <v>435</v>
      </c>
      <c r="H1276" s="2" t="str">
        <f aca="false">IFERROR(__xludf.dummyfunction("IF(I1288="""", """", REGEXEXTRACT(I1288, ""Padrao/([^/]+)""))"),"Jardim Paulistano")</f>
        <v>Jardim Paulistano</v>
      </c>
    </row>
    <row r="1277" customFormat="false" ht="15.75" hidden="false" customHeight="false" outlineLevel="0" collapsed="false">
      <c r="A1277" s="2" t="n">
        <v>202988</v>
      </c>
      <c r="B1277" s="2" t="s">
        <v>1058</v>
      </c>
      <c r="C1277" s="2" t="n">
        <v>2</v>
      </c>
      <c r="D1277" s="2" t="n">
        <v>1</v>
      </c>
      <c r="E1277" s="2" t="n">
        <v>1</v>
      </c>
      <c r="F1277" s="2" t="n">
        <v>47</v>
      </c>
      <c r="G1277" s="2" t="s">
        <v>1169</v>
      </c>
      <c r="H1277" s="2" t="str">
        <f aca="false">IFERROR(__xludf.dummyfunction("IF(I1289="""", """", REGEXEXTRACT(I1289, ""Padrao/([^/]+)""))"),"Parque Sao Sebastiao")</f>
        <v>Parque Sao Sebastiao</v>
      </c>
    </row>
    <row r="1278" customFormat="false" ht="15.75" hidden="false" customHeight="false" outlineLevel="0" collapsed="false">
      <c r="A1278" s="2" t="n">
        <v>195173</v>
      </c>
      <c r="B1278" s="2" t="s">
        <v>1170</v>
      </c>
      <c r="C1278" s="2" t="n">
        <v>2</v>
      </c>
      <c r="D1278" s="2" t="n">
        <v>1</v>
      </c>
      <c r="E1278" s="2" t="n">
        <v>1</v>
      </c>
      <c r="F1278" s="2" t="n">
        <v>64</v>
      </c>
      <c r="G1278" s="2" t="s">
        <v>443</v>
      </c>
      <c r="H1278" s="2" t="str">
        <f aca="false">IFERROR(__xludf.dummyfunction("IF(I1290="""", """", REGEXEXTRACT(I1290, ""Padrao/([^/]+)""))"),"Planalto Verde")</f>
        <v>Planalto Verde</v>
      </c>
    </row>
    <row r="1279" customFormat="false" ht="15.75" hidden="false" customHeight="false" outlineLevel="0" collapsed="false">
      <c r="A1279" s="2" t="n">
        <v>167387</v>
      </c>
      <c r="B1279" s="2" t="s">
        <v>933</v>
      </c>
      <c r="C1279" s="2" t="n">
        <v>2</v>
      </c>
      <c r="D1279" s="2" t="n">
        <v>1</v>
      </c>
      <c r="E1279" s="2" t="n">
        <v>1</v>
      </c>
      <c r="F1279" s="2" t="n">
        <v>42</v>
      </c>
      <c r="G1279" s="2" t="s">
        <v>443</v>
      </c>
      <c r="H1279" s="2" t="str">
        <f aca="false">IFERROR(__xludf.dummyfunction("IF(I1291="""", """", REGEXEXTRACT(I1291, ""Padrao/([^/]+)""))"),"Jardim Jose Sampaio Junior")</f>
        <v>Jardim Jose Sampaio Junior</v>
      </c>
    </row>
    <row r="1280" customFormat="false" ht="15.75" hidden="false" customHeight="false" outlineLevel="0" collapsed="false">
      <c r="A1280" s="2" t="n">
        <v>223646</v>
      </c>
      <c r="B1280" s="2" t="s">
        <v>1171</v>
      </c>
      <c r="C1280" s="2" t="n">
        <v>2</v>
      </c>
      <c r="D1280" s="2" t="n">
        <v>1</v>
      </c>
      <c r="E1280" s="2" t="n">
        <v>1</v>
      </c>
      <c r="F1280" s="2" t="n">
        <v>43</v>
      </c>
      <c r="G1280" s="2" t="s">
        <v>1172</v>
      </c>
      <c r="H1280" s="2" t="str">
        <f aca="false">IFERROR(__xludf.dummyfunction("IF(I1292="""", """", REGEXEXTRACT(I1292, ""Padrao/([^/]+)""))"),"Chacaras Pedro Correa de Carvalho")</f>
        <v>Chacaras Pedro Correa de Carvalho</v>
      </c>
    </row>
    <row r="1281" customFormat="false" ht="15.75" hidden="false" customHeight="false" outlineLevel="0" collapsed="false">
      <c r="A1281" s="2" t="n">
        <v>244478</v>
      </c>
      <c r="B1281" s="2" t="s">
        <v>1173</v>
      </c>
      <c r="C1281" s="2" t="n">
        <v>2</v>
      </c>
      <c r="D1281" s="2" t="n">
        <v>1</v>
      </c>
      <c r="E1281" s="2" t="n">
        <v>1</v>
      </c>
      <c r="F1281" s="2" t="n">
        <v>49</v>
      </c>
      <c r="G1281" s="2" t="s">
        <v>446</v>
      </c>
      <c r="H1281" s="2" t="str">
        <f aca="false">IFERROR(__xludf.dummyfunction("IF(I1293="""", """", REGEXEXTRACT(I1293, ""Padrao/([^/]+)""))"),"Jardim das Palmeiras")</f>
        <v>Jardim das Palmeiras</v>
      </c>
    </row>
    <row r="1282" customFormat="false" ht="15.75" hidden="false" customHeight="false" outlineLevel="0" collapsed="false">
      <c r="A1282" s="2" t="n">
        <v>227735</v>
      </c>
      <c r="B1282" s="2" t="s">
        <v>1174</v>
      </c>
      <c r="C1282" s="2" t="n">
        <v>1</v>
      </c>
      <c r="D1282" s="2" t="n">
        <v>1</v>
      </c>
      <c r="E1282" s="2" t="n">
        <v>1</v>
      </c>
      <c r="F1282" s="2" t="n">
        <v>50</v>
      </c>
      <c r="G1282" s="2" t="s">
        <v>446</v>
      </c>
      <c r="H1282" s="2" t="str">
        <f aca="false">IFERROR(__xludf.dummyfunction("IF(I1294="""", """", REGEXEXTRACT(I1294, ""Padrao/([^/]+)""))"),"Parque Industrial Lagoinha")</f>
        <v>Parque Industrial Lagoinha</v>
      </c>
    </row>
    <row r="1283" customFormat="false" ht="15.75" hidden="false" customHeight="false" outlineLevel="0" collapsed="false">
      <c r="A1283" s="2" t="n">
        <v>221624</v>
      </c>
      <c r="B1283" s="2" t="s">
        <v>397</v>
      </c>
      <c r="C1283" s="2" t="n">
        <v>2</v>
      </c>
      <c r="D1283" s="2" t="n">
        <v>1</v>
      </c>
      <c r="E1283" s="2" t="n">
        <v>1</v>
      </c>
      <c r="F1283" s="2" t="n">
        <v>48</v>
      </c>
      <c r="G1283" s="2" t="s">
        <v>446</v>
      </c>
      <c r="H1283" s="2" t="str">
        <f aca="false">IFERROR(__xludf.dummyfunction("IF(I1295="""", """", REGEXEXTRACT(I1295, ""Padrao/([^/]+)""))"),"Jardim Heitor Rigon")</f>
        <v>Jardim Heitor Rigon</v>
      </c>
    </row>
    <row r="1284" customFormat="false" ht="15.75" hidden="false" customHeight="false" outlineLevel="0" collapsed="false">
      <c r="A1284" s="2" t="n">
        <v>132644</v>
      </c>
      <c r="B1284" s="2" t="s">
        <v>1175</v>
      </c>
      <c r="C1284" s="2" t="n">
        <v>2</v>
      </c>
      <c r="D1284" s="2" t="n">
        <v>1</v>
      </c>
      <c r="E1284" s="2" t="n">
        <v>1</v>
      </c>
      <c r="F1284" s="2" t="n">
        <v>43</v>
      </c>
      <c r="G1284" s="2" t="s">
        <v>446</v>
      </c>
      <c r="H1284" s="2" t="str">
        <f aca="false">IFERROR(__xludf.dummyfunction("IF(I1296="""", """", REGEXEXTRACT(I1296, ""Padrao/([^/]+)""))"),"Sumarezinho")</f>
        <v>Sumarezinho</v>
      </c>
    </row>
    <row r="1285" customFormat="false" ht="15.75" hidden="false" customHeight="false" outlineLevel="0" collapsed="false">
      <c r="A1285" s="2" t="n">
        <v>121625</v>
      </c>
      <c r="B1285" s="2" t="s">
        <v>1176</v>
      </c>
      <c r="C1285" s="2" t="n">
        <v>2</v>
      </c>
      <c r="D1285" s="2" t="n">
        <v>1</v>
      </c>
      <c r="E1285" s="2" t="n">
        <v>1</v>
      </c>
      <c r="F1285" s="2" t="n">
        <v>45</v>
      </c>
      <c r="G1285" s="2" t="s">
        <v>446</v>
      </c>
      <c r="H1285" s="2" t="str">
        <f aca="false">IFERROR(__xludf.dummyfunction("IF(I1297="""", """", REGEXEXTRACT(I1297, ""Padrao/([^/]+)""))"),"Jardim Zara")</f>
        <v>Jardim Zara</v>
      </c>
    </row>
    <row r="1286" customFormat="false" ht="15.75" hidden="false" customHeight="false" outlineLevel="0" collapsed="false">
      <c r="A1286" s="2" t="n">
        <v>117815</v>
      </c>
      <c r="B1286" s="2" t="s">
        <v>1177</v>
      </c>
      <c r="C1286" s="2" t="n">
        <v>2</v>
      </c>
      <c r="D1286" s="2" t="n">
        <v>1</v>
      </c>
      <c r="E1286" s="2" t="n">
        <v>1</v>
      </c>
      <c r="F1286" s="2" t="n">
        <v>71</v>
      </c>
      <c r="G1286" s="2" t="s">
        <v>446</v>
      </c>
      <c r="H1286" s="2" t="str">
        <f aca="false">IFERROR(__xludf.dummyfunction("IF(I1298="""", """", REGEXEXTRACT(I1298, ""Padrao/([^/]+)""))"),"Vila Elisa")</f>
        <v>Vila Elisa</v>
      </c>
    </row>
    <row r="1287" customFormat="false" ht="15.75" hidden="false" customHeight="false" outlineLevel="0" collapsed="false">
      <c r="A1287" s="2" t="n">
        <v>105236</v>
      </c>
      <c r="B1287" s="2" t="s">
        <v>1178</v>
      </c>
      <c r="C1287" s="2" t="n">
        <v>1</v>
      </c>
      <c r="D1287" s="2" t="n">
        <v>1</v>
      </c>
      <c r="E1287" s="2" t="n">
        <v>1</v>
      </c>
      <c r="F1287" s="2" t="n">
        <v>41</v>
      </c>
      <c r="G1287" s="2" t="s">
        <v>446</v>
      </c>
      <c r="H1287" s="2" t="str">
        <f aca="false">IFERROR(__xludf.dummyfunction("IF(I1299="""", """", REGEXEXTRACT(I1299, ""Padrao/([^/]+)""))"),"Presidente Medici")</f>
        <v>Presidente Medici</v>
      </c>
    </row>
    <row r="1288" customFormat="false" ht="15.75" hidden="false" customHeight="false" outlineLevel="0" collapsed="false">
      <c r="A1288" s="2" t="n">
        <v>202946</v>
      </c>
      <c r="B1288" s="2" t="s">
        <v>1179</v>
      </c>
      <c r="C1288" s="2" t="n">
        <v>2</v>
      </c>
      <c r="D1288" s="2" t="n">
        <v>1</v>
      </c>
      <c r="E1288" s="2" t="n">
        <v>1</v>
      </c>
      <c r="F1288" s="2" t="n">
        <v>43</v>
      </c>
      <c r="G1288" s="2" t="s">
        <v>459</v>
      </c>
      <c r="H1288" s="2" t="str">
        <f aca="false">IFERROR(__xludf.dummyfunction("IF(I1300="""", """", REGEXEXTRACT(I1300, ""Padrao/([^/]+)""))"),"Adelino Simioni")</f>
        <v>Adelino Simioni</v>
      </c>
    </row>
    <row r="1289" customFormat="false" ht="15.75" hidden="false" customHeight="false" outlineLevel="0" collapsed="false">
      <c r="A1289" s="2" t="n">
        <v>154217</v>
      </c>
      <c r="B1289" s="2" t="s">
        <v>1180</v>
      </c>
      <c r="C1289" s="2" t="n">
        <v>2</v>
      </c>
      <c r="D1289" s="2" t="n">
        <v>1</v>
      </c>
      <c r="E1289" s="2" t="n">
        <v>1</v>
      </c>
      <c r="F1289" s="2" t="n">
        <v>42</v>
      </c>
      <c r="G1289" s="2" t="s">
        <v>459</v>
      </c>
      <c r="H1289" s="2" t="str">
        <f aca="false">IFERROR(__xludf.dummyfunction("IF(I1301="""", """", REGEXEXTRACT(I1301, ""Padrao/([^/]+)""))"),"Planalto Verde")</f>
        <v>Planalto Verde</v>
      </c>
    </row>
    <row r="1290" customFormat="false" ht="15.75" hidden="false" customHeight="false" outlineLevel="0" collapsed="false">
      <c r="A1290" s="2" t="n">
        <v>129566</v>
      </c>
      <c r="B1290" s="2" t="s">
        <v>1181</v>
      </c>
      <c r="C1290" s="2" t="n">
        <v>1</v>
      </c>
      <c r="D1290" s="2" t="n">
        <v>1</v>
      </c>
      <c r="E1290" s="2" t="n">
        <v>1</v>
      </c>
      <c r="F1290" s="2" t="n">
        <v>31</v>
      </c>
      <c r="G1290" s="2" t="s">
        <v>459</v>
      </c>
      <c r="H1290" s="2" t="str">
        <f aca="false">IFERROR(__xludf.dummyfunction("IF(I1302="""", """", REGEXEXTRACT(I1302, ""Padrao/([^/]+)""))"),"Jardim Botanico")</f>
        <v>Jardim Botanico</v>
      </c>
    </row>
    <row r="1291" customFormat="false" ht="15.75" hidden="false" customHeight="false" outlineLevel="0" collapsed="false">
      <c r="A1291" s="2" t="n">
        <v>245477</v>
      </c>
      <c r="B1291" s="2" t="s">
        <v>1182</v>
      </c>
      <c r="C1291" s="2" t="n">
        <v>2</v>
      </c>
      <c r="D1291" s="2" t="n">
        <v>1</v>
      </c>
      <c r="E1291" s="2" t="n">
        <v>1</v>
      </c>
      <c r="F1291" s="2" t="n">
        <v>48</v>
      </c>
      <c r="G1291" s="2" t="s">
        <v>464</v>
      </c>
      <c r="H1291" s="2" t="str">
        <f aca="false">IFERROR(__xludf.dummyfunction("IF(I1303="""", """", REGEXEXTRACT(I1303, ""Padrao/([^/]+)""))"),"Parque dos Lagos")</f>
        <v>Parque dos Lagos</v>
      </c>
    </row>
    <row r="1292" customFormat="false" ht="15.75" hidden="false" customHeight="false" outlineLevel="0" collapsed="false">
      <c r="A1292" s="2" t="n">
        <v>245171</v>
      </c>
      <c r="B1292" s="2" t="s">
        <v>701</v>
      </c>
      <c r="C1292" s="2" t="n">
        <v>2</v>
      </c>
      <c r="D1292" s="2" t="n">
        <v>1</v>
      </c>
      <c r="E1292" s="2" t="n">
        <v>1</v>
      </c>
      <c r="F1292" s="2" t="n">
        <v>43</v>
      </c>
      <c r="G1292" s="2" t="s">
        <v>464</v>
      </c>
      <c r="H1292" s="2" t="str">
        <f aca="false">IFERROR(__xludf.dummyfunction("IF(I1304="""", """", REGEXEXTRACT(I1304, ""Padrao/([^/]+)""))"),"Valentina Figueiredo")</f>
        <v>Valentina Figueiredo</v>
      </c>
    </row>
    <row r="1293" customFormat="false" ht="15.75" hidden="false" customHeight="false" outlineLevel="0" collapsed="false">
      <c r="A1293" s="2" t="n">
        <v>244784</v>
      </c>
      <c r="B1293" s="2" t="s">
        <v>1126</v>
      </c>
      <c r="C1293" s="2" t="n">
        <v>2</v>
      </c>
      <c r="D1293" s="2" t="n">
        <v>1</v>
      </c>
      <c r="E1293" s="2" t="n">
        <v>1</v>
      </c>
      <c r="F1293" s="2" t="n">
        <v>43</v>
      </c>
      <c r="G1293" s="2" t="s">
        <v>464</v>
      </c>
      <c r="H1293" s="2" t="str">
        <f aca="false">IFERROR(__xludf.dummyfunction("IF(I1305="""", """", REGEXEXTRACT(I1305, ""Padrao/([^/]+)""))"),"Adelino Simioni")</f>
        <v>Adelino Simioni</v>
      </c>
    </row>
    <row r="1294" customFormat="false" ht="15.75" hidden="false" customHeight="false" outlineLevel="0" collapsed="false">
      <c r="A1294" s="2" t="n">
        <v>243614</v>
      </c>
      <c r="B1294" s="2" t="s">
        <v>706</v>
      </c>
      <c r="C1294" s="2" t="n">
        <v>2</v>
      </c>
      <c r="D1294" s="2" t="n">
        <v>1</v>
      </c>
      <c r="E1294" s="2" t="n">
        <v>1</v>
      </c>
      <c r="F1294" s="2" t="n">
        <v>55</v>
      </c>
      <c r="G1294" s="2" t="s">
        <v>464</v>
      </c>
      <c r="H1294" s="2" t="str">
        <f aca="false">IFERROR(__xludf.dummyfunction("IF(I1306="""", """", REGEXEXTRACT(I1306, ""Padrao/([^/]+)""))"),"Vila Virginia")</f>
        <v>Vila Virginia</v>
      </c>
    </row>
    <row r="1295" customFormat="false" ht="15.75" hidden="false" customHeight="false" outlineLevel="0" collapsed="false">
      <c r="A1295" s="2" t="n">
        <v>243263</v>
      </c>
      <c r="B1295" s="2" t="s">
        <v>1183</v>
      </c>
      <c r="C1295" s="2" t="n">
        <v>2</v>
      </c>
      <c r="D1295" s="2" t="n">
        <v>1</v>
      </c>
      <c r="E1295" s="2" t="n">
        <v>1</v>
      </c>
      <c r="F1295" s="2" t="n">
        <v>47</v>
      </c>
      <c r="G1295" s="2" t="s">
        <v>464</v>
      </c>
      <c r="H1295" s="2" t="str">
        <f aca="false">IFERROR(__xludf.dummyfunction("IF(I1307="""", """", REGEXEXTRACT(I1307, ""Padrao/([^/]+)""))"),"Condominio Mirante Sul")</f>
        <v>Condominio Mirante Sul</v>
      </c>
    </row>
    <row r="1296" customFormat="false" ht="15.75" hidden="false" customHeight="false" outlineLevel="0" collapsed="false">
      <c r="A1296" s="2" t="n">
        <v>243107</v>
      </c>
      <c r="B1296" s="2" t="s">
        <v>1184</v>
      </c>
      <c r="C1296" s="2" t="n">
        <v>2</v>
      </c>
      <c r="D1296" s="2" t="n">
        <v>1</v>
      </c>
      <c r="E1296" s="2" t="n">
        <v>1</v>
      </c>
      <c r="F1296" s="2" t="n">
        <v>42</v>
      </c>
      <c r="G1296" s="2" t="s">
        <v>464</v>
      </c>
      <c r="H1296" s="2" t="str">
        <f aca="false">IFERROR(__xludf.dummyfunction("IF(I1308="""", """", REGEXEXTRACT(I1308, ""Padrao/([^/]+)""))"),"Jardim Itau")</f>
        <v>Jardim Itau</v>
      </c>
    </row>
    <row r="1297" customFormat="false" ht="15.75" hidden="false" customHeight="false" outlineLevel="0" collapsed="false">
      <c r="A1297" s="2" t="n">
        <v>242699</v>
      </c>
      <c r="B1297" s="2" t="s">
        <v>1185</v>
      </c>
      <c r="C1297" s="2" t="n">
        <v>2</v>
      </c>
      <c r="D1297" s="2" t="n">
        <v>1</v>
      </c>
      <c r="E1297" s="2" t="n">
        <v>1</v>
      </c>
      <c r="F1297" s="2" t="n">
        <v>40</v>
      </c>
      <c r="G1297" s="2" t="s">
        <v>464</v>
      </c>
      <c r="H1297" s="2" t="str">
        <f aca="false">IFERROR(__xludf.dummyfunction("IF(I1309="""", """", REGEXEXTRACT(I1309, ""Padrao/([^/]+)""))"),"Jardim Cybelli")</f>
        <v>Jardim Cybelli</v>
      </c>
    </row>
    <row r="1298" customFormat="false" ht="15.75" hidden="false" customHeight="false" outlineLevel="0" collapsed="false">
      <c r="A1298" s="2" t="n">
        <v>242231</v>
      </c>
      <c r="B1298" s="2" t="s">
        <v>1182</v>
      </c>
      <c r="C1298" s="2" t="n">
        <v>2</v>
      </c>
      <c r="D1298" s="2" t="n">
        <v>1</v>
      </c>
      <c r="E1298" s="2" t="n">
        <v>1</v>
      </c>
      <c r="F1298" s="2" t="n">
        <v>48</v>
      </c>
      <c r="G1298" s="2" t="s">
        <v>464</v>
      </c>
      <c r="H1298" s="2" t="str">
        <f aca="false">IFERROR(__xludf.dummyfunction("IF(I1310="""", """", REGEXEXTRACT(I1310, ""Padrao/([^/]+)""))"),"Parque dos Lagos")</f>
        <v>Parque dos Lagos</v>
      </c>
    </row>
    <row r="1299" customFormat="false" ht="15.75" hidden="false" customHeight="false" outlineLevel="0" collapsed="false">
      <c r="A1299" s="2" t="n">
        <v>241271</v>
      </c>
      <c r="B1299" s="2" t="s">
        <v>1186</v>
      </c>
      <c r="C1299" s="2" t="n">
        <v>2</v>
      </c>
      <c r="D1299" s="2" t="n">
        <v>1</v>
      </c>
      <c r="E1299" s="2" t="n">
        <v>1</v>
      </c>
      <c r="F1299" s="2" t="n">
        <v>46</v>
      </c>
      <c r="G1299" s="2" t="s">
        <v>464</v>
      </c>
      <c r="H1299" s="2" t="str">
        <f aca="false">IFERROR(__xludf.dummyfunction("IF(I1311="""", """", REGEXEXTRACT(I1311, ""Padrao/([^/]+)""))"),"Ipiranga")</f>
        <v>Ipiranga</v>
      </c>
    </row>
    <row r="1300" customFormat="false" ht="15.75" hidden="false" customHeight="false" outlineLevel="0" collapsed="false">
      <c r="A1300" s="2" t="n">
        <v>240653</v>
      </c>
      <c r="B1300" s="2" t="s">
        <v>1187</v>
      </c>
      <c r="C1300" s="2" t="n">
        <v>2</v>
      </c>
      <c r="D1300" s="2" t="n">
        <v>1</v>
      </c>
      <c r="E1300" s="2" t="n">
        <v>1</v>
      </c>
      <c r="F1300" s="2" t="n">
        <v>42</v>
      </c>
      <c r="G1300" s="2" t="s">
        <v>464</v>
      </c>
      <c r="H1300" s="2" t="str">
        <f aca="false">IFERROR(__xludf.dummyfunction("IF(I1312="""", """", REGEXEXTRACT(I1312, ""Padrao/([^/]+)""))"),"Valentina Figueiredo")</f>
        <v>Valentina Figueiredo</v>
      </c>
    </row>
    <row r="1301" customFormat="false" ht="15.75" hidden="false" customHeight="false" outlineLevel="0" collapsed="false">
      <c r="A1301" s="2" t="n">
        <v>236720</v>
      </c>
      <c r="B1301" s="2" t="s">
        <v>1188</v>
      </c>
      <c r="C1301" s="2" t="n">
        <v>2</v>
      </c>
      <c r="D1301" s="2" t="n">
        <v>1</v>
      </c>
      <c r="E1301" s="2" t="n">
        <v>1</v>
      </c>
      <c r="F1301" s="2" t="n">
        <v>40</v>
      </c>
      <c r="G1301" s="2" t="s">
        <v>464</v>
      </c>
      <c r="H1301" s="2" t="str">
        <f aca="false">IFERROR(__xludf.dummyfunction("IF(I1313="""", """", REGEXEXTRACT(I1313, ""Padrao/([^/]+)""))"),"Reserva Real")</f>
        <v>Reserva Real</v>
      </c>
    </row>
    <row r="1302" customFormat="false" ht="15.75" hidden="false" customHeight="false" outlineLevel="0" collapsed="false">
      <c r="A1302" s="2" t="n">
        <v>231167</v>
      </c>
      <c r="B1302" s="2" t="s">
        <v>1189</v>
      </c>
      <c r="C1302" s="2" t="n">
        <v>2</v>
      </c>
      <c r="D1302" s="2" t="n">
        <v>1</v>
      </c>
      <c r="E1302" s="2" t="n">
        <v>1</v>
      </c>
      <c r="F1302" s="2" t="n">
        <v>40</v>
      </c>
      <c r="G1302" s="2" t="s">
        <v>464</v>
      </c>
      <c r="H1302" s="2" t="str">
        <f aca="false">IFERROR(__xludf.dummyfunction("IF(I1314="""", """", REGEXEXTRACT(I1314, ""Padrao/([^/]+)""))"),"Reserva Real")</f>
        <v>Reserva Real</v>
      </c>
    </row>
    <row r="1303" customFormat="false" ht="15.75" hidden="false" customHeight="false" outlineLevel="0" collapsed="false">
      <c r="A1303" s="2" t="n">
        <v>230849</v>
      </c>
      <c r="B1303" s="2" t="s">
        <v>1190</v>
      </c>
      <c r="C1303" s="2" t="n">
        <v>2</v>
      </c>
      <c r="D1303" s="2" t="n">
        <v>1</v>
      </c>
      <c r="E1303" s="2" t="n">
        <v>1</v>
      </c>
      <c r="F1303" s="2" t="n">
        <v>45</v>
      </c>
      <c r="G1303" s="2" t="s">
        <v>464</v>
      </c>
      <c r="H1303" s="2" t="str">
        <f aca="false">IFERROR(__xludf.dummyfunction("IF(I1315="""", """", REGEXEXTRACT(I1315, ""Padrao/([^/]+)""))"),"Ribeirania")</f>
        <v>Ribeirania</v>
      </c>
    </row>
    <row r="1304" customFormat="false" ht="15.75" hidden="false" customHeight="false" outlineLevel="0" collapsed="false">
      <c r="A1304" s="2" t="n">
        <v>230726</v>
      </c>
      <c r="B1304" s="2" t="s">
        <v>726</v>
      </c>
      <c r="C1304" s="2" t="n">
        <v>2</v>
      </c>
      <c r="D1304" s="2" t="n">
        <v>1</v>
      </c>
      <c r="E1304" s="2" t="n">
        <v>1</v>
      </c>
      <c r="F1304" s="2" t="n">
        <v>48</v>
      </c>
      <c r="G1304" s="2" t="s">
        <v>464</v>
      </c>
      <c r="H1304" s="2" t="str">
        <f aca="false">IFERROR(__xludf.dummyfunction("IF(I1316="""", """", REGEXEXTRACT(I1316, ""Padrao/([^/]+)""))"),"Quintino Facci II")</f>
        <v>Quintino Facci II</v>
      </c>
    </row>
    <row r="1305" customFormat="false" ht="15.75" hidden="false" customHeight="false" outlineLevel="0" collapsed="false">
      <c r="A1305" s="2" t="n">
        <v>230708</v>
      </c>
      <c r="B1305" s="2" t="s">
        <v>1191</v>
      </c>
      <c r="C1305" s="2" t="n">
        <v>2</v>
      </c>
      <c r="D1305" s="2" t="n">
        <v>1</v>
      </c>
      <c r="E1305" s="2" t="n">
        <v>1</v>
      </c>
      <c r="F1305" s="2" t="n">
        <v>43</v>
      </c>
      <c r="G1305" s="2" t="s">
        <v>464</v>
      </c>
      <c r="H1305" s="2" t="str">
        <f aca="false">IFERROR(__xludf.dummyfunction("IF(I1317="""", """", REGEXEXTRACT(I1317, ""Padrao/([^/]+)""))"),"Jardim Interlagos")</f>
        <v>Jardim Interlagos</v>
      </c>
    </row>
    <row r="1306" customFormat="false" ht="15.75" hidden="false" customHeight="false" outlineLevel="0" collapsed="false">
      <c r="A1306" s="2" t="n">
        <v>226838</v>
      </c>
      <c r="B1306" s="2" t="s">
        <v>1192</v>
      </c>
      <c r="C1306" s="2" t="n">
        <v>2</v>
      </c>
      <c r="D1306" s="2" t="n">
        <v>1</v>
      </c>
      <c r="E1306" s="2" t="n">
        <v>1</v>
      </c>
      <c r="F1306" s="2" t="n">
        <v>41</v>
      </c>
      <c r="G1306" s="2" t="s">
        <v>464</v>
      </c>
      <c r="H1306" s="2" t="str">
        <f aca="false">IFERROR(__xludf.dummyfunction("IF(I1318="""", """", REGEXEXTRACT(I1318, ""Padrao/([^/]+)""))"),"Reserva Real")</f>
        <v>Reserva Real</v>
      </c>
    </row>
    <row r="1307" customFormat="false" ht="15.75" hidden="false" customHeight="false" outlineLevel="0" collapsed="false">
      <c r="A1307" s="2" t="n">
        <v>224933</v>
      </c>
      <c r="B1307" s="2" t="s">
        <v>1193</v>
      </c>
      <c r="C1307" s="2" t="n">
        <v>2</v>
      </c>
      <c r="D1307" s="2" t="n">
        <v>1</v>
      </c>
      <c r="E1307" s="2" t="n">
        <v>1</v>
      </c>
      <c r="F1307" s="2" t="n">
        <v>42</v>
      </c>
      <c r="G1307" s="2" t="s">
        <v>464</v>
      </c>
      <c r="H1307" s="2" t="str">
        <f aca="false">IFERROR(__xludf.dummyfunction("IF(I1319="""", """", REGEXEXTRACT(I1319, ""Padrao/([^/]+)""))"),"Residencial Parque dos Servidores")</f>
        <v>Residencial Parque dos Servidores</v>
      </c>
    </row>
    <row r="1308" customFormat="false" ht="15.75" hidden="false" customHeight="false" outlineLevel="0" collapsed="false">
      <c r="A1308" s="2" t="n">
        <v>224741</v>
      </c>
      <c r="B1308" s="2" t="s">
        <v>1032</v>
      </c>
      <c r="C1308" s="2" t="n">
        <v>2</v>
      </c>
      <c r="D1308" s="2" t="n">
        <v>1</v>
      </c>
      <c r="E1308" s="2" t="n">
        <v>1</v>
      </c>
      <c r="F1308" s="2" t="n">
        <v>41</v>
      </c>
      <c r="G1308" s="2" t="s">
        <v>464</v>
      </c>
      <c r="H1308" s="2" t="str">
        <f aca="false">IFERROR(__xludf.dummyfunction("IF(I1320="""", """", REGEXEXTRACT(I1320, ""Padrao/([^/]+)""))"),"Reserva Real")</f>
        <v>Reserva Real</v>
      </c>
    </row>
    <row r="1309" customFormat="false" ht="15.75" hidden="false" customHeight="false" outlineLevel="0" collapsed="false">
      <c r="A1309" s="2" t="n">
        <v>222365</v>
      </c>
      <c r="B1309" s="2" t="s">
        <v>868</v>
      </c>
      <c r="C1309" s="2" t="n">
        <v>2</v>
      </c>
      <c r="D1309" s="2" t="n">
        <v>1</v>
      </c>
      <c r="E1309" s="2" t="n">
        <v>1</v>
      </c>
      <c r="F1309" s="2" t="n">
        <v>42</v>
      </c>
      <c r="G1309" s="2" t="s">
        <v>464</v>
      </c>
      <c r="H1309" s="2" t="str">
        <f aca="false">IFERROR(__xludf.dummyfunction("IF(I1321="""", """", REGEXEXTRACT(I1321, ""Padrao/([^/]+)""))"),"Vila Virginia")</f>
        <v>Vila Virginia</v>
      </c>
    </row>
    <row r="1310" customFormat="false" ht="15.75" hidden="false" customHeight="false" outlineLevel="0" collapsed="false">
      <c r="A1310" s="2" t="n">
        <v>220922</v>
      </c>
      <c r="B1310" s="2" t="s">
        <v>966</v>
      </c>
      <c r="C1310" s="2" t="n">
        <v>2</v>
      </c>
      <c r="D1310" s="2" t="n">
        <v>1</v>
      </c>
      <c r="E1310" s="2" t="n">
        <v>1</v>
      </c>
      <c r="F1310" s="2" t="n">
        <v>46</v>
      </c>
      <c r="G1310" s="2" t="s">
        <v>464</v>
      </c>
      <c r="H1310" s="2" t="str">
        <f aca="false">IFERROR(__xludf.dummyfunction("IF(I1322="""", """", REGEXEXTRACT(I1322, ""Padrao/([^/]+)""))"),"Ipiranga")</f>
        <v>Ipiranga</v>
      </c>
    </row>
    <row r="1311" customFormat="false" ht="15.75" hidden="false" customHeight="false" outlineLevel="0" collapsed="false">
      <c r="A1311" s="2" t="n">
        <v>220319</v>
      </c>
      <c r="B1311" s="2" t="s">
        <v>750</v>
      </c>
      <c r="C1311" s="2" t="n">
        <v>2</v>
      </c>
      <c r="D1311" s="2" t="n">
        <v>1</v>
      </c>
      <c r="E1311" s="2" t="n">
        <v>1</v>
      </c>
      <c r="F1311" s="2" t="n">
        <v>42</v>
      </c>
      <c r="G1311" s="2" t="s">
        <v>464</v>
      </c>
      <c r="H1311" s="2" t="str">
        <f aca="false">IFERROR(__xludf.dummyfunction("IF(I1323="""", """", REGEXEXTRACT(I1323, ""Padrao/([^/]+)""))"),"Ipiranga")</f>
        <v>Ipiranga</v>
      </c>
    </row>
    <row r="1312" customFormat="false" ht="15.75" hidden="false" customHeight="false" outlineLevel="0" collapsed="false">
      <c r="A1312" s="2" t="n">
        <v>216557</v>
      </c>
      <c r="B1312" s="2" t="s">
        <v>1194</v>
      </c>
      <c r="C1312" s="2" t="n">
        <v>2</v>
      </c>
      <c r="D1312" s="2" t="n">
        <v>1</v>
      </c>
      <c r="E1312" s="2" t="n">
        <v>1</v>
      </c>
      <c r="F1312" s="2" t="n">
        <v>39</v>
      </c>
      <c r="G1312" s="2" t="s">
        <v>464</v>
      </c>
      <c r="H1312" s="2" t="str">
        <f aca="false">IFERROR(__xludf.dummyfunction("IF(I1324="""", """", REGEXEXTRACT(I1324, ""Padrao/([^/]+)""))"),"Parque Sao Sebastiao")</f>
        <v>Parque Sao Sebastiao</v>
      </c>
    </row>
    <row r="1313" customFormat="false" ht="15.75" hidden="false" customHeight="false" outlineLevel="0" collapsed="false">
      <c r="A1313" s="2" t="n">
        <v>216503</v>
      </c>
      <c r="B1313" s="2" t="s">
        <v>1195</v>
      </c>
      <c r="C1313" s="2" t="n">
        <v>2</v>
      </c>
      <c r="D1313" s="2" t="n">
        <v>1</v>
      </c>
      <c r="E1313" s="2" t="n">
        <v>1</v>
      </c>
      <c r="F1313" s="2" t="n">
        <v>42</v>
      </c>
      <c r="G1313" s="2" t="s">
        <v>464</v>
      </c>
      <c r="H1313" s="2" t="str">
        <f aca="false">IFERROR(__xludf.dummyfunction("IF(I1325="""", """", REGEXEXTRACT(I1325, ""Padrao/([^/]+)""))"),"Jardim Santa Cecilia")</f>
        <v>Jardim Santa Cecilia</v>
      </c>
    </row>
    <row r="1314" customFormat="false" ht="15.75" hidden="false" customHeight="false" outlineLevel="0" collapsed="false">
      <c r="A1314" s="2" t="n">
        <v>216068</v>
      </c>
      <c r="B1314" s="2" t="s">
        <v>770</v>
      </c>
      <c r="C1314" s="2" t="n">
        <v>2</v>
      </c>
      <c r="D1314" s="2" t="n">
        <v>1</v>
      </c>
      <c r="E1314" s="2" t="n">
        <v>1</v>
      </c>
      <c r="F1314" s="2" t="n">
        <v>42</v>
      </c>
      <c r="G1314" s="2" t="s">
        <v>464</v>
      </c>
      <c r="H1314" s="2" t="str">
        <f aca="false">IFERROR(__xludf.dummyfunction("IF(I1326="""", """", REGEXEXTRACT(I1326, ""Padrao/([^/]+)""))"),"Jardim Jandaia")</f>
        <v>Jardim Jandaia</v>
      </c>
    </row>
    <row r="1315" customFormat="false" ht="15.75" hidden="false" customHeight="false" outlineLevel="0" collapsed="false">
      <c r="A1315" s="2" t="n">
        <v>213407</v>
      </c>
      <c r="B1315" s="2" t="s">
        <v>1196</v>
      </c>
      <c r="C1315" s="2" t="n">
        <v>2</v>
      </c>
      <c r="D1315" s="2" t="n">
        <v>1</v>
      </c>
      <c r="E1315" s="2" t="n">
        <v>1</v>
      </c>
      <c r="F1315" s="2" t="n">
        <v>46</v>
      </c>
      <c r="G1315" s="2" t="s">
        <v>464</v>
      </c>
      <c r="H1315" s="2" t="str">
        <f aca="false">IFERROR(__xludf.dummyfunction("IF(I1327="""", """", REGEXEXTRACT(I1327, ""Padrao/([^/]+)""))"),"Vila Abranches")</f>
        <v>Vila Abranches</v>
      </c>
    </row>
    <row r="1316" customFormat="false" ht="15.75" hidden="false" customHeight="false" outlineLevel="0" collapsed="false">
      <c r="A1316" s="2" t="n">
        <v>213266</v>
      </c>
      <c r="B1316" s="2" t="s">
        <v>1197</v>
      </c>
      <c r="C1316" s="2" t="n">
        <v>2</v>
      </c>
      <c r="D1316" s="2" t="n">
        <v>2</v>
      </c>
      <c r="E1316" s="2" t="n">
        <v>1</v>
      </c>
      <c r="F1316" s="2" t="n">
        <v>66</v>
      </c>
      <c r="G1316" s="2" t="s">
        <v>464</v>
      </c>
      <c r="H1316" s="2" t="str">
        <f aca="false">IFERROR(__xludf.dummyfunction("IF(I1328="""", """", REGEXEXTRACT(I1328, ""Padrao/([^/]+)""))"),"Vila Amelia")</f>
        <v>Vila Amelia</v>
      </c>
    </row>
    <row r="1317" customFormat="false" ht="15.75" hidden="false" customHeight="false" outlineLevel="0" collapsed="false">
      <c r="A1317" s="2" t="n">
        <v>208808</v>
      </c>
      <c r="B1317" s="2" t="s">
        <v>1198</v>
      </c>
      <c r="C1317" s="2" t="n">
        <v>2</v>
      </c>
      <c r="D1317" s="2" t="n">
        <v>1</v>
      </c>
      <c r="E1317" s="2" t="n">
        <v>1</v>
      </c>
      <c r="F1317" s="2" t="n">
        <v>60</v>
      </c>
      <c r="G1317" s="2" t="s">
        <v>464</v>
      </c>
      <c r="H1317" s="2" t="str">
        <f aca="false">IFERROR(__xludf.dummyfunction("IF(I1329="""", """", REGEXEXTRACT(I1329, ""Padrao/([^/]+)""))"),"Planalto Verde")</f>
        <v>Planalto Verde</v>
      </c>
    </row>
    <row r="1318" customFormat="false" ht="15.75" hidden="false" customHeight="false" outlineLevel="0" collapsed="false">
      <c r="A1318" s="2" t="n">
        <v>207305</v>
      </c>
      <c r="B1318" s="2" t="s">
        <v>1199</v>
      </c>
      <c r="C1318" s="2" t="n">
        <v>2</v>
      </c>
      <c r="D1318" s="2" t="n">
        <v>1</v>
      </c>
      <c r="E1318" s="2" t="n">
        <v>1</v>
      </c>
      <c r="F1318" s="2" t="n">
        <v>48</v>
      </c>
      <c r="G1318" s="2" t="s">
        <v>464</v>
      </c>
      <c r="H1318" s="2" t="str">
        <f aca="false">IFERROR(__xludf.dummyfunction("IF(I1330="""", """", REGEXEXTRACT(I1330, ""Padrao/([^/]+)""))"),"Jardim Sao Fernando")</f>
        <v>Jardim Sao Fernando</v>
      </c>
    </row>
    <row r="1319" customFormat="false" ht="15.75" hidden="false" customHeight="false" outlineLevel="0" collapsed="false">
      <c r="A1319" s="2" t="n">
        <v>206360</v>
      </c>
      <c r="B1319" s="2" t="s">
        <v>433</v>
      </c>
      <c r="C1319" s="2" t="n">
        <v>2</v>
      </c>
      <c r="D1319" s="2" t="n">
        <v>1</v>
      </c>
      <c r="E1319" s="2" t="n">
        <v>1</v>
      </c>
      <c r="F1319" s="2" t="n">
        <v>41</v>
      </c>
      <c r="G1319" s="2" t="s">
        <v>464</v>
      </c>
      <c r="H1319" s="2" t="str">
        <f aca="false">IFERROR(__xludf.dummyfunction("IF(I1331="""", """", REGEXEXTRACT(I1331, ""Padrao/([^/]+)""))"),"Reserva Real")</f>
        <v>Reserva Real</v>
      </c>
    </row>
    <row r="1320" customFormat="false" ht="15.75" hidden="false" customHeight="false" outlineLevel="0" collapsed="false">
      <c r="A1320" s="2" t="n">
        <v>204638</v>
      </c>
      <c r="B1320" s="2" t="s">
        <v>1200</v>
      </c>
      <c r="C1320" s="2" t="n">
        <v>2</v>
      </c>
      <c r="D1320" s="2" t="n">
        <v>1</v>
      </c>
      <c r="E1320" s="2" t="n">
        <v>1</v>
      </c>
      <c r="F1320" s="2" t="n">
        <v>60</v>
      </c>
      <c r="G1320" s="2" t="s">
        <v>464</v>
      </c>
      <c r="H1320" s="2" t="str">
        <f aca="false">IFERROR(__xludf.dummyfunction("IF(I1332="""", """", REGEXEXTRACT(I1332, ""Padrao/([^/]+)""))"),"Planalto Verde")</f>
        <v>Planalto Verde</v>
      </c>
    </row>
    <row r="1321" customFormat="false" ht="15.75" hidden="false" customHeight="false" outlineLevel="0" collapsed="false">
      <c r="A1321" s="2" t="n">
        <v>203246</v>
      </c>
      <c r="B1321" s="2" t="s">
        <v>1201</v>
      </c>
      <c r="C1321" s="2" t="n">
        <v>2</v>
      </c>
      <c r="D1321" s="2" t="n">
        <v>1</v>
      </c>
      <c r="E1321" s="2" t="n">
        <v>1</v>
      </c>
      <c r="F1321" s="2" t="n">
        <v>42</v>
      </c>
      <c r="G1321" s="2" t="s">
        <v>464</v>
      </c>
      <c r="H1321" s="2" t="str">
        <f aca="false">IFERROR(__xludf.dummyfunction("IF(I1333="""", """", REGEXEXTRACT(I1333, ""Padrao/([^/]+)""))"),"Quintino Facci II")</f>
        <v>Quintino Facci II</v>
      </c>
    </row>
    <row r="1322" customFormat="false" ht="15.75" hidden="false" customHeight="false" outlineLevel="0" collapsed="false">
      <c r="A1322" s="2" t="n">
        <v>201980</v>
      </c>
      <c r="B1322" s="2" t="s">
        <v>1076</v>
      </c>
      <c r="C1322" s="2" t="n">
        <v>2</v>
      </c>
      <c r="D1322" s="2" t="n">
        <v>1</v>
      </c>
      <c r="E1322" s="2" t="n">
        <v>1</v>
      </c>
      <c r="F1322" s="2" t="n">
        <v>44</v>
      </c>
      <c r="G1322" s="2" t="s">
        <v>464</v>
      </c>
      <c r="H1322" s="2" t="str">
        <f aca="false">IFERROR(__xludf.dummyfunction("IF(I1334="""", """", REGEXEXTRACT(I1334, ""Padrao/([^/]+)""))"),"Residencial Greenville")</f>
        <v>Residencial Greenville</v>
      </c>
    </row>
    <row r="1323" customFormat="false" ht="15.75" hidden="false" customHeight="false" outlineLevel="0" collapsed="false">
      <c r="A1323" s="2" t="n">
        <v>201059</v>
      </c>
      <c r="B1323" s="2" t="s">
        <v>1202</v>
      </c>
      <c r="C1323" s="2" t="n">
        <v>1</v>
      </c>
      <c r="D1323" s="2" t="n">
        <v>1</v>
      </c>
      <c r="E1323" s="2" t="n">
        <v>1</v>
      </c>
      <c r="F1323" s="2" t="n">
        <v>34</v>
      </c>
      <c r="G1323" s="2" t="s">
        <v>464</v>
      </c>
      <c r="H1323" s="2" t="str">
        <f aca="false">IFERROR(__xludf.dummyfunction("IF(I1335="""", """", REGEXEXTRACT(I1335, ""Padrao/([^/]+)""))"),"Vila Monte Alegre")</f>
        <v>Vila Monte Alegre</v>
      </c>
    </row>
    <row r="1324" customFormat="false" ht="15.75" hidden="false" customHeight="false" outlineLevel="0" collapsed="false">
      <c r="A1324" s="2" t="n">
        <v>199799</v>
      </c>
      <c r="B1324" s="2" t="s">
        <v>1203</v>
      </c>
      <c r="C1324" s="2" t="n">
        <v>2</v>
      </c>
      <c r="D1324" s="2" t="n">
        <v>1</v>
      </c>
      <c r="E1324" s="2" t="n">
        <v>1</v>
      </c>
      <c r="F1324" s="2" t="n">
        <v>41</v>
      </c>
      <c r="G1324" s="2" t="s">
        <v>464</v>
      </c>
      <c r="H1324" s="2" t="str">
        <f aca="false">IFERROR(__xludf.dummyfunction("IF(I1336="""", """", REGEXEXTRACT(I1336, ""Padrao/([^/]+)""))"),"Parque dos Pinus")</f>
        <v>Parque dos Pinus</v>
      </c>
    </row>
    <row r="1325" customFormat="false" ht="15.75" hidden="false" customHeight="false" outlineLevel="0" collapsed="false">
      <c r="A1325" s="2" t="n">
        <v>199583</v>
      </c>
      <c r="B1325" s="2" t="s">
        <v>1204</v>
      </c>
      <c r="C1325" s="2" t="n">
        <v>2</v>
      </c>
      <c r="D1325" s="2" t="n">
        <v>1</v>
      </c>
      <c r="E1325" s="2" t="n">
        <v>1</v>
      </c>
      <c r="F1325" s="2" t="n">
        <v>46</v>
      </c>
      <c r="G1325" s="2" t="s">
        <v>464</v>
      </c>
      <c r="H1325" s="2" t="str">
        <f aca="false">IFERROR(__xludf.dummyfunction("IF(I1337="""", """", REGEXEXTRACT(I1337, ""Padrao/([^/]+)""))"),"Ipiranga")</f>
        <v>Ipiranga</v>
      </c>
    </row>
    <row r="1326" customFormat="false" ht="15.75" hidden="false" customHeight="false" outlineLevel="0" collapsed="false">
      <c r="A1326" s="2" t="n">
        <v>199544</v>
      </c>
      <c r="B1326" s="2" t="s">
        <v>1205</v>
      </c>
      <c r="C1326" s="2" t="n">
        <v>2</v>
      </c>
      <c r="D1326" s="2" t="n">
        <v>1</v>
      </c>
      <c r="E1326" s="2" t="n">
        <v>1</v>
      </c>
      <c r="F1326" s="2" t="n">
        <v>41</v>
      </c>
      <c r="G1326" s="2" t="s">
        <v>464</v>
      </c>
      <c r="H1326" s="2" t="str">
        <f aca="false">IFERROR(__xludf.dummyfunction("IF(I1338="""", """", REGEXEXTRACT(I1338, ""Padrao/([^/]+)""))"),"Reserva Real")</f>
        <v>Reserva Real</v>
      </c>
    </row>
    <row r="1327" customFormat="false" ht="15.75" hidden="false" customHeight="false" outlineLevel="0" collapsed="false">
      <c r="A1327" s="2" t="n">
        <v>199289</v>
      </c>
      <c r="B1327" s="2" t="s">
        <v>454</v>
      </c>
      <c r="C1327" s="2" t="n">
        <v>2</v>
      </c>
      <c r="D1327" s="2" t="n">
        <v>1</v>
      </c>
      <c r="E1327" s="2" t="n">
        <v>1</v>
      </c>
      <c r="F1327" s="2" t="n">
        <v>41</v>
      </c>
      <c r="G1327" s="2" t="s">
        <v>464</v>
      </c>
      <c r="H1327" s="2" t="str">
        <f aca="false">IFERROR(__xludf.dummyfunction("IF(I1339="""", """", REGEXEXTRACT(I1339, ""Padrao/([^/]+)""))"),"Reserva Real")</f>
        <v>Reserva Real</v>
      </c>
    </row>
    <row r="1328" customFormat="false" ht="15.75" hidden="false" customHeight="false" outlineLevel="0" collapsed="false">
      <c r="A1328" s="2" t="n">
        <v>198422</v>
      </c>
      <c r="B1328" s="2" t="s">
        <v>1206</v>
      </c>
      <c r="C1328" s="2" t="n">
        <v>2</v>
      </c>
      <c r="D1328" s="2" t="n">
        <v>1</v>
      </c>
      <c r="E1328" s="2" t="n">
        <v>1</v>
      </c>
      <c r="F1328" s="2" t="n">
        <v>41</v>
      </c>
      <c r="G1328" s="2" t="s">
        <v>464</v>
      </c>
      <c r="H1328" s="2" t="str">
        <f aca="false">IFERROR(__xludf.dummyfunction("IF(I1340="""", """", REGEXEXTRACT(I1340, ""Padrao/([^/]+)""))"),"Reserva Real")</f>
        <v>Reserva Real</v>
      </c>
    </row>
    <row r="1329" customFormat="false" ht="15.75" hidden="false" customHeight="false" outlineLevel="0" collapsed="false">
      <c r="A1329" s="2" t="n">
        <v>198062</v>
      </c>
      <c r="B1329" s="2" t="s">
        <v>1207</v>
      </c>
      <c r="C1329" s="2" t="n">
        <v>2</v>
      </c>
      <c r="D1329" s="2" t="n">
        <v>1</v>
      </c>
      <c r="E1329" s="2" t="n">
        <v>1</v>
      </c>
      <c r="F1329" s="2" t="n">
        <v>41</v>
      </c>
      <c r="G1329" s="2" t="s">
        <v>464</v>
      </c>
      <c r="H1329" s="2" t="str">
        <f aca="false">IFERROR(__xludf.dummyfunction("IF(I1341="""", """", REGEXEXTRACT(I1341, ""Padrao/([^/]+)""))"),"Reserva Real")</f>
        <v>Reserva Real</v>
      </c>
    </row>
    <row r="1330" customFormat="false" ht="15.75" hidden="false" customHeight="false" outlineLevel="0" collapsed="false">
      <c r="A1330" s="2" t="n">
        <v>192740</v>
      </c>
      <c r="B1330" s="2" t="s">
        <v>1208</v>
      </c>
      <c r="C1330" s="2" t="n">
        <v>2</v>
      </c>
      <c r="D1330" s="2" t="n">
        <v>1</v>
      </c>
      <c r="E1330" s="2" t="n">
        <v>1</v>
      </c>
      <c r="F1330" s="2" t="n">
        <v>79</v>
      </c>
      <c r="G1330" s="2" t="s">
        <v>464</v>
      </c>
      <c r="H1330" s="2" t="str">
        <f aca="false">IFERROR(__xludf.dummyfunction("IF(I1342="""", """", REGEXEXTRACT(I1342, ""Padrao/([^/]+)""))"),"Ipiranga")</f>
        <v>Ipiranga</v>
      </c>
    </row>
    <row r="1331" customFormat="false" ht="15.75" hidden="false" customHeight="false" outlineLevel="0" collapsed="false">
      <c r="A1331" s="2" t="n">
        <v>192248</v>
      </c>
      <c r="B1331" s="2" t="s">
        <v>1209</v>
      </c>
      <c r="C1331" s="2" t="n">
        <v>2</v>
      </c>
      <c r="D1331" s="2" t="n">
        <v>1</v>
      </c>
      <c r="E1331" s="2" t="n">
        <v>1</v>
      </c>
      <c r="F1331" s="2" t="n">
        <v>46</v>
      </c>
      <c r="G1331" s="2" t="s">
        <v>464</v>
      </c>
      <c r="H1331" s="2" t="str">
        <f aca="false">IFERROR(__xludf.dummyfunction("IF(I1343="""", """", REGEXEXTRACT(I1343, ""Padrao/([^/]+)""))"),"Jardim Manoel Penna")</f>
        <v>Jardim Manoel Penna</v>
      </c>
    </row>
    <row r="1332" customFormat="false" ht="15.75" hidden="false" customHeight="false" outlineLevel="0" collapsed="false">
      <c r="A1332" s="2" t="n">
        <v>191540</v>
      </c>
      <c r="B1332" s="2" t="s">
        <v>1210</v>
      </c>
      <c r="C1332" s="2" t="n">
        <v>2</v>
      </c>
      <c r="D1332" s="2" t="n">
        <v>1</v>
      </c>
      <c r="E1332" s="2" t="n">
        <v>1</v>
      </c>
      <c r="F1332" s="2" t="n">
        <v>41</v>
      </c>
      <c r="G1332" s="2" t="s">
        <v>464</v>
      </c>
      <c r="H1332" s="2" t="str">
        <f aca="false">IFERROR(__xludf.dummyfunction("IF(I1344="""", """", REGEXEXTRACT(I1344, ""Padrao/([^/]+)""))"),"Reserva Real")</f>
        <v>Reserva Real</v>
      </c>
    </row>
    <row r="1333" customFormat="false" ht="15.75" hidden="false" customHeight="false" outlineLevel="0" collapsed="false">
      <c r="A1333" s="2" t="n">
        <v>190328</v>
      </c>
      <c r="B1333" s="2" t="s">
        <v>1211</v>
      </c>
      <c r="C1333" s="2" t="n">
        <v>2</v>
      </c>
      <c r="D1333" s="2" t="n">
        <v>1</v>
      </c>
      <c r="E1333" s="2" t="n">
        <v>1</v>
      </c>
      <c r="F1333" s="2" t="n">
        <v>47</v>
      </c>
      <c r="G1333" s="2" t="s">
        <v>464</v>
      </c>
      <c r="H1333" s="2" t="str">
        <f aca="false">IFERROR(__xludf.dummyfunction("IF(I1345="""", """", REGEXEXTRACT(I1345, ""Padrao/([^/]+)""))"),"Parque Sao Sebastiao")</f>
        <v>Parque Sao Sebastiao</v>
      </c>
    </row>
    <row r="1334" customFormat="false" ht="15.75" hidden="false" customHeight="false" outlineLevel="0" collapsed="false">
      <c r="A1334" s="2" t="n">
        <v>189176</v>
      </c>
      <c r="B1334" s="2" t="s">
        <v>1212</v>
      </c>
      <c r="C1334" s="2" t="n">
        <v>2</v>
      </c>
      <c r="D1334" s="2" t="n">
        <v>1</v>
      </c>
      <c r="E1334" s="2" t="n">
        <v>1</v>
      </c>
      <c r="F1334" s="2" t="n">
        <v>43</v>
      </c>
      <c r="G1334" s="2" t="s">
        <v>464</v>
      </c>
      <c r="H1334" s="2" t="str">
        <f aca="false">IFERROR(__xludf.dummyfunction("IF(I1346="""", """", REGEXEXTRACT(I1346, ""Padrao/([^/]+)""))"),"Chacaras Pedro Correa de Carvalho")</f>
        <v>Chacaras Pedro Correa de Carvalho</v>
      </c>
    </row>
    <row r="1335" customFormat="false" ht="15.75" hidden="false" customHeight="false" outlineLevel="0" collapsed="false">
      <c r="A1335" s="2" t="n">
        <v>187775</v>
      </c>
      <c r="B1335" s="2" t="s">
        <v>1213</v>
      </c>
      <c r="C1335" s="2" t="n">
        <v>1</v>
      </c>
      <c r="D1335" s="2" t="n">
        <v>1</v>
      </c>
      <c r="E1335" s="2" t="n">
        <v>1</v>
      </c>
      <c r="F1335" s="2" t="n">
        <v>38</v>
      </c>
      <c r="G1335" s="2" t="s">
        <v>464</v>
      </c>
      <c r="H1335" s="2" t="str">
        <f aca="false">IFERROR(__xludf.dummyfunction("IF(I1347="""", """", REGEXEXTRACT(I1347, ""Padrao/([^/]+)""))"),"Sumarezinho")</f>
        <v>Sumarezinho</v>
      </c>
    </row>
    <row r="1336" customFormat="false" ht="15.75" hidden="false" customHeight="false" outlineLevel="0" collapsed="false">
      <c r="A1336" s="2" t="n">
        <v>187355</v>
      </c>
      <c r="B1336" s="2" t="s">
        <v>1214</v>
      </c>
      <c r="C1336" s="2" t="n">
        <v>2</v>
      </c>
      <c r="D1336" s="2" t="n">
        <v>1</v>
      </c>
      <c r="E1336" s="2" t="n">
        <v>1</v>
      </c>
      <c r="F1336" s="2" t="n">
        <v>46</v>
      </c>
      <c r="G1336" s="2" t="s">
        <v>464</v>
      </c>
      <c r="H1336" s="2" t="str">
        <f aca="false">IFERROR(__xludf.dummyfunction("IF(I1348="""", """", REGEXEXTRACT(I1348, ""Padrao/([^/]+)""))"),"Sumarezinho")</f>
        <v>Sumarezinho</v>
      </c>
    </row>
    <row r="1337" customFormat="false" ht="15.75" hidden="false" customHeight="false" outlineLevel="0" collapsed="false">
      <c r="A1337" s="2" t="n">
        <v>183830</v>
      </c>
      <c r="B1337" s="2" t="s">
        <v>1215</v>
      </c>
      <c r="C1337" s="2" t="n">
        <v>3</v>
      </c>
      <c r="D1337" s="2" t="n">
        <v>2</v>
      </c>
      <c r="E1337" s="2" t="n">
        <v>2</v>
      </c>
      <c r="F1337" s="2" t="n">
        <v>72</v>
      </c>
      <c r="G1337" s="2" t="s">
        <v>464</v>
      </c>
      <c r="H1337" s="2" t="str">
        <f aca="false">IFERROR(__xludf.dummyfunction("IF(I1349="""", """", REGEXEXTRACT(I1349, ""Padrao/([^/]+)""))"),"Independencia")</f>
        <v>Independencia</v>
      </c>
    </row>
    <row r="1338" customFormat="false" ht="15.75" hidden="false" customHeight="false" outlineLevel="0" collapsed="false">
      <c r="A1338" s="2" t="n">
        <v>182978</v>
      </c>
      <c r="B1338" s="2" t="s">
        <v>1216</v>
      </c>
      <c r="C1338" s="2" t="n">
        <v>2</v>
      </c>
      <c r="D1338" s="2" t="n">
        <v>1</v>
      </c>
      <c r="E1338" s="2" t="n">
        <v>1</v>
      </c>
      <c r="F1338" s="2" t="n">
        <v>46</v>
      </c>
      <c r="G1338" s="2" t="s">
        <v>464</v>
      </c>
      <c r="H1338" s="2" t="str">
        <f aca="false">IFERROR(__xludf.dummyfunction("IF(I1350="""", """", REGEXEXTRACT(I1350, ""Padrao/([^/]+)""))"),"Ribeirania")</f>
        <v>Ribeirania</v>
      </c>
    </row>
    <row r="1339" customFormat="false" ht="15.75" hidden="false" customHeight="false" outlineLevel="0" collapsed="false">
      <c r="A1339" s="2" t="n">
        <v>182186</v>
      </c>
      <c r="B1339" s="2" t="s">
        <v>1217</v>
      </c>
      <c r="C1339" s="2" t="n">
        <v>2</v>
      </c>
      <c r="D1339" s="2" t="n">
        <v>1</v>
      </c>
      <c r="E1339" s="2" t="n">
        <v>1</v>
      </c>
      <c r="F1339" s="2" t="n">
        <v>44</v>
      </c>
      <c r="G1339" s="2" t="s">
        <v>464</v>
      </c>
      <c r="H1339" s="2" t="str">
        <f aca="false">IFERROR(__xludf.dummyfunction("IF(I1351="""", """", REGEXEXTRACT(I1351, ""Padrao/([^/]+)""))"),"Residencial Greenville")</f>
        <v>Residencial Greenville</v>
      </c>
    </row>
    <row r="1340" customFormat="false" ht="15.75" hidden="false" customHeight="false" outlineLevel="0" collapsed="false">
      <c r="A1340" s="2" t="n">
        <v>181307</v>
      </c>
      <c r="B1340" s="2" t="s">
        <v>1218</v>
      </c>
      <c r="C1340" s="2" t="n">
        <v>3</v>
      </c>
      <c r="D1340" s="2" t="n">
        <v>1</v>
      </c>
      <c r="E1340" s="2" t="n">
        <v>1</v>
      </c>
      <c r="F1340" s="2" t="n">
        <v>47</v>
      </c>
      <c r="G1340" s="2" t="s">
        <v>464</v>
      </c>
      <c r="H1340" s="2" t="str">
        <f aca="false">IFERROR(__xludf.dummyfunction("IF(I1352="""", """", REGEXEXTRACT(I1352, ""Padrao/([^/]+)""))"),"Campos Eliseos")</f>
        <v>Campos Eliseos</v>
      </c>
    </row>
    <row r="1341" customFormat="false" ht="15.75" hidden="false" customHeight="false" outlineLevel="0" collapsed="false">
      <c r="A1341" s="2" t="n">
        <v>179723</v>
      </c>
      <c r="B1341" s="2" t="s">
        <v>1219</v>
      </c>
      <c r="C1341" s="2" t="n">
        <v>1</v>
      </c>
      <c r="D1341" s="2" t="n">
        <v>1</v>
      </c>
      <c r="E1341" s="2" t="n">
        <v>1</v>
      </c>
      <c r="F1341" s="2" t="n">
        <v>44</v>
      </c>
      <c r="G1341" s="2" t="s">
        <v>464</v>
      </c>
      <c r="H1341" s="2" t="str">
        <f aca="false">IFERROR(__xludf.dummyfunction("IF(I1353="""", """", REGEXEXTRACT(I1353, ""Padrao/([^/]+)""))"),"Campos Eliseos")</f>
        <v>Campos Eliseos</v>
      </c>
    </row>
    <row r="1342" customFormat="false" ht="15.75" hidden="false" customHeight="false" outlineLevel="0" collapsed="false">
      <c r="A1342" s="2" t="n">
        <v>178745</v>
      </c>
      <c r="B1342" s="2" t="s">
        <v>1220</v>
      </c>
      <c r="C1342" s="2" t="n">
        <v>2</v>
      </c>
      <c r="D1342" s="2" t="n">
        <v>1</v>
      </c>
      <c r="E1342" s="2" t="n">
        <v>1</v>
      </c>
      <c r="F1342" s="2" t="n">
        <v>48</v>
      </c>
      <c r="G1342" s="2" t="s">
        <v>464</v>
      </c>
      <c r="H1342" s="2" t="str">
        <f aca="false">IFERROR(__xludf.dummyfunction("IF(I1354="""", """", REGEXEXTRACT(I1354, ""Padrao/([^/]+)""))"),"Jardim Manoel Penna")</f>
        <v>Jardim Manoel Penna</v>
      </c>
    </row>
    <row r="1343" customFormat="false" ht="15.75" hidden="false" customHeight="false" outlineLevel="0" collapsed="false">
      <c r="A1343" s="2" t="n">
        <v>178406</v>
      </c>
      <c r="B1343" s="2" t="s">
        <v>1221</v>
      </c>
      <c r="C1343" s="2" t="n">
        <v>2</v>
      </c>
      <c r="D1343" s="2" t="n">
        <v>1</v>
      </c>
      <c r="E1343" s="2" t="n">
        <v>1</v>
      </c>
      <c r="F1343" s="2" t="n">
        <v>43</v>
      </c>
      <c r="G1343" s="2" t="s">
        <v>464</v>
      </c>
      <c r="H1343" s="2" t="str">
        <f aca="false">IFERROR(__xludf.dummyfunction("IF(I1355="""", """", REGEXEXTRACT(I1355, ""Padrao/([^/]+)""))"),"Loteamento Santa Marta")</f>
        <v>Loteamento Santa Marta</v>
      </c>
    </row>
    <row r="1344" customFormat="false" ht="15.75" hidden="false" customHeight="false" outlineLevel="0" collapsed="false">
      <c r="A1344" s="2" t="n">
        <v>177746</v>
      </c>
      <c r="B1344" s="2" t="s">
        <v>1222</v>
      </c>
      <c r="C1344" s="2" t="n">
        <v>2</v>
      </c>
      <c r="D1344" s="2" t="n">
        <v>1</v>
      </c>
      <c r="E1344" s="2" t="n">
        <v>1</v>
      </c>
      <c r="F1344" s="2" t="n">
        <v>42</v>
      </c>
      <c r="G1344" s="2" t="s">
        <v>464</v>
      </c>
      <c r="H1344" s="2" t="str">
        <f aca="false">IFERROR(__xludf.dummyfunction("IF(I1356="""", """", REGEXEXTRACT(I1356, ""Padrao/([^/]+)""))"),"Jardim Jose Sampaio Junior")</f>
        <v>Jardim Jose Sampaio Junior</v>
      </c>
    </row>
    <row r="1345" customFormat="false" ht="15.75" hidden="false" customHeight="false" outlineLevel="0" collapsed="false">
      <c r="A1345" s="2" t="n">
        <v>177194</v>
      </c>
      <c r="B1345" s="2" t="s">
        <v>1223</v>
      </c>
      <c r="C1345" s="2" t="n">
        <v>2</v>
      </c>
      <c r="D1345" s="2" t="n">
        <v>1</v>
      </c>
      <c r="E1345" s="2" t="n">
        <v>1</v>
      </c>
      <c r="F1345" s="2" t="n">
        <v>45</v>
      </c>
      <c r="G1345" s="2" t="s">
        <v>464</v>
      </c>
      <c r="H1345" s="2" t="str">
        <f aca="false">IFERROR(__xludf.dummyfunction("IF(I1357="""", """", REGEXEXTRACT(I1357, ""Padrao/([^/]+)""))"),"Ribeirania")</f>
        <v>Ribeirania</v>
      </c>
    </row>
    <row r="1346" customFormat="false" ht="15.75" hidden="false" customHeight="false" outlineLevel="0" collapsed="false">
      <c r="A1346" s="2" t="n">
        <v>175937</v>
      </c>
      <c r="B1346" s="2" t="s">
        <v>1224</v>
      </c>
      <c r="C1346" s="2" t="n">
        <v>2</v>
      </c>
      <c r="D1346" s="2" t="n">
        <v>1</v>
      </c>
      <c r="E1346" s="2" t="n">
        <v>1</v>
      </c>
      <c r="F1346" s="2" t="n">
        <v>43</v>
      </c>
      <c r="G1346" s="2" t="s">
        <v>464</v>
      </c>
      <c r="H1346" s="2" t="str">
        <f aca="false">IFERROR(__xludf.dummyfunction("IF(I1358="""", """", REGEXEXTRACT(I1358, ""Padrao/([^/]+)""))"),"Jardim Heitor Rigon")</f>
        <v>Jardim Heitor Rigon</v>
      </c>
    </row>
    <row r="1347" customFormat="false" ht="15.75" hidden="false" customHeight="false" outlineLevel="0" collapsed="false">
      <c r="A1347" s="2" t="n">
        <v>175694</v>
      </c>
      <c r="B1347" s="2" t="s">
        <v>1225</v>
      </c>
      <c r="C1347" s="2" t="n">
        <v>2</v>
      </c>
      <c r="D1347" s="2" t="n">
        <v>1</v>
      </c>
      <c r="E1347" s="2" t="n">
        <v>1</v>
      </c>
      <c r="F1347" s="2" t="n">
        <v>42</v>
      </c>
      <c r="G1347" s="2" t="s">
        <v>464</v>
      </c>
      <c r="H1347" s="2" t="str">
        <f aca="false">IFERROR(__xludf.dummyfunction("IF(I1359="""", """", REGEXEXTRACT(I1359, ""Padrao/([^/]+)""))"),"Jardim Heitor Rigon")</f>
        <v>Jardim Heitor Rigon</v>
      </c>
    </row>
    <row r="1348" customFormat="false" ht="15.75" hidden="false" customHeight="false" outlineLevel="0" collapsed="false">
      <c r="A1348" s="2" t="n">
        <v>174698</v>
      </c>
      <c r="B1348" s="2" t="s">
        <v>851</v>
      </c>
      <c r="C1348" s="2" t="n">
        <v>2</v>
      </c>
      <c r="D1348" s="2" t="n">
        <v>1</v>
      </c>
      <c r="E1348" s="2" t="n">
        <v>1</v>
      </c>
      <c r="F1348" s="2" t="n">
        <v>40</v>
      </c>
      <c r="G1348" s="2" t="s">
        <v>464</v>
      </c>
      <c r="H1348" s="2" t="str">
        <f aca="false">IFERROR(__xludf.dummyfunction("IF(I1360="""", """", REGEXEXTRACT(I1360, ""Padrao/([^/]+)""))"),"Ipiranga")</f>
        <v>Ipiranga</v>
      </c>
    </row>
    <row r="1349" customFormat="false" ht="15.75" hidden="false" customHeight="false" outlineLevel="0" collapsed="false">
      <c r="A1349" s="2" t="n">
        <v>173801</v>
      </c>
      <c r="B1349" s="2" t="s">
        <v>1226</v>
      </c>
      <c r="C1349" s="2" t="n">
        <v>2</v>
      </c>
      <c r="D1349" s="2" t="n">
        <v>1</v>
      </c>
      <c r="E1349" s="2" t="n">
        <v>1</v>
      </c>
      <c r="F1349" s="2" t="n">
        <v>52</v>
      </c>
      <c r="G1349" s="2" t="s">
        <v>464</v>
      </c>
      <c r="H1349" s="2" t="str">
        <f aca="false">IFERROR(__xludf.dummyfunction("IF(I1361="""", """", REGEXEXTRACT(I1361, ""Padrao/([^/]+)""))"),"Jardim Palma Travassos")</f>
        <v>Jardim Palma Travassos</v>
      </c>
    </row>
    <row r="1350" customFormat="false" ht="15.75" hidden="false" customHeight="false" outlineLevel="0" collapsed="false">
      <c r="A1350" s="2" t="n">
        <v>173261</v>
      </c>
      <c r="B1350" s="2" t="s">
        <v>1227</v>
      </c>
      <c r="C1350" s="2" t="n">
        <v>2</v>
      </c>
      <c r="D1350" s="2" t="n">
        <v>1</v>
      </c>
      <c r="E1350" s="2" t="n">
        <v>1</v>
      </c>
      <c r="F1350" s="2" t="n">
        <v>62</v>
      </c>
      <c r="G1350" s="2" t="s">
        <v>464</v>
      </c>
      <c r="H1350" s="2" t="str">
        <f aca="false">IFERROR(__xludf.dummyfunction("IF(I1362="""", """", REGEXEXTRACT(I1362, ""Padrao/([^/]+)""))"),"Vila Virginia")</f>
        <v>Vila Virginia</v>
      </c>
    </row>
    <row r="1351" customFormat="false" ht="15.75" hidden="false" customHeight="false" outlineLevel="0" collapsed="false">
      <c r="A1351" s="2" t="n">
        <v>167285</v>
      </c>
      <c r="B1351" s="2" t="s">
        <v>1228</v>
      </c>
      <c r="C1351" s="2" t="n">
        <v>2</v>
      </c>
      <c r="D1351" s="2" t="n">
        <v>1</v>
      </c>
      <c r="E1351" s="2" t="n">
        <v>1</v>
      </c>
      <c r="F1351" s="2" t="n">
        <v>43</v>
      </c>
      <c r="G1351" s="2" t="s">
        <v>464</v>
      </c>
      <c r="H1351" s="2" t="str">
        <f aca="false">IFERROR(__xludf.dummyfunction("IF(I1363="""", """", REGEXEXTRACT(I1363, ""Padrao/([^/]+)""))"),"Jardim Diva Tarla de Carvalho")</f>
        <v>Jardim Diva Tarla de Carvalho</v>
      </c>
    </row>
    <row r="1352" customFormat="false" ht="15.75" hidden="false" customHeight="false" outlineLevel="0" collapsed="false">
      <c r="A1352" s="2" t="n">
        <v>164150</v>
      </c>
      <c r="B1352" s="2" t="s">
        <v>1229</v>
      </c>
      <c r="C1352" s="2" t="n">
        <v>2</v>
      </c>
      <c r="D1352" s="2" t="n">
        <v>1</v>
      </c>
      <c r="E1352" s="2" t="n">
        <v>1</v>
      </c>
      <c r="F1352" s="2" t="n">
        <v>47</v>
      </c>
      <c r="G1352" s="2" t="s">
        <v>464</v>
      </c>
      <c r="H1352" s="2" t="str">
        <f aca="false">IFERROR(__xludf.dummyfunction("IF(I1364="""", """", REGEXEXTRACT(I1364, ""Padrao/([^/]+)""))"),"Parque dos Lagos")</f>
        <v>Parque dos Lagos</v>
      </c>
    </row>
    <row r="1353" customFormat="false" ht="15.75" hidden="false" customHeight="false" outlineLevel="0" collapsed="false">
      <c r="A1353" s="2" t="n">
        <v>159887</v>
      </c>
      <c r="B1353" s="2" t="s">
        <v>776</v>
      </c>
      <c r="C1353" s="2" t="n">
        <v>1</v>
      </c>
      <c r="D1353" s="2" t="n">
        <v>1</v>
      </c>
      <c r="E1353" s="2" t="n">
        <v>1</v>
      </c>
      <c r="F1353" s="2" t="n">
        <v>32</v>
      </c>
      <c r="G1353" s="2" t="s">
        <v>464</v>
      </c>
      <c r="H1353" s="2" t="str">
        <f aca="false">IFERROR(__xludf.dummyfunction("IF(I1365="""", """", REGEXEXTRACT(I1365, ""Padrao/([^/]+)""))"),"Jardim Paulista")</f>
        <v>Jardim Paulista</v>
      </c>
    </row>
    <row r="1354" customFormat="false" ht="15.75" hidden="false" customHeight="false" outlineLevel="0" collapsed="false">
      <c r="A1354" s="2" t="n">
        <v>159113</v>
      </c>
      <c r="B1354" s="2" t="s">
        <v>1230</v>
      </c>
      <c r="C1354" s="2" t="n">
        <v>2</v>
      </c>
      <c r="D1354" s="2" t="n">
        <v>1</v>
      </c>
      <c r="E1354" s="2" t="n">
        <v>1</v>
      </c>
      <c r="F1354" s="2" t="n">
        <v>46</v>
      </c>
      <c r="G1354" s="2" t="s">
        <v>464</v>
      </c>
      <c r="H1354" s="2" t="str">
        <f aca="false">IFERROR(__xludf.dummyfunction("IF(I1366="""", """", REGEXEXTRACT(I1366, ""Padrao/([^/]+)""))"),"Ribeirania")</f>
        <v>Ribeirania</v>
      </c>
    </row>
    <row r="1355" customFormat="false" ht="15.75" hidden="false" customHeight="false" outlineLevel="0" collapsed="false">
      <c r="A1355" s="2" t="n">
        <v>157199</v>
      </c>
      <c r="B1355" s="2" t="s">
        <v>706</v>
      </c>
      <c r="C1355" s="2" t="n">
        <v>2</v>
      </c>
      <c r="D1355" s="2" t="n">
        <v>1</v>
      </c>
      <c r="E1355" s="2" t="n">
        <v>1</v>
      </c>
      <c r="F1355" s="2" t="n">
        <v>55</v>
      </c>
      <c r="G1355" s="2" t="s">
        <v>464</v>
      </c>
      <c r="H1355" s="2" t="str">
        <f aca="false">IFERROR(__xludf.dummyfunction("IF(I1367="""", """", REGEXEXTRACT(I1367, ""Padrao/([^/]+)""))"),"Vila Virginia")</f>
        <v>Vila Virginia</v>
      </c>
    </row>
    <row r="1356" customFormat="false" ht="15.75" hidden="false" customHeight="false" outlineLevel="0" collapsed="false">
      <c r="A1356" s="2" t="n">
        <v>157142</v>
      </c>
      <c r="B1356" s="2" t="s">
        <v>1231</v>
      </c>
      <c r="C1356" s="2" t="n">
        <v>1</v>
      </c>
      <c r="D1356" s="2" t="n">
        <v>1</v>
      </c>
      <c r="E1356" s="2" t="n">
        <v>1</v>
      </c>
      <c r="F1356" s="2" t="n">
        <v>37</v>
      </c>
      <c r="G1356" s="2" t="s">
        <v>464</v>
      </c>
      <c r="H1356" s="2" t="str">
        <f aca="false">IFERROR(__xludf.dummyfunction("IF(I1368="""", """", REGEXEXTRACT(I1368, ""Padrao/([^/]+)""))"),"Parque Industrial Lagoinha")</f>
        <v>Parque Industrial Lagoinha</v>
      </c>
    </row>
    <row r="1357" customFormat="false" ht="15.75" hidden="false" customHeight="false" outlineLevel="0" collapsed="false">
      <c r="A1357" s="2" t="n">
        <v>156428</v>
      </c>
      <c r="B1357" s="2" t="s">
        <v>1232</v>
      </c>
      <c r="C1357" s="2" t="n">
        <v>2</v>
      </c>
      <c r="D1357" s="2" t="n">
        <v>2</v>
      </c>
      <c r="E1357" s="2" t="n">
        <v>1</v>
      </c>
      <c r="F1357" s="2" t="n">
        <v>49</v>
      </c>
      <c r="G1357" s="2" t="s">
        <v>464</v>
      </c>
      <c r="H1357" s="2" t="str">
        <f aca="false">IFERROR(__xludf.dummyfunction("IF(I1369="""", """", REGEXEXTRACT(I1369, ""Padrao/([^/]+)""))"),"Ipiranga")</f>
        <v>Ipiranga</v>
      </c>
    </row>
    <row r="1358" customFormat="false" ht="15.75" hidden="false" customHeight="false" outlineLevel="0" collapsed="false">
      <c r="A1358" s="2" t="n">
        <v>155078</v>
      </c>
      <c r="B1358" s="2" t="s">
        <v>1233</v>
      </c>
      <c r="C1358" s="2" t="n">
        <v>3</v>
      </c>
      <c r="D1358" s="2" t="n">
        <v>2</v>
      </c>
      <c r="E1358" s="2" t="n">
        <v>1</v>
      </c>
      <c r="F1358" s="2" t="n">
        <v>59</v>
      </c>
      <c r="G1358" s="2" t="s">
        <v>464</v>
      </c>
      <c r="H1358" s="2" t="str">
        <f aca="false">IFERROR(__xludf.dummyfunction("IF(I1370="""", """", REGEXEXTRACT(I1370, ""Padrao/([^/]+)""))"),"Campos Eliseos")</f>
        <v>Campos Eliseos</v>
      </c>
    </row>
    <row r="1359" customFormat="false" ht="15.75" hidden="false" customHeight="false" outlineLevel="0" collapsed="false">
      <c r="A1359" s="2" t="n">
        <v>153779</v>
      </c>
      <c r="B1359" s="2" t="s">
        <v>1234</v>
      </c>
      <c r="C1359" s="2" t="n">
        <v>2</v>
      </c>
      <c r="D1359" s="2" t="n">
        <v>1</v>
      </c>
      <c r="E1359" s="2" t="n">
        <v>1</v>
      </c>
      <c r="F1359" s="2" t="n">
        <v>40</v>
      </c>
      <c r="G1359" s="2" t="s">
        <v>464</v>
      </c>
      <c r="H1359" s="2" t="str">
        <f aca="false">IFERROR(__xludf.dummyfunction("IF(I1371="""", """", REGEXEXTRACT(I1371, ""Padrao/([^/]+)""))"),"Reserva Real")</f>
        <v>Reserva Real</v>
      </c>
    </row>
    <row r="1360" customFormat="false" ht="15.75" hidden="false" customHeight="false" outlineLevel="0" collapsed="false">
      <c r="A1360" s="2" t="n">
        <v>152960</v>
      </c>
      <c r="B1360" s="2" t="s">
        <v>1235</v>
      </c>
      <c r="C1360" s="2" t="n">
        <v>3</v>
      </c>
      <c r="D1360" s="2" t="n">
        <v>1</v>
      </c>
      <c r="E1360" s="2" t="n">
        <v>1</v>
      </c>
      <c r="F1360" s="2" t="n">
        <v>58</v>
      </c>
      <c r="G1360" s="2" t="s">
        <v>464</v>
      </c>
      <c r="H1360" s="2" t="str">
        <f aca="false">IFERROR(__xludf.dummyfunction("IF(I1372="""", """", REGEXEXTRACT(I1372, ""Padrao/([^/]+)""))"),"Jardim Interlagos")</f>
        <v>Jardim Interlagos</v>
      </c>
    </row>
    <row r="1361" customFormat="false" ht="15.75" hidden="false" customHeight="false" outlineLevel="0" collapsed="false">
      <c r="A1361" s="2" t="n">
        <v>152624</v>
      </c>
      <c r="B1361" s="2" t="s">
        <v>1236</v>
      </c>
      <c r="C1361" s="2" t="n">
        <v>2</v>
      </c>
      <c r="D1361" s="2" t="n">
        <v>1</v>
      </c>
      <c r="E1361" s="2" t="n">
        <v>1</v>
      </c>
      <c r="F1361" s="2" t="n">
        <v>44</v>
      </c>
      <c r="G1361" s="2" t="s">
        <v>464</v>
      </c>
      <c r="H1361" s="2" t="str">
        <f aca="false">IFERROR(__xludf.dummyfunction("IF(I1373="""", """", REGEXEXTRACT(I1373, ""Padrao/([^/]+)""))"),"Parque Sao Sebastiao")</f>
        <v>Parque Sao Sebastiao</v>
      </c>
    </row>
    <row r="1362" customFormat="false" ht="15.75" hidden="false" customHeight="false" outlineLevel="0" collapsed="false">
      <c r="A1362" s="2" t="n">
        <v>151937</v>
      </c>
      <c r="B1362" s="2" t="s">
        <v>454</v>
      </c>
      <c r="C1362" s="2" t="n">
        <v>2</v>
      </c>
      <c r="D1362" s="2" t="n">
        <v>1</v>
      </c>
      <c r="E1362" s="2" t="n">
        <v>1</v>
      </c>
      <c r="F1362" s="2" t="n">
        <v>41</v>
      </c>
      <c r="G1362" s="2" t="s">
        <v>464</v>
      </c>
      <c r="H1362" s="2" t="str">
        <f aca="false">IFERROR(__xludf.dummyfunction("IF(I1374="""", """", REGEXEXTRACT(I1374, ""Padrao/([^/]+)""))"),"Reserva Real")</f>
        <v>Reserva Real</v>
      </c>
    </row>
    <row r="1363" customFormat="false" ht="15.75" hidden="false" customHeight="false" outlineLevel="0" collapsed="false">
      <c r="A1363" s="2" t="n">
        <v>150650</v>
      </c>
      <c r="B1363" s="2" t="s">
        <v>384</v>
      </c>
      <c r="C1363" s="2" t="n">
        <v>2</v>
      </c>
      <c r="D1363" s="2" t="n">
        <v>1</v>
      </c>
      <c r="E1363" s="2" t="n">
        <v>1</v>
      </c>
      <c r="F1363" s="2" t="n">
        <v>40</v>
      </c>
      <c r="G1363" s="2" t="s">
        <v>464</v>
      </c>
      <c r="H1363" s="2" t="str">
        <f aca="false">IFERROR(__xludf.dummyfunction("IF(I1375="""", """", REGEXEXTRACT(I1375, ""Padrao/([^/]+)""))"),"Ipiranga")</f>
        <v>Ipiranga</v>
      </c>
    </row>
    <row r="1364" customFormat="false" ht="15.75" hidden="false" customHeight="false" outlineLevel="0" collapsed="false">
      <c r="A1364" s="2" t="n">
        <v>150029</v>
      </c>
      <c r="B1364" s="2" t="s">
        <v>1237</v>
      </c>
      <c r="C1364" s="2" t="n">
        <v>2</v>
      </c>
      <c r="D1364" s="2" t="n">
        <v>1</v>
      </c>
      <c r="E1364" s="2" t="n">
        <v>1</v>
      </c>
      <c r="F1364" s="2" t="n">
        <v>46</v>
      </c>
      <c r="G1364" s="2" t="s">
        <v>464</v>
      </c>
      <c r="H1364" s="2" t="str">
        <f aca="false">IFERROR(__xludf.dummyfunction("IF(I1376="""", """", REGEXEXTRACT(I1376, ""Padrao/([^/]+)""))"),"Vila Virginia")</f>
        <v>Vila Virginia</v>
      </c>
    </row>
    <row r="1365" customFormat="false" ht="15.75" hidden="false" customHeight="false" outlineLevel="0" collapsed="false">
      <c r="A1365" s="2" t="n">
        <v>149996</v>
      </c>
      <c r="B1365" s="2" t="s">
        <v>1238</v>
      </c>
      <c r="C1365" s="2" t="n">
        <v>2</v>
      </c>
      <c r="D1365" s="2" t="n">
        <v>1</v>
      </c>
      <c r="E1365" s="2" t="n">
        <v>2</v>
      </c>
      <c r="F1365" s="2" t="n">
        <v>49</v>
      </c>
      <c r="G1365" s="2" t="s">
        <v>464</v>
      </c>
      <c r="H1365" s="2" t="str">
        <f aca="false">IFERROR(__xludf.dummyfunction("IF(I1377="""", """", REGEXEXTRACT(I1377, ""Padrao/([^/]+)""))"),"Jardim Palma Travassos")</f>
        <v>Jardim Palma Travassos</v>
      </c>
    </row>
    <row r="1366" customFormat="false" ht="15.75" hidden="false" customHeight="false" outlineLevel="0" collapsed="false">
      <c r="A1366" s="2" t="n">
        <v>147176</v>
      </c>
      <c r="B1366" s="2" t="s">
        <v>1239</v>
      </c>
      <c r="C1366" s="2" t="n">
        <v>2</v>
      </c>
      <c r="D1366" s="2" t="n">
        <v>1</v>
      </c>
      <c r="E1366" s="2" t="n">
        <v>1</v>
      </c>
      <c r="F1366" s="2" t="n">
        <v>44</v>
      </c>
      <c r="G1366" s="2" t="s">
        <v>464</v>
      </c>
      <c r="H1366" s="2" t="str">
        <f aca="false">IFERROR(__xludf.dummyfunction("IF(I1378="""", """", REGEXEXTRACT(I1378, ""Padrao/([^/]+)""))"),"Residencial Greenville")</f>
        <v>Residencial Greenville</v>
      </c>
    </row>
    <row r="1367" customFormat="false" ht="15.75" hidden="false" customHeight="false" outlineLevel="0" collapsed="false">
      <c r="A1367" s="2" t="n">
        <v>146450</v>
      </c>
      <c r="B1367" s="2" t="s">
        <v>1240</v>
      </c>
      <c r="C1367" s="2" t="n">
        <v>2</v>
      </c>
      <c r="D1367" s="2" t="n">
        <v>1</v>
      </c>
      <c r="E1367" s="2" t="n">
        <v>1</v>
      </c>
      <c r="F1367" s="2" t="n">
        <v>42</v>
      </c>
      <c r="G1367" s="2" t="s">
        <v>464</v>
      </c>
      <c r="H1367" s="2" t="str">
        <f aca="false">IFERROR(__xludf.dummyfunction("IF(I1379="""", """", REGEXEXTRACT(I1379, ""Padrao/([^/]+)""))"),"Jardim Itau")</f>
        <v>Jardim Itau</v>
      </c>
    </row>
    <row r="1368" customFormat="false" ht="15.75" hidden="false" customHeight="false" outlineLevel="0" collapsed="false">
      <c r="A1368" s="2" t="n">
        <v>140840</v>
      </c>
      <c r="B1368" s="2" t="s">
        <v>1161</v>
      </c>
      <c r="C1368" s="2" t="n">
        <v>2</v>
      </c>
      <c r="D1368" s="2" t="n">
        <v>1</v>
      </c>
      <c r="E1368" s="2" t="n">
        <v>1</v>
      </c>
      <c r="F1368" s="2" t="n">
        <v>47</v>
      </c>
      <c r="G1368" s="2" t="s">
        <v>464</v>
      </c>
      <c r="H1368" s="2" t="str">
        <f aca="false">IFERROR(__xludf.dummyfunction("IF(I1380="""", """", REGEXEXTRACT(I1380, ""Padrao/([^/]+)""))"),"Jardim Manoel Penna")</f>
        <v>Jardim Manoel Penna</v>
      </c>
    </row>
    <row r="1369" customFormat="false" ht="15.75" hidden="false" customHeight="false" outlineLevel="0" collapsed="false">
      <c r="A1369" s="2" t="n">
        <v>140702</v>
      </c>
      <c r="B1369" s="2" t="s">
        <v>1241</v>
      </c>
      <c r="C1369" s="2" t="n">
        <v>2</v>
      </c>
      <c r="D1369" s="2" t="n">
        <v>1</v>
      </c>
      <c r="E1369" s="2" t="n">
        <v>1</v>
      </c>
      <c r="F1369" s="2" t="n">
        <v>55</v>
      </c>
      <c r="G1369" s="2" t="s">
        <v>464</v>
      </c>
      <c r="H1369" s="2" t="str">
        <f aca="false">IFERROR(__xludf.dummyfunction("IF(I1381="""", """", REGEXEXTRACT(I1381, ""Padrao/([^/]+)""))"),"Vila Virginia")</f>
        <v>Vila Virginia</v>
      </c>
    </row>
    <row r="1370" customFormat="false" ht="15.75" hidden="false" customHeight="false" outlineLevel="0" collapsed="false">
      <c r="A1370" s="2" t="n">
        <v>139604</v>
      </c>
      <c r="B1370" s="2" t="s">
        <v>1242</v>
      </c>
      <c r="C1370" s="2" t="n">
        <v>2</v>
      </c>
      <c r="D1370" s="2" t="n">
        <v>1</v>
      </c>
      <c r="E1370" s="2" t="n">
        <v>2</v>
      </c>
      <c r="F1370" s="2" t="n">
        <v>56</v>
      </c>
      <c r="G1370" s="2" t="s">
        <v>464</v>
      </c>
      <c r="H1370" s="2" t="str">
        <f aca="false">IFERROR(__xludf.dummyfunction("IF(I1382="""", """", REGEXEXTRACT(I1382, ""Padrao/([^/]+)""))"),"Residencial Parque dos Servidores")</f>
        <v>Residencial Parque dos Servidores</v>
      </c>
    </row>
    <row r="1371" customFormat="false" ht="15.75" hidden="false" customHeight="false" outlineLevel="0" collapsed="false">
      <c r="A1371" s="2" t="n">
        <v>138503</v>
      </c>
      <c r="B1371" s="2" t="s">
        <v>447</v>
      </c>
      <c r="C1371" s="2" t="n">
        <v>1</v>
      </c>
      <c r="D1371" s="2" t="n">
        <v>1</v>
      </c>
      <c r="E1371" s="2" t="n">
        <v>1</v>
      </c>
      <c r="F1371" s="2" t="n">
        <v>51</v>
      </c>
      <c r="G1371" s="2" t="s">
        <v>464</v>
      </c>
      <c r="H1371" s="2" t="str">
        <f aca="false">IFERROR(__xludf.dummyfunction("IF(I1383="""", """", REGEXEXTRACT(I1383, ""Padrao/([^/]+)""))"),"Jardim Paulista")</f>
        <v>Jardim Paulista</v>
      </c>
    </row>
    <row r="1372" customFormat="false" ht="15.75" hidden="false" customHeight="false" outlineLevel="0" collapsed="false">
      <c r="A1372" s="2" t="n">
        <v>138218</v>
      </c>
      <c r="B1372" s="2" t="s">
        <v>1243</v>
      </c>
      <c r="C1372" s="2" t="n">
        <v>2</v>
      </c>
      <c r="D1372" s="2" t="n">
        <v>1</v>
      </c>
      <c r="E1372" s="2" t="n">
        <v>1</v>
      </c>
      <c r="F1372" s="2" t="n">
        <v>46</v>
      </c>
      <c r="G1372" s="2" t="s">
        <v>464</v>
      </c>
      <c r="H1372" s="2" t="str">
        <f aca="false">IFERROR(__xludf.dummyfunction("IF(I1384="""", """", REGEXEXTRACT(I1384, ""Padrao/([^/]+)""))"),"Jardim Joao Rossi")</f>
        <v>Jardim Joao Rossi</v>
      </c>
    </row>
    <row r="1373" customFormat="false" ht="15.75" hidden="false" customHeight="false" outlineLevel="0" collapsed="false">
      <c r="A1373" s="2" t="n">
        <v>138074</v>
      </c>
      <c r="B1373" s="2" t="s">
        <v>1244</v>
      </c>
      <c r="C1373" s="2" t="n">
        <v>1</v>
      </c>
      <c r="D1373" s="2" t="n">
        <v>1</v>
      </c>
      <c r="E1373" s="2" t="n">
        <v>1</v>
      </c>
      <c r="F1373" s="2" t="n">
        <v>38</v>
      </c>
      <c r="G1373" s="2" t="s">
        <v>464</v>
      </c>
      <c r="H1373" s="2" t="str">
        <f aca="false">IFERROR(__xludf.dummyfunction("IF(I1385="""", """", REGEXEXTRACT(I1385, ""Padrao/([^/]+)""))"),"Presidente Medici")</f>
        <v>Presidente Medici</v>
      </c>
    </row>
    <row r="1374" customFormat="false" ht="15.75" hidden="false" customHeight="false" outlineLevel="0" collapsed="false">
      <c r="A1374" s="2" t="n">
        <v>131111</v>
      </c>
      <c r="B1374" s="2" t="s">
        <v>1245</v>
      </c>
      <c r="C1374" s="2" t="n">
        <v>2</v>
      </c>
      <c r="D1374" s="2" t="n">
        <v>1</v>
      </c>
      <c r="E1374" s="2" t="n">
        <v>1</v>
      </c>
      <c r="F1374" s="2" t="n">
        <v>46</v>
      </c>
      <c r="G1374" s="2" t="s">
        <v>464</v>
      </c>
      <c r="H1374" s="2" t="str">
        <f aca="false">IFERROR(__xludf.dummyfunction("IF(I1386="""", """", REGEXEXTRACT(I1386, ""Padrao/([^/]+)""))"),"Valentina Figueiredo")</f>
        <v>Valentina Figueiredo</v>
      </c>
    </row>
    <row r="1375" customFormat="false" ht="15.75" hidden="false" customHeight="false" outlineLevel="0" collapsed="false">
      <c r="A1375" s="2" t="n">
        <v>129989</v>
      </c>
      <c r="B1375" s="2" t="s">
        <v>162</v>
      </c>
      <c r="C1375" s="2" t="n">
        <v>2</v>
      </c>
      <c r="D1375" s="2" t="n">
        <v>1</v>
      </c>
      <c r="E1375" s="2" t="n">
        <v>1</v>
      </c>
      <c r="F1375" s="2" t="n">
        <v>49</v>
      </c>
      <c r="G1375" s="2" t="s">
        <v>464</v>
      </c>
      <c r="H1375" s="2" t="str">
        <f aca="false">IFERROR(__xludf.dummyfunction("IF(I1387="""", """", REGEXEXTRACT(I1387, ""Padrao/([^/]+)""))"),"Jardim Palma Travassos")</f>
        <v>Jardim Palma Travassos</v>
      </c>
    </row>
    <row r="1376" customFormat="false" ht="15.75" hidden="false" customHeight="false" outlineLevel="0" collapsed="false">
      <c r="A1376" s="2" t="n">
        <v>128660</v>
      </c>
      <c r="B1376" s="2" t="s">
        <v>1246</v>
      </c>
      <c r="C1376" s="2" t="n">
        <v>2</v>
      </c>
      <c r="D1376" s="2" t="n">
        <v>1</v>
      </c>
      <c r="E1376" s="2" t="n">
        <v>1</v>
      </c>
      <c r="F1376" s="2" t="n">
        <v>46</v>
      </c>
      <c r="G1376" s="2" t="s">
        <v>464</v>
      </c>
      <c r="H1376" s="2" t="str">
        <f aca="false">IFERROR(__xludf.dummyfunction("IF(I1388="""", """", REGEXEXTRACT(I1388, ""Padrao/([^/]+)""))"),"Ribeirania")</f>
        <v>Ribeirania</v>
      </c>
    </row>
    <row r="1377" customFormat="false" ht="15.75" hidden="false" customHeight="false" outlineLevel="0" collapsed="false">
      <c r="A1377" s="2" t="n">
        <v>128471</v>
      </c>
      <c r="B1377" s="2" t="s">
        <v>851</v>
      </c>
      <c r="C1377" s="2" t="n">
        <v>2</v>
      </c>
      <c r="D1377" s="2" t="n">
        <v>1</v>
      </c>
      <c r="E1377" s="2" t="n">
        <v>1</v>
      </c>
      <c r="F1377" s="2" t="n">
        <v>46</v>
      </c>
      <c r="G1377" s="2" t="s">
        <v>464</v>
      </c>
      <c r="H1377" s="2" t="str">
        <f aca="false">IFERROR(__xludf.dummyfunction("IF(I1389="""", """", REGEXEXTRACT(I1389, ""Padrao/([^/]+)""))"),"Ipiranga")</f>
        <v>Ipiranga</v>
      </c>
    </row>
    <row r="1378" customFormat="false" ht="15.75" hidden="false" customHeight="false" outlineLevel="0" collapsed="false">
      <c r="A1378" s="2" t="n">
        <v>127733</v>
      </c>
      <c r="B1378" s="2" t="s">
        <v>162</v>
      </c>
      <c r="C1378" s="2" t="n">
        <v>2</v>
      </c>
      <c r="D1378" s="2" t="n">
        <v>1</v>
      </c>
      <c r="E1378" s="2" t="n">
        <v>1</v>
      </c>
      <c r="F1378" s="2" t="n">
        <v>45</v>
      </c>
      <c r="G1378" s="2" t="s">
        <v>464</v>
      </c>
      <c r="H1378" s="2" t="str">
        <f aca="false">IFERROR(__xludf.dummyfunction("IF(I1390="""", """", REGEXEXTRACT(I1390, ""Padrao/([^/]+)""))"),"Republica")</f>
        <v>Republica</v>
      </c>
    </row>
    <row r="1379" customFormat="false" ht="15.75" hidden="false" customHeight="false" outlineLevel="0" collapsed="false">
      <c r="A1379" s="2" t="n">
        <v>127355</v>
      </c>
      <c r="B1379" s="2" t="s">
        <v>162</v>
      </c>
      <c r="C1379" s="2" t="n">
        <v>2</v>
      </c>
      <c r="D1379" s="2" t="n">
        <v>1</v>
      </c>
      <c r="E1379" s="2" t="n">
        <v>1</v>
      </c>
      <c r="F1379" s="2" t="n">
        <v>42</v>
      </c>
      <c r="G1379" s="2" t="s">
        <v>464</v>
      </c>
      <c r="H1379" s="2" t="str">
        <f aca="false">IFERROR(__xludf.dummyfunction("IF(I1391="""", """", REGEXEXTRACT(I1391, ""Padrao/([^/]+)""))"),"Jardim Manoel Penna")</f>
        <v>Jardim Manoel Penna</v>
      </c>
    </row>
    <row r="1380" customFormat="false" ht="15.75" hidden="false" customHeight="false" outlineLevel="0" collapsed="false">
      <c r="A1380" s="2" t="n">
        <v>126818</v>
      </c>
      <c r="B1380" s="2" t="s">
        <v>1247</v>
      </c>
      <c r="C1380" s="2" t="n">
        <v>1</v>
      </c>
      <c r="D1380" s="2" t="n">
        <v>1</v>
      </c>
      <c r="E1380" s="2" t="n">
        <v>1</v>
      </c>
      <c r="F1380" s="2" t="n">
        <v>57</v>
      </c>
      <c r="G1380" s="2" t="s">
        <v>464</v>
      </c>
      <c r="H1380" s="2" t="str">
        <f aca="false">IFERROR(__xludf.dummyfunction("IF(I1392="""", """", REGEXEXTRACT(I1392, ""Padrao/([^/]+)""))"),"Jardim Paulista")</f>
        <v>Jardim Paulista</v>
      </c>
    </row>
    <row r="1381" customFormat="false" ht="15.75" hidden="false" customHeight="false" outlineLevel="0" collapsed="false">
      <c r="A1381" s="2" t="n">
        <v>126611</v>
      </c>
      <c r="B1381" s="2" t="s">
        <v>1248</v>
      </c>
      <c r="C1381" s="2" t="n">
        <v>2</v>
      </c>
      <c r="D1381" s="2" t="n">
        <v>1</v>
      </c>
      <c r="E1381" s="2" t="n">
        <v>1</v>
      </c>
      <c r="F1381" s="2" t="n">
        <v>49</v>
      </c>
      <c r="G1381" s="2" t="s">
        <v>464</v>
      </c>
      <c r="H1381" s="2" t="str">
        <f aca="false">IFERROR(__xludf.dummyfunction("IF(I1393="""", """", REGEXEXTRACT(I1393, ""Padrao/([^/]+)""))"),"Jardim Santa Cecilia")</f>
        <v>Jardim Santa Cecilia</v>
      </c>
    </row>
    <row r="1382" customFormat="false" ht="15.75" hidden="false" customHeight="false" outlineLevel="0" collapsed="false">
      <c r="A1382" s="2" t="n">
        <v>123926</v>
      </c>
      <c r="B1382" s="2" t="s">
        <v>162</v>
      </c>
      <c r="C1382" s="2" t="n">
        <v>2</v>
      </c>
      <c r="D1382" s="2" t="n">
        <v>1</v>
      </c>
      <c r="E1382" s="2" t="n">
        <v>1</v>
      </c>
      <c r="F1382" s="2" t="n">
        <v>45</v>
      </c>
      <c r="G1382" s="2" t="s">
        <v>464</v>
      </c>
      <c r="H1382" s="2" t="str">
        <f aca="false">IFERROR(__xludf.dummyfunction("IF(I1394="""", """", REGEXEXTRACT(I1394, ""Padrao/([^/]+)""))"),"Jardim Heitor Rigon")</f>
        <v>Jardim Heitor Rigon</v>
      </c>
    </row>
    <row r="1383" customFormat="false" ht="15.75" hidden="false" customHeight="false" outlineLevel="0" collapsed="false">
      <c r="A1383" s="2" t="n">
        <v>121352</v>
      </c>
      <c r="B1383" s="2" t="s">
        <v>866</v>
      </c>
      <c r="C1383" s="2" t="n">
        <v>1</v>
      </c>
      <c r="D1383" s="2" t="n">
        <v>1</v>
      </c>
      <c r="E1383" s="2" t="n">
        <v>1</v>
      </c>
      <c r="F1383" s="2" t="n">
        <v>45</v>
      </c>
      <c r="G1383" s="2" t="s">
        <v>464</v>
      </c>
      <c r="H1383" s="2" t="str">
        <f aca="false">IFERROR(__xludf.dummyfunction("IF(I1395="""", """", REGEXEXTRACT(I1395, ""Padrao/([^/]+)""))"),"Vila Monte Alegre")</f>
        <v>Vila Monte Alegre</v>
      </c>
    </row>
    <row r="1384" customFormat="false" ht="15.75" hidden="false" customHeight="false" outlineLevel="0" collapsed="false">
      <c r="A1384" s="2" t="n">
        <v>120269</v>
      </c>
      <c r="B1384" s="2" t="s">
        <v>1249</v>
      </c>
      <c r="C1384" s="2" t="n">
        <v>1</v>
      </c>
      <c r="D1384" s="2" t="n">
        <v>2</v>
      </c>
      <c r="E1384" s="2" t="n">
        <v>1</v>
      </c>
      <c r="F1384" s="2" t="n">
        <v>47</v>
      </c>
      <c r="G1384" s="2" t="s">
        <v>464</v>
      </c>
      <c r="H1384" s="2" t="str">
        <f aca="false">IFERROR(__xludf.dummyfunction("IF(I1396="""", """", REGEXEXTRACT(I1396, ""Padrao/([^/]+)""))"),"Jardim Macedo")</f>
        <v>Jardim Macedo</v>
      </c>
    </row>
    <row r="1385" customFormat="false" ht="15.75" hidden="false" customHeight="false" outlineLevel="0" collapsed="false">
      <c r="A1385" s="2" t="n">
        <v>118085</v>
      </c>
      <c r="B1385" s="2" t="s">
        <v>1250</v>
      </c>
      <c r="C1385" s="2" t="n">
        <v>2</v>
      </c>
      <c r="D1385" s="2" t="n">
        <v>1</v>
      </c>
      <c r="E1385" s="2" t="n">
        <v>1</v>
      </c>
      <c r="F1385" s="2" t="n">
        <v>48</v>
      </c>
      <c r="G1385" s="2" t="s">
        <v>464</v>
      </c>
      <c r="H1385" s="2" t="str">
        <f aca="false">IFERROR(__xludf.dummyfunction("IF(I1397="""", """", REGEXEXTRACT(I1397, ""Padrao/([^/]+)""))"),"Residencial Jequitiba")</f>
        <v>Residencial Jequitiba</v>
      </c>
    </row>
    <row r="1386" customFormat="false" ht="15.75" hidden="false" customHeight="false" outlineLevel="0" collapsed="false">
      <c r="A1386" s="2" t="n">
        <v>109955</v>
      </c>
      <c r="B1386" s="2" t="s">
        <v>1251</v>
      </c>
      <c r="C1386" s="2" t="n">
        <v>2</v>
      </c>
      <c r="D1386" s="2" t="n">
        <v>1</v>
      </c>
      <c r="E1386" s="2" t="n">
        <v>1</v>
      </c>
      <c r="F1386" s="2" t="n">
        <v>46</v>
      </c>
      <c r="G1386" s="2" t="s">
        <v>464</v>
      </c>
      <c r="H1386" s="2" t="str">
        <f aca="false">IFERROR(__xludf.dummyfunction("IF(I1398="""", """", REGEXEXTRACT(I1398, ""Padrao/([^/]+)""))"),"Vila Abranches")</f>
        <v>Vila Abranches</v>
      </c>
    </row>
    <row r="1387" customFormat="false" ht="15.75" hidden="false" customHeight="false" outlineLevel="0" collapsed="false">
      <c r="A1387" s="2" t="n">
        <v>107099</v>
      </c>
      <c r="B1387" s="2" t="s">
        <v>1252</v>
      </c>
      <c r="C1387" s="2" t="n">
        <v>1</v>
      </c>
      <c r="D1387" s="2" t="n">
        <v>1</v>
      </c>
      <c r="E1387" s="2" t="n">
        <v>1</v>
      </c>
      <c r="F1387" s="2" t="n">
        <v>46</v>
      </c>
      <c r="G1387" s="2" t="s">
        <v>464</v>
      </c>
      <c r="H1387" s="2" t="str">
        <f aca="false">IFERROR(__xludf.dummyfunction("IF(I1399="""", """", REGEXEXTRACT(I1399, ""Padrao/([^/]+)""))"),"Centro")</f>
        <v>Centro</v>
      </c>
    </row>
    <row r="1388" customFormat="false" ht="15.75" hidden="false" customHeight="false" outlineLevel="0" collapsed="false">
      <c r="A1388" s="2" t="n">
        <v>103841</v>
      </c>
      <c r="B1388" s="2" t="s">
        <v>162</v>
      </c>
      <c r="C1388" s="2" t="n">
        <v>2</v>
      </c>
      <c r="D1388" s="2" t="n">
        <v>1</v>
      </c>
      <c r="E1388" s="2" t="n">
        <v>1</v>
      </c>
      <c r="F1388" s="2" t="n">
        <v>44</v>
      </c>
      <c r="G1388" s="2" t="s">
        <v>464</v>
      </c>
      <c r="H1388" s="2" t="str">
        <f aca="false">IFERROR(__xludf.dummyfunction("IF(I1400="""", """", REGEXEXTRACT(I1400, ""Padrao/([^/]+)""))"),"Residencial Greenville")</f>
        <v>Residencial Greenville</v>
      </c>
    </row>
    <row r="1389" customFormat="false" ht="15.75" hidden="false" customHeight="false" outlineLevel="0" collapsed="false">
      <c r="A1389" s="2" t="n">
        <v>103706</v>
      </c>
      <c r="B1389" s="2" t="s">
        <v>1253</v>
      </c>
      <c r="C1389" s="2" t="n">
        <v>2</v>
      </c>
      <c r="D1389" s="2" t="n">
        <v>1</v>
      </c>
      <c r="E1389" s="2" t="n">
        <v>1</v>
      </c>
      <c r="F1389" s="2" t="n">
        <v>60</v>
      </c>
      <c r="G1389" s="2" t="s">
        <v>464</v>
      </c>
      <c r="H1389" s="2" t="str">
        <f aca="false">IFERROR(__xludf.dummyfunction("IF(I1401="""", """", REGEXEXTRACT(I1401, ""Padrao/([^/]+)""))"),"Vila Amelia")</f>
        <v>Vila Amelia</v>
      </c>
    </row>
    <row r="1390" customFormat="false" ht="15.75" hidden="false" customHeight="false" outlineLevel="0" collapsed="false">
      <c r="A1390" s="2" t="n">
        <v>98123</v>
      </c>
      <c r="B1390" s="2" t="s">
        <v>162</v>
      </c>
      <c r="C1390" s="2" t="n">
        <v>2</v>
      </c>
      <c r="D1390" s="2" t="n">
        <v>1</v>
      </c>
      <c r="E1390" s="2" t="n">
        <v>1</v>
      </c>
      <c r="F1390" s="2" t="n">
        <v>48</v>
      </c>
      <c r="G1390" s="2" t="s">
        <v>464</v>
      </c>
      <c r="H1390" s="2" t="str">
        <f aca="false">IFERROR(__xludf.dummyfunction("IF(I1402="""", """", REGEXEXTRACT(I1402, ""Padrao/([^/]+)""))"),"Vila Virginia")</f>
        <v>Vila Virginia</v>
      </c>
    </row>
    <row r="1391" customFormat="false" ht="15.75" hidden="false" customHeight="false" outlineLevel="0" collapsed="false">
      <c r="A1391" s="2" t="n">
        <v>97214</v>
      </c>
      <c r="B1391" s="2" t="s">
        <v>1254</v>
      </c>
      <c r="C1391" s="2" t="n">
        <v>2</v>
      </c>
      <c r="D1391" s="2" t="n">
        <v>1</v>
      </c>
      <c r="E1391" s="2" t="n">
        <v>1</v>
      </c>
      <c r="F1391" s="2" t="n">
        <v>45</v>
      </c>
      <c r="G1391" s="2" t="s">
        <v>464</v>
      </c>
      <c r="H1391" s="2" t="str">
        <f aca="false">IFERROR(__xludf.dummyfunction("IF(I1403="""", """", REGEXEXTRACT(I1403, ""Padrao/([^/]+)""))"),"Republica")</f>
        <v>Republica</v>
      </c>
    </row>
    <row r="1392" customFormat="false" ht="15.75" hidden="false" customHeight="false" outlineLevel="0" collapsed="false">
      <c r="A1392" s="2" t="n">
        <v>97085</v>
      </c>
      <c r="B1392" s="2" t="s">
        <v>864</v>
      </c>
      <c r="C1392" s="2" t="n">
        <v>2</v>
      </c>
      <c r="D1392" s="2" t="n">
        <v>1</v>
      </c>
      <c r="E1392" s="2" t="n">
        <v>1</v>
      </c>
      <c r="F1392" s="2" t="n">
        <v>48</v>
      </c>
      <c r="G1392" s="2" t="s">
        <v>464</v>
      </c>
      <c r="H1392" s="2" t="str">
        <f aca="false">IFERROR(__xludf.dummyfunction("IF(I1404="""", """", REGEXEXTRACT(I1404, ""Padrao/([^/]+)""))"),"Alto do Ipiranga")</f>
        <v>Alto do Ipiranga</v>
      </c>
    </row>
    <row r="1393" customFormat="false" ht="15.75" hidden="false" customHeight="false" outlineLevel="0" collapsed="false">
      <c r="A1393" s="2" t="n">
        <v>92888</v>
      </c>
      <c r="B1393" s="2" t="s">
        <v>162</v>
      </c>
      <c r="C1393" s="2" t="n">
        <v>1</v>
      </c>
      <c r="D1393" s="2" t="n">
        <v>1</v>
      </c>
      <c r="E1393" s="2" t="n">
        <v>1</v>
      </c>
      <c r="F1393" s="2" t="n">
        <v>43</v>
      </c>
      <c r="G1393" s="2" t="s">
        <v>464</v>
      </c>
      <c r="H1393" s="2" t="str">
        <f aca="false">IFERROR(__xludf.dummyfunction("IF(I1405="""", """", REGEXEXTRACT(I1405, ""Padrao/([^/]+)""))"),"Jardim Iraja")</f>
        <v>Jardim Iraja</v>
      </c>
    </row>
    <row r="1394" customFormat="false" ht="15.75" hidden="false" customHeight="false" outlineLevel="0" collapsed="false">
      <c r="A1394" s="2" t="n">
        <v>91694</v>
      </c>
      <c r="B1394" s="2" t="s">
        <v>1255</v>
      </c>
      <c r="C1394" s="2" t="n">
        <v>2</v>
      </c>
      <c r="D1394" s="2" t="n">
        <v>1</v>
      </c>
      <c r="E1394" s="2" t="n">
        <v>1</v>
      </c>
      <c r="F1394" s="2" t="n">
        <v>44</v>
      </c>
      <c r="G1394" s="2" t="s">
        <v>464</v>
      </c>
      <c r="H1394" s="2" t="str">
        <f aca="false">IFERROR(__xludf.dummyfunction("IF(I1406="""", """", REGEXEXTRACT(I1406, ""Padrao/([^/]+)""))"),"Residencial Greenville")</f>
        <v>Residencial Greenville</v>
      </c>
    </row>
    <row r="1395" customFormat="false" ht="15.75" hidden="false" customHeight="false" outlineLevel="0" collapsed="false">
      <c r="A1395" s="2" t="n">
        <v>91439</v>
      </c>
      <c r="B1395" s="2" t="s">
        <v>162</v>
      </c>
      <c r="C1395" s="2" t="n">
        <v>1</v>
      </c>
      <c r="D1395" s="2" t="n">
        <v>1</v>
      </c>
      <c r="E1395" s="2" t="n">
        <v>1</v>
      </c>
      <c r="F1395" s="2" t="n">
        <v>20</v>
      </c>
      <c r="G1395" s="2" t="s">
        <v>464</v>
      </c>
      <c r="H1395" s="2" t="str">
        <f aca="false">IFERROR(__xludf.dummyfunction("IF(I1407="""", """", REGEXEXTRACT(I1407, ""Padrao/([^/]+)""))"),"Jardim Paulista")</f>
        <v>Jardim Paulista</v>
      </c>
    </row>
    <row r="1396" customFormat="false" ht="15.75" hidden="false" customHeight="false" outlineLevel="0" collapsed="false">
      <c r="A1396" s="2" t="n">
        <v>87194</v>
      </c>
      <c r="B1396" s="2" t="s">
        <v>1256</v>
      </c>
      <c r="C1396" s="2" t="n">
        <v>2</v>
      </c>
      <c r="D1396" s="2" t="n">
        <v>1</v>
      </c>
      <c r="E1396" s="2" t="n">
        <v>1</v>
      </c>
      <c r="F1396" s="2" t="n">
        <v>46</v>
      </c>
      <c r="G1396" s="2" t="s">
        <v>464</v>
      </c>
      <c r="H1396" s="2" t="str">
        <f aca="false">IFERROR(__xludf.dummyfunction("IF(I1408="""", """", REGEXEXTRACT(I1408, ""Padrao/([^/]+)""))"),"Campos Eliseos")</f>
        <v>Campos Eliseos</v>
      </c>
    </row>
    <row r="1397" customFormat="false" ht="15.75" hidden="false" customHeight="false" outlineLevel="0" collapsed="false">
      <c r="A1397" s="2" t="n">
        <v>82595</v>
      </c>
      <c r="B1397" s="2" t="s">
        <v>402</v>
      </c>
      <c r="C1397" s="2" t="n">
        <v>2</v>
      </c>
      <c r="D1397" s="2" t="n">
        <v>1</v>
      </c>
      <c r="E1397" s="2" t="n">
        <v>1</v>
      </c>
      <c r="F1397" s="2" t="n">
        <v>50</v>
      </c>
      <c r="G1397" s="2" t="s">
        <v>464</v>
      </c>
      <c r="H1397" s="2" t="str">
        <f aca="false">IFERROR(__xludf.dummyfunction("IF(I1409="""", """", REGEXEXTRACT(I1409, ""Padrao/([^/]+)""))"),"Vila Virginia")</f>
        <v>Vila Virginia</v>
      </c>
    </row>
    <row r="1398" customFormat="false" ht="15.75" hidden="false" customHeight="false" outlineLevel="0" collapsed="false">
      <c r="A1398" s="2" t="n">
        <v>78215</v>
      </c>
      <c r="B1398" s="2" t="s">
        <v>1257</v>
      </c>
      <c r="C1398" s="2" t="n">
        <v>2</v>
      </c>
      <c r="D1398" s="2" t="n">
        <v>1</v>
      </c>
      <c r="E1398" s="2" t="n">
        <v>1</v>
      </c>
      <c r="F1398" s="2" t="n">
        <v>58</v>
      </c>
      <c r="G1398" s="2" t="s">
        <v>464</v>
      </c>
      <c r="H1398" s="2" t="str">
        <f aca="false">IFERROR(__xludf.dummyfunction("IF(I1410="""", """", REGEXEXTRACT(I1410, ""Padrao/([^/]+)""))"),"Jardim Zara")</f>
        <v>Jardim Zara</v>
      </c>
    </row>
    <row r="1399" customFormat="false" ht="15.75" hidden="false" customHeight="false" outlineLevel="0" collapsed="false">
      <c r="A1399" s="2" t="n">
        <v>77144</v>
      </c>
      <c r="B1399" s="2" t="s">
        <v>1258</v>
      </c>
      <c r="C1399" s="2" t="n">
        <v>2</v>
      </c>
      <c r="D1399" s="2" t="n">
        <v>1</v>
      </c>
      <c r="E1399" s="2" t="n">
        <v>1</v>
      </c>
      <c r="F1399" s="2" t="n">
        <v>47</v>
      </c>
      <c r="G1399" s="2" t="s">
        <v>464</v>
      </c>
      <c r="H1399" s="2" t="str">
        <f aca="false">IFERROR(__xludf.dummyfunction("IF(I1411="""", """", REGEXEXTRACT(I1411, ""Padrao/([^/]+)""))"),"Parque dos Lagos")</f>
        <v>Parque dos Lagos</v>
      </c>
    </row>
    <row r="1400" customFormat="false" ht="15.75" hidden="false" customHeight="false" outlineLevel="0" collapsed="false">
      <c r="A1400" s="2" t="n">
        <v>73721</v>
      </c>
      <c r="B1400" s="2" t="s">
        <v>1259</v>
      </c>
      <c r="C1400" s="2" t="n">
        <v>1</v>
      </c>
      <c r="D1400" s="2" t="n">
        <v>1</v>
      </c>
      <c r="E1400" s="2" t="n">
        <v>1</v>
      </c>
      <c r="F1400" s="2" t="n">
        <v>38</v>
      </c>
      <c r="G1400" s="2" t="s">
        <v>464</v>
      </c>
      <c r="H1400" s="2" t="str">
        <f aca="false">IFERROR(__xludf.dummyfunction("IF(I1412="""", """", REGEXEXTRACT(I1412, ""Padrao/([^/]+)""))"),"Presidente Medici")</f>
        <v>Presidente Medici</v>
      </c>
    </row>
    <row r="1401" customFormat="false" ht="15.75" hidden="false" customHeight="false" outlineLevel="0" collapsed="false">
      <c r="A1401" s="2" t="n">
        <v>64700</v>
      </c>
      <c r="B1401" s="2" t="s">
        <v>1260</v>
      </c>
      <c r="C1401" s="2" t="n">
        <v>1</v>
      </c>
      <c r="D1401" s="2" t="n">
        <v>1</v>
      </c>
      <c r="E1401" s="2" t="n">
        <v>1</v>
      </c>
      <c r="F1401" s="2" t="n">
        <v>35</v>
      </c>
      <c r="G1401" s="2" t="s">
        <v>464</v>
      </c>
      <c r="H1401" s="2" t="str">
        <f aca="false">IFERROR(__xludf.dummyfunction("IF(I1413="""", """", REGEXEXTRACT(I1413, ""Padrao/([^/]+)""))"),"Jardim California")</f>
        <v>Jardim California</v>
      </c>
    </row>
    <row r="1402" customFormat="false" ht="15.75" hidden="false" customHeight="false" outlineLevel="0" collapsed="false">
      <c r="A1402" s="2" t="n">
        <v>51857</v>
      </c>
      <c r="B1402" s="2" t="s">
        <v>1261</v>
      </c>
      <c r="C1402" s="2" t="n">
        <v>1</v>
      </c>
      <c r="D1402" s="2" t="n">
        <v>1</v>
      </c>
      <c r="E1402" s="2" t="n">
        <v>1</v>
      </c>
      <c r="F1402" s="2" t="n">
        <v>31</v>
      </c>
      <c r="G1402" s="2" t="s">
        <v>464</v>
      </c>
      <c r="H1402" s="2" t="str">
        <f aca="false">IFERROR(__xludf.dummyfunction("IF(I1414="""", """", REGEXEXTRACT(I1414, ""Padrao/([^/]+)""))"),"Vila Ana Maria")</f>
        <v>Vila Ana Maria</v>
      </c>
    </row>
    <row r="1403" customFormat="false" ht="15.75" hidden="false" customHeight="false" outlineLevel="0" collapsed="false">
      <c r="A1403" s="2" t="n">
        <v>50723</v>
      </c>
      <c r="B1403" s="2" t="s">
        <v>1262</v>
      </c>
      <c r="C1403" s="2" t="n">
        <v>1</v>
      </c>
      <c r="D1403" s="2" t="n">
        <v>1</v>
      </c>
      <c r="E1403" s="2" t="n">
        <v>1</v>
      </c>
      <c r="F1403" s="2" t="n">
        <v>35</v>
      </c>
      <c r="G1403" s="2" t="s">
        <v>464</v>
      </c>
      <c r="H1403" s="2" t="str">
        <f aca="false">IFERROR(__xludf.dummyfunction("IF(I1415="""", """", REGEXEXTRACT(I1415, ""Padrao/([^/]+)""))"),"Jardim Palma Travassos")</f>
        <v>Jardim Palma Travassos</v>
      </c>
    </row>
    <row r="1404" customFormat="false" ht="15.75" hidden="false" customHeight="false" outlineLevel="0" collapsed="false">
      <c r="A1404" s="2" t="n">
        <v>44471</v>
      </c>
      <c r="B1404" s="2" t="s">
        <v>1066</v>
      </c>
      <c r="C1404" s="2" t="n">
        <v>1</v>
      </c>
      <c r="D1404" s="2" t="n">
        <v>1</v>
      </c>
      <c r="E1404" s="2" t="n">
        <v>1</v>
      </c>
      <c r="F1404" s="2" t="n">
        <v>36</v>
      </c>
      <c r="G1404" s="2" t="s">
        <v>464</v>
      </c>
      <c r="H1404" s="2" t="str">
        <f aca="false">IFERROR(__xludf.dummyfunction("IF(I1416="""", """", REGEXEXTRACT(I1416, ""Padrao/([^/]+)""))"),"Parque Industrial Lagoinha")</f>
        <v>Parque Industrial Lagoinha</v>
      </c>
    </row>
    <row r="1405" customFormat="false" ht="15.75" hidden="false" customHeight="false" outlineLevel="0" collapsed="false">
      <c r="A1405" s="2" t="n">
        <v>27248</v>
      </c>
      <c r="B1405" s="2" t="s">
        <v>958</v>
      </c>
      <c r="C1405" s="2" t="n">
        <v>1</v>
      </c>
      <c r="D1405" s="2" t="n">
        <v>1</v>
      </c>
      <c r="E1405" s="2" t="n">
        <v>1</v>
      </c>
      <c r="F1405" s="2" t="n">
        <v>25</v>
      </c>
      <c r="G1405" s="2" t="s">
        <v>464</v>
      </c>
      <c r="H1405" s="2" t="str">
        <f aca="false">IFERROR(__xludf.dummyfunction("IF(I1417="""", """", REGEXEXTRACT(I1417, ""Padrao/([^/]+)""))"),"Parque Industrial Lagoinha")</f>
        <v>Parque Industrial Lagoinha</v>
      </c>
    </row>
    <row r="1406" customFormat="false" ht="15.75" hidden="false" customHeight="false" outlineLevel="0" collapsed="false">
      <c r="A1406" s="2" t="n">
        <v>25481</v>
      </c>
      <c r="B1406" s="2" t="s">
        <v>1263</v>
      </c>
      <c r="C1406" s="2" t="n">
        <v>1</v>
      </c>
      <c r="D1406" s="2" t="n">
        <v>1</v>
      </c>
      <c r="E1406" s="2" t="n">
        <v>1</v>
      </c>
      <c r="F1406" s="2" t="n">
        <v>46</v>
      </c>
      <c r="G1406" s="2" t="s">
        <v>464</v>
      </c>
      <c r="H1406" s="2" t="str">
        <f aca="false">IFERROR(__xludf.dummyfunction("IF(I1418="""", """", REGEXEXTRACT(I1418, ""Padrao/([^/]+)""))"),"Parque Industrial Lagoinha")</f>
        <v>Parque Industrial Lagoinha</v>
      </c>
    </row>
    <row r="1407" customFormat="false" ht="15.75" hidden="false" customHeight="false" outlineLevel="0" collapsed="false">
      <c r="A1407" s="2" t="n">
        <v>15500</v>
      </c>
      <c r="B1407" s="2" t="s">
        <v>1264</v>
      </c>
      <c r="C1407" s="2" t="n">
        <v>2</v>
      </c>
      <c r="D1407" s="2" t="n">
        <v>2</v>
      </c>
      <c r="E1407" s="2" t="n">
        <v>1</v>
      </c>
      <c r="F1407" s="2" t="n">
        <v>67</v>
      </c>
      <c r="G1407" s="2" t="s">
        <v>464</v>
      </c>
      <c r="H1407" s="2" t="str">
        <f aca="false">IFERROR(__xludf.dummyfunction("IF(I1419="""", """", REGEXEXTRACT(I1419, ""Padrao/([^/]+)""))"),"Jardim Anhanguera")</f>
        <v>Jardim Anhanguera</v>
      </c>
    </row>
    <row r="1408" customFormat="false" ht="15.75" hidden="false" customHeight="false" outlineLevel="0" collapsed="false">
      <c r="A1408" s="2" t="n">
        <v>236204</v>
      </c>
      <c r="B1408" s="2" t="s">
        <v>1265</v>
      </c>
      <c r="C1408" s="2" t="n">
        <v>2</v>
      </c>
      <c r="D1408" s="2" t="n">
        <v>1</v>
      </c>
      <c r="E1408" s="2" t="n">
        <v>1</v>
      </c>
      <c r="F1408" s="2" t="n">
        <v>43</v>
      </c>
      <c r="G1408" s="2" t="s">
        <v>1266</v>
      </c>
      <c r="H1408" s="2" t="str">
        <f aca="false">IFERROR(__xludf.dummyfunction("IF(I1420="""", """", REGEXEXTRACT(I1420, ""Padrao/([^/]+)""))"),"Jardim Heitor Rigon")</f>
        <v>Jardim Heitor Rigon</v>
      </c>
    </row>
    <row r="1409" customFormat="false" ht="15.75" hidden="false" customHeight="false" outlineLevel="0" collapsed="false">
      <c r="A1409" s="2" t="n">
        <v>229817</v>
      </c>
      <c r="B1409" s="2" t="s">
        <v>1267</v>
      </c>
      <c r="C1409" s="2" t="n">
        <v>2</v>
      </c>
      <c r="D1409" s="2" t="n">
        <v>1</v>
      </c>
      <c r="E1409" s="2" t="n">
        <v>1</v>
      </c>
      <c r="F1409" s="2" t="n">
        <v>45</v>
      </c>
      <c r="G1409" s="2" t="s">
        <v>1266</v>
      </c>
      <c r="H1409" s="2" t="str">
        <f aca="false">IFERROR(__xludf.dummyfunction("IF(I1421="""", """", REGEXEXTRACT(I1421, ""Padrao/([^/]+)""))"),"Reserva Macauba")</f>
        <v>Reserva Macauba</v>
      </c>
    </row>
    <row r="1410" customFormat="false" ht="15.75" hidden="false" customHeight="false" outlineLevel="0" collapsed="false">
      <c r="A1410" s="2" t="n">
        <v>146018</v>
      </c>
      <c r="B1410" s="2" t="s">
        <v>1268</v>
      </c>
      <c r="C1410" s="2" t="n">
        <v>2</v>
      </c>
      <c r="D1410" s="2" t="n">
        <v>1</v>
      </c>
      <c r="E1410" s="2" t="n">
        <v>1</v>
      </c>
      <c r="F1410" s="2" t="n">
        <v>46</v>
      </c>
      <c r="G1410" s="2" t="s">
        <v>1266</v>
      </c>
      <c r="H1410" s="2" t="str">
        <f aca="false">IFERROR(__xludf.dummyfunction("IF(I1422="""", """", REGEXEXTRACT(I1422, ""Padrao/([^/]+)""))"),"Jardim Heitor Rigon")</f>
        <v>Jardim Heitor Rigon</v>
      </c>
    </row>
    <row r="1411" customFormat="false" ht="15.75" hidden="false" customHeight="false" outlineLevel="0" collapsed="false">
      <c r="A1411" s="2" t="n">
        <v>67175</v>
      </c>
      <c r="B1411" s="2" t="s">
        <v>1060</v>
      </c>
      <c r="C1411" s="2" t="n">
        <v>1</v>
      </c>
      <c r="D1411" s="2" t="n">
        <v>1</v>
      </c>
      <c r="E1411" s="2" t="n">
        <v>1</v>
      </c>
      <c r="F1411" s="2" t="n">
        <v>38</v>
      </c>
      <c r="G1411" s="2" t="s">
        <v>459</v>
      </c>
      <c r="H1411" s="2" t="str">
        <f aca="false">IFERROR(__xludf.dummyfunction("IF(I1423="""", """", REGEXEXTRACT(I1423, ""Padrao/([^/]+)""))"),"Parque Industrial Lagoinha")</f>
        <v>Parque Industrial Lagoinha</v>
      </c>
    </row>
    <row r="1412" customFormat="false" ht="15.75" hidden="false" customHeight="false" outlineLevel="0" collapsed="false">
      <c r="A1412" s="2" t="n">
        <v>145682</v>
      </c>
      <c r="B1412" s="2" t="s">
        <v>1269</v>
      </c>
      <c r="C1412" s="2" t="n">
        <v>2</v>
      </c>
      <c r="D1412" s="2" t="n">
        <v>1</v>
      </c>
      <c r="E1412" s="2" t="n">
        <v>1</v>
      </c>
      <c r="F1412" s="2" t="n">
        <v>49</v>
      </c>
      <c r="G1412" s="2" t="s">
        <v>1151</v>
      </c>
      <c r="H1412" s="2" t="str">
        <f aca="false">IFERROR(__xludf.dummyfunction("IF(I1424="""", """", REGEXEXTRACT(I1424, ""Padrao/([^/]+)""))"),"Jardim Macedo")</f>
        <v>Jardim Macedo</v>
      </c>
    </row>
    <row r="1413" customFormat="false" ht="15.75" hidden="false" customHeight="false" outlineLevel="0" collapsed="false">
      <c r="A1413" s="2" t="n">
        <v>244133</v>
      </c>
      <c r="B1413" s="2" t="s">
        <v>1270</v>
      </c>
      <c r="C1413" s="2" t="n">
        <v>2</v>
      </c>
      <c r="D1413" s="2" t="n">
        <v>1</v>
      </c>
      <c r="E1413" s="2" t="n">
        <v>1</v>
      </c>
      <c r="F1413" s="2" t="n">
        <v>46</v>
      </c>
      <c r="G1413" s="2" t="s">
        <v>470</v>
      </c>
      <c r="H1413" s="2" t="str">
        <f aca="false">IFERROR(__xludf.dummyfunction("IF(I1425="""", """", REGEXEXTRACT(I1425, ""Padrao/([^/]+)""))"),"Ribeirania")</f>
        <v>Ribeirania</v>
      </c>
    </row>
    <row r="1414" customFormat="false" ht="15.75" hidden="false" customHeight="false" outlineLevel="0" collapsed="false">
      <c r="A1414" s="2" t="n">
        <v>240959</v>
      </c>
      <c r="B1414" s="2" t="s">
        <v>1271</v>
      </c>
      <c r="C1414" s="2" t="n">
        <v>2</v>
      </c>
      <c r="D1414" s="2" t="n">
        <v>1</v>
      </c>
      <c r="E1414" s="2" t="n">
        <v>1</v>
      </c>
      <c r="F1414" s="2" t="n">
        <v>42</v>
      </c>
      <c r="G1414" s="2" t="s">
        <v>470</v>
      </c>
      <c r="H1414" s="2" t="str">
        <f aca="false">IFERROR(__xludf.dummyfunction("IF(I1426="""", """", REGEXEXTRACT(I1426, ""Padrao/([^/]+)""))"),"Jardim Maria Goretti")</f>
        <v>Jardim Maria Goretti</v>
      </c>
    </row>
    <row r="1415" customFormat="false" ht="15.75" hidden="false" customHeight="false" outlineLevel="0" collapsed="false">
      <c r="A1415" s="2" t="n">
        <v>236783</v>
      </c>
      <c r="B1415" s="2" t="s">
        <v>839</v>
      </c>
      <c r="C1415" s="2" t="n">
        <v>2</v>
      </c>
      <c r="D1415" s="2" t="n">
        <v>1</v>
      </c>
      <c r="E1415" s="2" t="n">
        <v>1</v>
      </c>
      <c r="F1415" s="2" t="n">
        <v>40</v>
      </c>
      <c r="G1415" s="2" t="s">
        <v>470</v>
      </c>
      <c r="H1415" s="2" t="str">
        <f aca="false">IFERROR(__xludf.dummyfunction("IF(I1427="""", """", REGEXEXTRACT(I1427, ""Padrao/([^/]+)""))"),"Jardim Itau")</f>
        <v>Jardim Itau</v>
      </c>
    </row>
    <row r="1416" customFormat="false" ht="15.75" hidden="false" customHeight="false" outlineLevel="0" collapsed="false">
      <c r="A1416" s="2" t="n">
        <v>227009</v>
      </c>
      <c r="B1416" s="2" t="s">
        <v>1272</v>
      </c>
      <c r="C1416" s="2" t="n">
        <v>2</v>
      </c>
      <c r="D1416" s="2" t="n">
        <v>1</v>
      </c>
      <c r="E1416" s="2" t="n">
        <v>1</v>
      </c>
      <c r="F1416" s="2" t="n">
        <v>41</v>
      </c>
      <c r="G1416" s="2" t="s">
        <v>470</v>
      </c>
      <c r="H1416" s="2" t="str">
        <f aca="false">IFERROR(__xludf.dummyfunction("IF(I1428="""", """", REGEXEXTRACT(I1428, ""Padrao/([^/]+)""))"),"Reserva Real")</f>
        <v>Reserva Real</v>
      </c>
    </row>
    <row r="1417" customFormat="false" ht="15.75" hidden="false" customHeight="false" outlineLevel="0" collapsed="false">
      <c r="A1417" s="2" t="n">
        <v>189044</v>
      </c>
      <c r="B1417" s="2" t="s">
        <v>1273</v>
      </c>
      <c r="C1417" s="2" t="n">
        <v>2</v>
      </c>
      <c r="D1417" s="2" t="n">
        <v>1</v>
      </c>
      <c r="E1417" s="2" t="n">
        <v>1</v>
      </c>
      <c r="F1417" s="2" t="n">
        <v>48</v>
      </c>
      <c r="G1417" s="2" t="s">
        <v>470</v>
      </c>
      <c r="H1417" s="2" t="str">
        <f aca="false">IFERROR(__xludf.dummyfunction("IF(I1429="""", """", REGEXEXTRACT(I1429, ""Padrao/([^/]+)""))"),"Jardim Manoel Penna")</f>
        <v>Jardim Manoel Penna</v>
      </c>
    </row>
    <row r="1418" customFormat="false" ht="15.75" hidden="false" customHeight="false" outlineLevel="0" collapsed="false">
      <c r="A1418" s="2" t="n">
        <v>181796</v>
      </c>
      <c r="B1418" s="2" t="s">
        <v>1274</v>
      </c>
      <c r="C1418" s="2" t="n">
        <v>2</v>
      </c>
      <c r="D1418" s="2" t="n">
        <v>1</v>
      </c>
      <c r="E1418" s="2" t="n">
        <v>1</v>
      </c>
      <c r="F1418" s="2" t="n">
        <v>42</v>
      </c>
      <c r="G1418" s="2" t="s">
        <v>470</v>
      </c>
      <c r="H1418" s="2" t="str">
        <f aca="false">IFERROR(__xludf.dummyfunction("IF(I1430="""", """", REGEXEXTRACT(I1430, ""Padrao/([^/]+)""))"),"Planalto Verde")</f>
        <v>Planalto Verde</v>
      </c>
    </row>
    <row r="1419" customFormat="false" ht="15.75" hidden="false" customHeight="false" outlineLevel="0" collapsed="false">
      <c r="A1419" s="2" t="n">
        <v>180326</v>
      </c>
      <c r="B1419" s="2" t="s">
        <v>1275</v>
      </c>
      <c r="C1419" s="2" t="n">
        <v>2</v>
      </c>
      <c r="D1419" s="2" t="n">
        <v>1</v>
      </c>
      <c r="E1419" s="2" t="n">
        <v>1</v>
      </c>
      <c r="F1419" s="2" t="n">
        <v>42</v>
      </c>
      <c r="G1419" s="2" t="s">
        <v>470</v>
      </c>
      <c r="H1419" s="2" t="str">
        <f aca="false">IFERROR(__xludf.dummyfunction("IF(I1431="""", """", REGEXEXTRACT(I1431, ""Padrao/([^/]+)""))"),"Jardim Jose Wilson Toni")</f>
        <v>Jardim Jose Wilson Toni</v>
      </c>
    </row>
    <row r="1420" customFormat="false" ht="15.75" hidden="false" customHeight="false" outlineLevel="0" collapsed="false">
      <c r="A1420" s="2" t="n">
        <v>166259</v>
      </c>
      <c r="B1420" s="2" t="s">
        <v>1276</v>
      </c>
      <c r="C1420" s="2" t="n">
        <v>2</v>
      </c>
      <c r="D1420" s="2" t="n">
        <v>1</v>
      </c>
      <c r="E1420" s="2" t="n">
        <v>1</v>
      </c>
      <c r="F1420" s="2" t="n">
        <v>43</v>
      </c>
      <c r="G1420" s="2" t="s">
        <v>470</v>
      </c>
      <c r="H1420" s="2" t="str">
        <f aca="false">IFERROR(__xludf.dummyfunction("IF(I1432="""", """", REGEXEXTRACT(I1432, ""Padrao/([^/]+)""))"),"Residencial Parque dos Servidores")</f>
        <v>Residencial Parque dos Servidores</v>
      </c>
    </row>
    <row r="1421" customFormat="false" ht="15.75" hidden="false" customHeight="false" outlineLevel="0" collapsed="false">
      <c r="A1421" s="2" t="n">
        <v>158516</v>
      </c>
      <c r="B1421" s="2" t="s">
        <v>162</v>
      </c>
      <c r="C1421" s="2" t="n">
        <v>2</v>
      </c>
      <c r="D1421" s="2" t="n">
        <v>1</v>
      </c>
      <c r="E1421" s="2" t="n">
        <v>1</v>
      </c>
      <c r="F1421" s="2" t="n">
        <v>41</v>
      </c>
      <c r="G1421" s="2" t="s">
        <v>470</v>
      </c>
      <c r="H1421" s="2" t="str">
        <f aca="false">IFERROR(__xludf.dummyfunction("IF(I1433="""", """", REGEXEXTRACT(I1433, ""Padrao/([^/]+)""))"),"Residencial Jequitiba")</f>
        <v>Residencial Jequitiba</v>
      </c>
    </row>
    <row r="1422" customFormat="false" ht="15.75" hidden="false" customHeight="false" outlineLevel="0" collapsed="false">
      <c r="A1422" s="2" t="n">
        <v>155891</v>
      </c>
      <c r="B1422" s="2" t="s">
        <v>849</v>
      </c>
      <c r="C1422" s="2" t="n">
        <v>2</v>
      </c>
      <c r="D1422" s="2" t="n">
        <v>1</v>
      </c>
      <c r="E1422" s="2" t="n">
        <v>1</v>
      </c>
      <c r="F1422" s="2" t="n">
        <v>42</v>
      </c>
      <c r="G1422" s="2" t="s">
        <v>470</v>
      </c>
      <c r="H1422" s="2" t="str">
        <f aca="false">IFERROR(__xludf.dummyfunction("IF(I1434="""", """", REGEXEXTRACT(I1434, ""Padrao/([^/]+)""))"),"Campos Eliseos")</f>
        <v>Campos Eliseos</v>
      </c>
    </row>
    <row r="1423" customFormat="false" ht="15.75" hidden="false" customHeight="false" outlineLevel="0" collapsed="false">
      <c r="A1423" s="2" t="n">
        <v>144614</v>
      </c>
      <c r="B1423" s="2" t="s">
        <v>1230</v>
      </c>
      <c r="C1423" s="2" t="n">
        <v>2</v>
      </c>
      <c r="D1423" s="2" t="n">
        <v>1</v>
      </c>
      <c r="E1423" s="2" t="n">
        <v>1</v>
      </c>
      <c r="F1423" s="2" t="n">
        <v>46</v>
      </c>
      <c r="G1423" s="2" t="s">
        <v>470</v>
      </c>
      <c r="H1423" s="2" t="str">
        <f aca="false">IFERROR(__xludf.dummyfunction("IF(I1435="""", """", REGEXEXTRACT(I1435, ""Padrao/([^/]+)""))"),"Ribeirania")</f>
        <v>Ribeirania</v>
      </c>
    </row>
    <row r="1424" customFormat="false" ht="15.75" hidden="false" customHeight="false" outlineLevel="0" collapsed="false">
      <c r="A1424" s="2" t="n">
        <v>142547</v>
      </c>
      <c r="B1424" s="2" t="s">
        <v>1086</v>
      </c>
      <c r="C1424" s="2" t="n">
        <v>2</v>
      </c>
      <c r="D1424" s="2" t="n">
        <v>1</v>
      </c>
      <c r="E1424" s="2" t="n">
        <v>1</v>
      </c>
      <c r="F1424" s="2" t="n">
        <v>43</v>
      </c>
      <c r="G1424" s="2" t="s">
        <v>470</v>
      </c>
      <c r="H1424" s="2" t="str">
        <f aca="false">IFERROR(__xludf.dummyfunction("IF(I1436="""", """", REGEXEXTRACT(I1436, ""Padrao/([^/]+)""))"),"Jardim Interlagos")</f>
        <v>Jardim Interlagos</v>
      </c>
    </row>
    <row r="1425" customFormat="false" ht="15.75" hidden="false" customHeight="false" outlineLevel="0" collapsed="false">
      <c r="A1425" s="2" t="n">
        <v>140732</v>
      </c>
      <c r="B1425" s="2" t="s">
        <v>1277</v>
      </c>
      <c r="C1425" s="2" t="n">
        <v>2</v>
      </c>
      <c r="D1425" s="2" t="n">
        <v>1</v>
      </c>
      <c r="E1425" s="2" t="n">
        <v>1</v>
      </c>
      <c r="F1425" s="2" t="n">
        <v>41</v>
      </c>
      <c r="G1425" s="2" t="s">
        <v>470</v>
      </c>
      <c r="H1425" s="2" t="str">
        <f aca="false">IFERROR(__xludf.dummyfunction("IF(I1437="""", """", REGEXEXTRACT(I1437, ""Padrao/([^/]+)""))"),"Reserva Real")</f>
        <v>Reserva Real</v>
      </c>
    </row>
    <row r="1426" customFormat="false" ht="15.75" hidden="false" customHeight="false" outlineLevel="0" collapsed="false">
      <c r="A1426" s="2" t="n">
        <v>113186</v>
      </c>
      <c r="B1426" s="2" t="s">
        <v>1101</v>
      </c>
      <c r="C1426" s="2" t="n">
        <v>2</v>
      </c>
      <c r="D1426" s="2" t="n">
        <v>1</v>
      </c>
      <c r="E1426" s="2" t="n">
        <v>1</v>
      </c>
      <c r="F1426" s="2" t="n">
        <v>59</v>
      </c>
      <c r="G1426" s="2" t="s">
        <v>470</v>
      </c>
      <c r="H1426" s="2" t="str">
        <f aca="false">IFERROR(__xludf.dummyfunction("IF(I1438="""", """", REGEXEXTRACT(I1438, ""Padrao/([^/]+)""))"),"Jardim Antartica")</f>
        <v>Jardim Antartica</v>
      </c>
    </row>
    <row r="1427" customFormat="false" ht="15.75" hidden="false" customHeight="false" outlineLevel="0" collapsed="false">
      <c r="A1427" s="2" t="n">
        <v>88445</v>
      </c>
      <c r="B1427" s="2" t="s">
        <v>1278</v>
      </c>
      <c r="C1427" s="2" t="n">
        <v>2</v>
      </c>
      <c r="D1427" s="2" t="n">
        <v>1</v>
      </c>
      <c r="E1427" s="2" t="n">
        <v>1</v>
      </c>
      <c r="F1427" s="2" t="n">
        <v>46</v>
      </c>
      <c r="G1427" s="2" t="s">
        <v>470</v>
      </c>
      <c r="H1427" s="2" t="str">
        <f aca="false">IFERROR(__xludf.dummyfunction("IF(I1439="""", """", REGEXEXTRACT(I1439, ""Padrao/([^/]+)""))"),"Vila Abranches")</f>
        <v>Vila Abranches</v>
      </c>
    </row>
    <row r="1428" customFormat="false" ht="15.75" hidden="false" customHeight="false" outlineLevel="0" collapsed="false">
      <c r="A1428" s="2" t="n">
        <v>88430</v>
      </c>
      <c r="B1428" s="2" t="s">
        <v>1279</v>
      </c>
      <c r="C1428" s="2" t="n">
        <v>1</v>
      </c>
      <c r="D1428" s="2" t="n">
        <v>1</v>
      </c>
      <c r="E1428" s="2" t="n">
        <v>1</v>
      </c>
      <c r="F1428" s="2" t="n">
        <v>46</v>
      </c>
      <c r="G1428" s="2" t="s">
        <v>470</v>
      </c>
      <c r="H1428" s="2" t="str">
        <f aca="false">IFERROR(__xludf.dummyfunction("IF(I1440="""", """", REGEXEXTRACT(I1440, ""Padrao/([^/]+)""))"),"Jardim Marchesi")</f>
        <v>Jardim Marchesi</v>
      </c>
    </row>
    <row r="1429" customFormat="false" ht="15.75" hidden="false" customHeight="false" outlineLevel="0" collapsed="false">
      <c r="A1429" s="2" t="n">
        <v>222698</v>
      </c>
      <c r="B1429" s="2" t="s">
        <v>1280</v>
      </c>
      <c r="C1429" s="2" t="n">
        <v>2</v>
      </c>
      <c r="D1429" s="2" t="n">
        <v>1</v>
      </c>
      <c r="E1429" s="2" t="n">
        <v>1</v>
      </c>
      <c r="F1429" s="2" t="n">
        <v>49</v>
      </c>
      <c r="G1429" s="2" t="s">
        <v>1281</v>
      </c>
      <c r="H1429" s="2" t="str">
        <f aca="false">IFERROR(__xludf.dummyfunction("IF(I1441="""", """", REGEXEXTRACT(I1441, ""Padrao/([^/]+)""))"),"Residencial Jequitiba")</f>
        <v>Residencial Jequitiba</v>
      </c>
    </row>
    <row r="1430" customFormat="false" ht="15.75" hidden="false" customHeight="false" outlineLevel="0" collapsed="false">
      <c r="A1430" s="2" t="n">
        <v>201929</v>
      </c>
      <c r="B1430" s="2" t="s">
        <v>1282</v>
      </c>
      <c r="C1430" s="2" t="n">
        <v>2</v>
      </c>
      <c r="D1430" s="2" t="n">
        <v>1</v>
      </c>
      <c r="E1430" s="2" t="n">
        <v>1</v>
      </c>
      <c r="F1430" s="2" t="n">
        <v>48</v>
      </c>
      <c r="G1430" s="2" t="s">
        <v>1281</v>
      </c>
      <c r="H1430" s="2" t="str">
        <f aca="false">IFERROR(__xludf.dummyfunction("IF(I1442="""", """", REGEXEXTRACT(I1442, ""Padrao/([^/]+)""))"),"Reserva Real")</f>
        <v>Reserva Real</v>
      </c>
    </row>
    <row r="1431" customFormat="false" ht="15.75" hidden="false" customHeight="false" outlineLevel="0" collapsed="false">
      <c r="A1431" s="2" t="n">
        <v>181856</v>
      </c>
      <c r="B1431" s="2" t="s">
        <v>1283</v>
      </c>
      <c r="C1431" s="2" t="n">
        <v>1</v>
      </c>
      <c r="D1431" s="2" t="n">
        <v>1</v>
      </c>
      <c r="E1431" s="2" t="n">
        <v>1</v>
      </c>
      <c r="F1431" s="2" t="n">
        <v>37</v>
      </c>
      <c r="G1431" s="2" t="s">
        <v>1281</v>
      </c>
      <c r="H1431" s="2" t="str">
        <f aca="false">IFERROR(__xludf.dummyfunction("IF(I1443="""", """", REGEXEXTRACT(I1443, ""Padrao/([^/]+)""))"),"City Ribeirao")</f>
        <v>City Ribeirao</v>
      </c>
    </row>
    <row r="1432" customFormat="false" ht="15.75" hidden="false" customHeight="false" outlineLevel="0" collapsed="false">
      <c r="A1432" s="2" t="n">
        <v>175379</v>
      </c>
      <c r="B1432" s="2" t="s">
        <v>1284</v>
      </c>
      <c r="C1432" s="2" t="n">
        <v>2</v>
      </c>
      <c r="D1432" s="2" t="n">
        <v>1</v>
      </c>
      <c r="E1432" s="2" t="n">
        <v>1</v>
      </c>
      <c r="F1432" s="2" t="n">
        <v>46</v>
      </c>
      <c r="G1432" s="2" t="s">
        <v>1281</v>
      </c>
      <c r="H1432" s="2" t="str">
        <f aca="false">IFERROR(__xludf.dummyfunction("IF(I1444="""", """", REGEXEXTRACT(I1444, ""Padrao/([^/]+)""))"),"Ribeirania")</f>
        <v>Ribeirania</v>
      </c>
    </row>
    <row r="1433" customFormat="false" ht="15.75" hidden="false" customHeight="false" outlineLevel="0" collapsed="false">
      <c r="A1433" s="2" t="n">
        <v>159725</v>
      </c>
      <c r="B1433" s="2" t="s">
        <v>668</v>
      </c>
      <c r="C1433" s="2" t="n">
        <v>2</v>
      </c>
      <c r="D1433" s="2" t="n">
        <v>1</v>
      </c>
      <c r="E1433" s="2" t="n">
        <v>1</v>
      </c>
      <c r="F1433" s="2" t="n">
        <v>42</v>
      </c>
      <c r="G1433" s="2" t="s">
        <v>1281</v>
      </c>
      <c r="H1433" s="2" t="str">
        <f aca="false">IFERROR(__xludf.dummyfunction("IF(I1445="""", """", REGEXEXTRACT(I1445, ""Padrao/([^/]+)""))"),"Ipiranga")</f>
        <v>Ipiranga</v>
      </c>
    </row>
    <row r="1434" customFormat="false" ht="15.75" hidden="false" customHeight="false" outlineLevel="0" collapsed="false">
      <c r="A1434" s="2" t="n">
        <v>161858</v>
      </c>
      <c r="B1434" s="2" t="s">
        <v>1285</v>
      </c>
      <c r="C1434" s="2" t="n">
        <v>2</v>
      </c>
      <c r="D1434" s="2" t="n">
        <v>1</v>
      </c>
      <c r="E1434" s="2" t="n">
        <v>1</v>
      </c>
      <c r="F1434" s="2" t="n">
        <v>47</v>
      </c>
      <c r="G1434" s="2" t="s">
        <v>446</v>
      </c>
      <c r="H1434" s="2" t="str">
        <f aca="false">IFERROR(__xludf.dummyfunction("IF(I1446="""", """", REGEXEXTRACT(I1446, ""Padrao/([^/]+)""))"),"Parque Sao Sebastiao")</f>
        <v>Parque Sao Sebastiao</v>
      </c>
    </row>
    <row r="1435" customFormat="false" ht="15.75" hidden="false" customHeight="false" outlineLevel="0" collapsed="false">
      <c r="A1435" s="2" t="n">
        <v>178841</v>
      </c>
      <c r="B1435" s="2" t="s">
        <v>1286</v>
      </c>
      <c r="C1435" s="2" t="n">
        <v>2</v>
      </c>
      <c r="D1435" s="2" t="n">
        <v>1</v>
      </c>
      <c r="E1435" s="2" t="n">
        <v>1</v>
      </c>
      <c r="F1435" s="2" t="n">
        <v>52</v>
      </c>
      <c r="G1435" s="2" t="s">
        <v>428</v>
      </c>
      <c r="H1435" s="2" t="str">
        <f aca="false">IFERROR(__xludf.dummyfunction("IF(I1447="""", """", REGEXEXTRACT(I1447, ""Padrao/([^/]+)""))"),"Jardim Jose Figueira")</f>
        <v>Jardim Jose Figueira</v>
      </c>
    </row>
    <row r="1436" customFormat="false" ht="15.75" hidden="false" customHeight="false" outlineLevel="0" collapsed="false">
      <c r="A1436" s="2" t="n">
        <v>172958</v>
      </c>
      <c r="B1436" s="2" t="s">
        <v>1287</v>
      </c>
      <c r="C1436" s="2" t="n">
        <v>2</v>
      </c>
      <c r="D1436" s="2" t="n">
        <v>1</v>
      </c>
      <c r="E1436" s="2" t="n">
        <v>1</v>
      </c>
      <c r="F1436" s="2" t="n">
        <v>46</v>
      </c>
      <c r="G1436" s="2" t="s">
        <v>435</v>
      </c>
      <c r="H1436" s="2" t="str">
        <f aca="false">IFERROR(__xludf.dummyfunction("IF(I1448="""", """", REGEXEXTRACT(I1448, ""Padrao/([^/]+)""))"),"Sumarezinho")</f>
        <v>Sumarezinho</v>
      </c>
    </row>
    <row r="1437" customFormat="false" ht="15.75" hidden="false" customHeight="false" outlineLevel="0" collapsed="false">
      <c r="A1437" s="2" t="n">
        <v>225692</v>
      </c>
      <c r="B1437" s="2" t="s">
        <v>843</v>
      </c>
      <c r="C1437" s="2" t="n">
        <v>2</v>
      </c>
      <c r="D1437" s="2" t="n">
        <v>1</v>
      </c>
      <c r="E1437" s="2" t="n">
        <v>2</v>
      </c>
      <c r="F1437" s="2" t="n">
        <v>40</v>
      </c>
      <c r="G1437" s="2" t="s">
        <v>446</v>
      </c>
      <c r="H1437" s="2" t="str">
        <f aca="false">IFERROR(__xludf.dummyfunction("IF(I1449="""", """", REGEXEXTRACT(I1449, ""Padrao/([^/]+)""))"),"Jardim Ouro Branco")</f>
        <v>Jardim Ouro Branco</v>
      </c>
    </row>
    <row r="1438" customFormat="false" ht="15.75" hidden="false" customHeight="false" outlineLevel="0" collapsed="false">
      <c r="A1438" s="2" t="n">
        <v>130106</v>
      </c>
      <c r="B1438" s="2" t="s">
        <v>1288</v>
      </c>
      <c r="C1438" s="2" t="n">
        <v>1</v>
      </c>
      <c r="D1438" s="2" t="n">
        <v>1</v>
      </c>
      <c r="E1438" s="2" t="n">
        <v>1</v>
      </c>
      <c r="F1438" s="2" t="n">
        <v>52</v>
      </c>
      <c r="G1438" s="2" t="s">
        <v>446</v>
      </c>
      <c r="H1438" s="2" t="str">
        <f aca="false">IFERROR(__xludf.dummyfunction("IF(I1450="""", """", REGEXEXTRACT(I1450, ""Padrao/([^/]+)""))"),"Jardim Sumare")</f>
        <v>Jardim Sumare</v>
      </c>
    </row>
    <row r="1439" customFormat="false" ht="15.75" hidden="false" customHeight="false" outlineLevel="0" collapsed="false">
      <c r="A1439" s="2" t="n">
        <v>132419</v>
      </c>
      <c r="B1439" s="2" t="s">
        <v>1289</v>
      </c>
      <c r="C1439" s="2" t="n">
        <v>3</v>
      </c>
      <c r="D1439" s="2" t="n">
        <v>1</v>
      </c>
      <c r="E1439" s="2" t="n">
        <v>1</v>
      </c>
      <c r="F1439" s="2" t="n">
        <v>74</v>
      </c>
      <c r="G1439" s="2" t="s">
        <v>464</v>
      </c>
      <c r="H1439" s="2" t="str">
        <f aca="false">IFERROR(__xludf.dummyfunction("IF(I1451="""", """", REGEXEXTRACT(I1451, ""Padrao/([^/]+)""))"),"Campos Eliseos")</f>
        <v>Campos Eliseos</v>
      </c>
    </row>
    <row r="1440" customFormat="false" ht="15.75" hidden="false" customHeight="false" outlineLevel="0" collapsed="false">
      <c r="A1440" s="2" t="n">
        <v>229883</v>
      </c>
      <c r="B1440" s="2" t="s">
        <v>1290</v>
      </c>
      <c r="C1440" s="2" t="n">
        <v>2</v>
      </c>
      <c r="D1440" s="2" t="n">
        <v>1</v>
      </c>
      <c r="E1440" s="2" t="n">
        <v>1</v>
      </c>
      <c r="F1440" s="2" t="n">
        <v>49</v>
      </c>
      <c r="G1440" s="2" t="s">
        <v>472</v>
      </c>
      <c r="H1440" s="2" t="str">
        <f aca="false">IFERROR(__xludf.dummyfunction("IF(I1452="""", """", REGEXEXTRACT(I1452, ""Padrao/([^/]+)""))"),"Jardim Palma Travassos")</f>
        <v>Jardim Palma Travassos</v>
      </c>
    </row>
    <row r="1441" customFormat="false" ht="15.75" hidden="false" customHeight="false" outlineLevel="0" collapsed="false">
      <c r="A1441" s="2" t="n">
        <v>225893</v>
      </c>
      <c r="B1441" s="2" t="s">
        <v>1291</v>
      </c>
      <c r="C1441" s="2" t="n">
        <v>2</v>
      </c>
      <c r="D1441" s="2" t="n">
        <v>1</v>
      </c>
      <c r="E1441" s="2" t="n">
        <v>1</v>
      </c>
      <c r="F1441" s="2" t="n">
        <v>42</v>
      </c>
      <c r="G1441" s="2" t="s">
        <v>472</v>
      </c>
      <c r="H1441" s="2" t="str">
        <f aca="false">IFERROR(__xludf.dummyfunction("IF(I1453="""", """", REGEXEXTRACT(I1453, ""Padrao/([^/]+)""))"),"Quintino Facci II")</f>
        <v>Quintino Facci II</v>
      </c>
    </row>
    <row r="1442" customFormat="false" ht="15.75" hidden="false" customHeight="false" outlineLevel="0" collapsed="false">
      <c r="A1442" s="2" t="n">
        <v>224999</v>
      </c>
      <c r="B1442" s="2" t="s">
        <v>1292</v>
      </c>
      <c r="C1442" s="2" t="n">
        <v>2</v>
      </c>
      <c r="D1442" s="2" t="n">
        <v>1</v>
      </c>
      <c r="E1442" s="2" t="n">
        <v>1</v>
      </c>
      <c r="F1442" s="2" t="n">
        <v>40</v>
      </c>
      <c r="G1442" s="2" t="s">
        <v>472</v>
      </c>
      <c r="H1442" s="2" t="str">
        <f aca="false">IFERROR(__xludf.dummyfunction("IF(I1454="""", """", REGEXEXTRACT(I1454, ""Padrao/([^/]+)""))"),"Jardim Cybelli")</f>
        <v>Jardim Cybelli</v>
      </c>
    </row>
    <row r="1443" customFormat="false" ht="15.75" hidden="false" customHeight="false" outlineLevel="0" collapsed="false">
      <c r="A1443" s="2" t="n">
        <v>224684</v>
      </c>
      <c r="B1443" s="2" t="s">
        <v>1293</v>
      </c>
      <c r="C1443" s="2" t="n">
        <v>2</v>
      </c>
      <c r="D1443" s="2" t="n">
        <v>1</v>
      </c>
      <c r="E1443" s="2" t="n">
        <v>1</v>
      </c>
      <c r="F1443" s="2" t="n">
        <v>40</v>
      </c>
      <c r="G1443" s="2" t="s">
        <v>472</v>
      </c>
      <c r="H1443" s="2" t="str">
        <f aca="false">IFERROR(__xludf.dummyfunction("IF(I1455="""", """", REGEXEXTRACT(I1455, ""Padrao/([^/]+)""))"),"Parque dos Pinus")</f>
        <v>Parque dos Pinus</v>
      </c>
    </row>
    <row r="1444" customFormat="false" ht="15.75" hidden="false" customHeight="false" outlineLevel="0" collapsed="false">
      <c r="A1444" s="2" t="n">
        <v>221432</v>
      </c>
      <c r="B1444" s="2" t="s">
        <v>1294</v>
      </c>
      <c r="C1444" s="2" t="n">
        <v>2</v>
      </c>
      <c r="D1444" s="2" t="n">
        <v>1</v>
      </c>
      <c r="E1444" s="2" t="n">
        <v>1</v>
      </c>
      <c r="F1444" s="2" t="n">
        <v>47</v>
      </c>
      <c r="G1444" s="2" t="s">
        <v>472</v>
      </c>
      <c r="H1444" s="2" t="str">
        <f aca="false">IFERROR(__xludf.dummyfunction("IF(I1456="""", """", REGEXEXTRACT(I1456, ""Padrao/([^/]+)""))"),"Residencial Jequitiba")</f>
        <v>Residencial Jequitiba</v>
      </c>
    </row>
    <row r="1445" customFormat="false" ht="15.75" hidden="false" customHeight="false" outlineLevel="0" collapsed="false">
      <c r="A1445" s="2" t="n">
        <v>205847</v>
      </c>
      <c r="B1445" s="2" t="s">
        <v>1295</v>
      </c>
      <c r="C1445" s="2" t="n">
        <v>2</v>
      </c>
      <c r="D1445" s="2" t="n">
        <v>1</v>
      </c>
      <c r="E1445" s="2" t="n">
        <v>1</v>
      </c>
      <c r="F1445" s="2" t="n">
        <v>44</v>
      </c>
      <c r="G1445" s="2" t="s">
        <v>472</v>
      </c>
      <c r="H1445" s="2" t="str">
        <f aca="false">IFERROR(__xludf.dummyfunction("IF(I1457="""", """", REGEXEXTRACT(I1457, ""Padrao/([^/]+)""))"),"Residencial Greenville")</f>
        <v>Residencial Greenville</v>
      </c>
    </row>
    <row r="1446" customFormat="false" ht="15.75" hidden="false" customHeight="false" outlineLevel="0" collapsed="false">
      <c r="A1446" s="2" t="n">
        <v>204158</v>
      </c>
      <c r="B1446" s="2" t="s">
        <v>1122</v>
      </c>
      <c r="C1446" s="2" t="n">
        <v>2</v>
      </c>
      <c r="D1446" s="2" t="n">
        <v>1</v>
      </c>
      <c r="E1446" s="2" t="n">
        <v>1</v>
      </c>
      <c r="F1446" s="2" t="n">
        <v>45</v>
      </c>
      <c r="G1446" s="2" t="s">
        <v>472</v>
      </c>
      <c r="H1446" s="2" t="str">
        <f aca="false">IFERROR(__xludf.dummyfunction("IF(I1458="""", """", REGEXEXTRACT(I1458, ""Padrao/([^/]+)""))"),"Parque dos Lagos")</f>
        <v>Parque dos Lagos</v>
      </c>
    </row>
    <row r="1447" customFormat="false" ht="15.75" hidden="false" customHeight="false" outlineLevel="0" collapsed="false">
      <c r="A1447" s="2" t="n">
        <v>190622</v>
      </c>
      <c r="B1447" s="2" t="s">
        <v>1296</v>
      </c>
      <c r="C1447" s="2" t="n">
        <v>2</v>
      </c>
      <c r="D1447" s="2" t="n">
        <v>1</v>
      </c>
      <c r="E1447" s="2" t="n">
        <v>1</v>
      </c>
      <c r="F1447" s="2" t="n">
        <v>40</v>
      </c>
      <c r="G1447" s="2" t="s">
        <v>472</v>
      </c>
      <c r="H1447" s="2" t="str">
        <f aca="false">IFERROR(__xludf.dummyfunction("IF(I1459="""", """", REGEXEXTRACT(I1459, ""Padrao/([^/]+)""))"),"Reserva Real")</f>
        <v>Reserva Real</v>
      </c>
    </row>
    <row r="1448" customFormat="false" ht="15.75" hidden="false" customHeight="false" outlineLevel="0" collapsed="false">
      <c r="A1448" s="2" t="n">
        <v>190082</v>
      </c>
      <c r="B1448" s="2" t="s">
        <v>1297</v>
      </c>
      <c r="C1448" s="2" t="n">
        <v>2</v>
      </c>
      <c r="D1448" s="2" t="n">
        <v>1</v>
      </c>
      <c r="E1448" s="2" t="n">
        <v>1</v>
      </c>
      <c r="F1448" s="2" t="n">
        <v>43</v>
      </c>
      <c r="G1448" s="2" t="s">
        <v>472</v>
      </c>
      <c r="H1448" s="2" t="str">
        <f aca="false">IFERROR(__xludf.dummyfunction("IF(I1460="""", """", REGEXEXTRACT(I1460, ""Padrao/([^/]+)""))"),"Jardim Maria Goretti")</f>
        <v>Jardim Maria Goretti</v>
      </c>
    </row>
    <row r="1449" customFormat="false" ht="15.75" hidden="false" customHeight="false" outlineLevel="0" collapsed="false">
      <c r="A1449" s="2" t="n">
        <v>187001</v>
      </c>
      <c r="B1449" s="2" t="s">
        <v>1298</v>
      </c>
      <c r="C1449" s="2" t="n">
        <v>2</v>
      </c>
      <c r="D1449" s="2" t="n">
        <v>1</v>
      </c>
      <c r="E1449" s="2" t="n">
        <v>1</v>
      </c>
      <c r="F1449" s="2" t="n">
        <v>42</v>
      </c>
      <c r="G1449" s="2" t="s">
        <v>472</v>
      </c>
      <c r="H1449" s="2" t="str">
        <f aca="false">IFERROR(__xludf.dummyfunction("IF(I1461="""", """", REGEXEXTRACT(I1461, ""Padrao/([^/]+)""))"),"Residencial Parque dos Servidores")</f>
        <v>Residencial Parque dos Servidores</v>
      </c>
    </row>
    <row r="1450" customFormat="false" ht="15.75" hidden="false" customHeight="false" outlineLevel="0" collapsed="false">
      <c r="A1450" s="2" t="n">
        <v>184475</v>
      </c>
      <c r="B1450" s="2" t="s">
        <v>1299</v>
      </c>
      <c r="C1450" s="2" t="n">
        <v>1</v>
      </c>
      <c r="D1450" s="2" t="n">
        <v>1</v>
      </c>
      <c r="E1450" s="2" t="n">
        <v>1</v>
      </c>
      <c r="F1450" s="2" t="n">
        <v>40</v>
      </c>
      <c r="G1450" s="2" t="s">
        <v>472</v>
      </c>
      <c r="H1450" s="2" t="str">
        <f aca="false">IFERROR(__xludf.dummyfunction("IF(I1462="""", """", REGEXEXTRACT(I1462, ""Padrao/([^/]+)""))"),"Parque dos Bandeirantes")</f>
        <v>Parque dos Bandeirantes</v>
      </c>
    </row>
    <row r="1451" customFormat="false" ht="15.75" hidden="false" customHeight="false" outlineLevel="0" collapsed="false">
      <c r="A1451" s="2" t="n">
        <v>183041</v>
      </c>
      <c r="B1451" s="2" t="s">
        <v>1101</v>
      </c>
      <c r="C1451" s="2" t="n">
        <v>2</v>
      </c>
      <c r="D1451" s="2" t="n">
        <v>1</v>
      </c>
      <c r="E1451" s="2" t="n">
        <v>1</v>
      </c>
      <c r="F1451" s="2" t="n">
        <v>60</v>
      </c>
      <c r="G1451" s="2" t="s">
        <v>472</v>
      </c>
      <c r="H1451" s="2" t="str">
        <f aca="false">IFERROR(__xludf.dummyfunction("IF(I1463="""", """", REGEXEXTRACT(I1463, ""Padrao/([^/]+)""))"),"Vila Amelia")</f>
        <v>Vila Amelia</v>
      </c>
    </row>
    <row r="1452" customFormat="false" ht="15.75" hidden="false" customHeight="false" outlineLevel="0" collapsed="false">
      <c r="A1452" s="2" t="n">
        <v>182936</v>
      </c>
      <c r="B1452" s="2" t="s">
        <v>1221</v>
      </c>
      <c r="C1452" s="2" t="n">
        <v>2</v>
      </c>
      <c r="D1452" s="2" t="n">
        <v>1</v>
      </c>
      <c r="E1452" s="2" t="n">
        <v>1</v>
      </c>
      <c r="F1452" s="2" t="n">
        <v>42</v>
      </c>
      <c r="G1452" s="2" t="s">
        <v>472</v>
      </c>
      <c r="H1452" s="2" t="str">
        <f aca="false">IFERROR(__xludf.dummyfunction("IF(I1464="""", """", REGEXEXTRACT(I1464, ""Padrao/([^/]+)""))"),"Jardim Santa Cecilia")</f>
        <v>Jardim Santa Cecilia</v>
      </c>
    </row>
    <row r="1453" customFormat="false" ht="15.75" hidden="false" customHeight="false" outlineLevel="0" collapsed="false">
      <c r="A1453" s="2" t="n">
        <v>182771</v>
      </c>
      <c r="B1453" s="2" t="s">
        <v>384</v>
      </c>
      <c r="C1453" s="2" t="n">
        <v>2</v>
      </c>
      <c r="D1453" s="2" t="n">
        <v>1</v>
      </c>
      <c r="E1453" s="2" t="n">
        <v>1</v>
      </c>
      <c r="F1453" s="2" t="n">
        <v>41</v>
      </c>
      <c r="G1453" s="2" t="s">
        <v>472</v>
      </c>
      <c r="H1453" s="2" t="str">
        <f aca="false">IFERROR(__xludf.dummyfunction("IF(I1465="""", """", REGEXEXTRACT(I1465, ""Padrao/([^/]+)""))"),"Conjunto Habitacional Silvio Passalacqua")</f>
        <v>Conjunto Habitacional Silvio Passalacqua</v>
      </c>
    </row>
    <row r="1454" customFormat="false" ht="15.75" hidden="false" customHeight="false" outlineLevel="0" collapsed="false">
      <c r="A1454" s="2" t="n">
        <v>179039</v>
      </c>
      <c r="B1454" s="2" t="s">
        <v>1300</v>
      </c>
      <c r="C1454" s="2" t="n">
        <v>2</v>
      </c>
      <c r="D1454" s="2" t="n">
        <v>1</v>
      </c>
      <c r="E1454" s="2" t="n">
        <v>1</v>
      </c>
      <c r="F1454" s="2" t="n">
        <v>47</v>
      </c>
      <c r="G1454" s="2" t="s">
        <v>472</v>
      </c>
      <c r="H1454" s="2" t="str">
        <f aca="false">IFERROR(__xludf.dummyfunction("IF(I1466="""", """", REGEXEXTRACT(I1466, ""Padrao/([^/]+)""))"),"Jardim Jose Figueira")</f>
        <v>Jardim Jose Figueira</v>
      </c>
    </row>
    <row r="1455" customFormat="false" ht="15.75" hidden="false" customHeight="false" outlineLevel="0" collapsed="false">
      <c r="A1455" s="2" t="n">
        <v>172082</v>
      </c>
      <c r="B1455" s="2" t="s">
        <v>1060</v>
      </c>
      <c r="C1455" s="2" t="n">
        <v>2</v>
      </c>
      <c r="D1455" s="2" t="n">
        <v>1</v>
      </c>
      <c r="E1455" s="2" t="n">
        <v>1</v>
      </c>
      <c r="F1455" s="2" t="n">
        <v>46</v>
      </c>
      <c r="G1455" s="2" t="s">
        <v>472</v>
      </c>
      <c r="H1455" s="2" t="str">
        <f aca="false">IFERROR(__xludf.dummyfunction("IF(I1467="""", """", REGEXEXTRACT(I1467, ""Padrao/([^/]+)""))"),"Ribeirania")</f>
        <v>Ribeirania</v>
      </c>
    </row>
    <row r="1456" customFormat="false" ht="15.75" hidden="false" customHeight="false" outlineLevel="0" collapsed="false">
      <c r="A1456" s="2" t="n">
        <v>165836</v>
      </c>
      <c r="B1456" s="2" t="s">
        <v>1301</v>
      </c>
      <c r="C1456" s="2" t="n">
        <v>2</v>
      </c>
      <c r="D1456" s="2" t="n">
        <v>1</v>
      </c>
      <c r="E1456" s="2" t="n">
        <v>1</v>
      </c>
      <c r="F1456" s="2" t="n">
        <v>42</v>
      </c>
      <c r="G1456" s="2" t="s">
        <v>472</v>
      </c>
      <c r="H1456" s="2" t="str">
        <f aca="false">IFERROR(__xludf.dummyfunction("IF(I1468="""", """", REGEXEXTRACT(I1468, ""Padrao/([^/]+)""))"),"Residencial Parque dos Servidores")</f>
        <v>Residencial Parque dos Servidores</v>
      </c>
    </row>
    <row r="1457" customFormat="false" ht="15.75" hidden="false" customHeight="false" outlineLevel="0" collapsed="false">
      <c r="A1457" s="2" t="n">
        <v>147938</v>
      </c>
      <c r="B1457" s="2" t="s">
        <v>1217</v>
      </c>
      <c r="C1457" s="2" t="n">
        <v>2</v>
      </c>
      <c r="D1457" s="2" t="n">
        <v>1</v>
      </c>
      <c r="E1457" s="2" t="n">
        <v>1</v>
      </c>
      <c r="F1457" s="2" t="n">
        <v>44</v>
      </c>
      <c r="G1457" s="2" t="s">
        <v>472</v>
      </c>
      <c r="H1457" s="2" t="str">
        <f aca="false">IFERROR(__xludf.dummyfunction("IF(I1469="""", """", REGEXEXTRACT(I1469, ""Padrao/([^/]+)""))"),"Residencial Greenville")</f>
        <v>Residencial Greenville</v>
      </c>
    </row>
    <row r="1458" customFormat="false" ht="15.75" hidden="false" customHeight="false" outlineLevel="0" collapsed="false">
      <c r="A1458" s="2" t="n">
        <v>146093</v>
      </c>
      <c r="B1458" s="2" t="s">
        <v>1302</v>
      </c>
      <c r="C1458" s="2" t="n">
        <v>3</v>
      </c>
      <c r="D1458" s="2" t="n">
        <v>1</v>
      </c>
      <c r="E1458" s="2" t="n">
        <v>1</v>
      </c>
      <c r="F1458" s="2" t="n">
        <v>55</v>
      </c>
      <c r="G1458" s="2" t="s">
        <v>472</v>
      </c>
      <c r="H1458" s="2" t="str">
        <f aca="false">IFERROR(__xludf.dummyfunction("IF(I1470="""", """", REGEXEXTRACT(I1470, ""Padrao/([^/]+)""))"),"Vila Virginia")</f>
        <v>Vila Virginia</v>
      </c>
    </row>
    <row r="1459" customFormat="false" ht="15.75" hidden="false" customHeight="false" outlineLevel="0" collapsed="false">
      <c r="A1459" s="2" t="n">
        <v>141674</v>
      </c>
      <c r="B1459" s="2" t="s">
        <v>1303</v>
      </c>
      <c r="C1459" s="2" t="n">
        <v>2</v>
      </c>
      <c r="D1459" s="2" t="n">
        <v>1</v>
      </c>
      <c r="E1459" s="2" t="n">
        <v>1</v>
      </c>
      <c r="F1459" s="2" t="n">
        <v>51</v>
      </c>
      <c r="G1459" s="2" t="s">
        <v>472</v>
      </c>
      <c r="H1459" s="2" t="str">
        <f aca="false">IFERROR(__xludf.dummyfunction("IF(I1471="""", """", REGEXEXTRACT(I1471, ""Padrao/([^/]+)""))"),"Residencial Greenville")</f>
        <v>Residencial Greenville</v>
      </c>
    </row>
    <row r="1460" customFormat="false" ht="15.75" hidden="false" customHeight="false" outlineLevel="0" collapsed="false">
      <c r="A1460" s="2" t="n">
        <v>139880</v>
      </c>
      <c r="B1460" s="2" t="s">
        <v>1304</v>
      </c>
      <c r="C1460" s="2" t="n">
        <v>2</v>
      </c>
      <c r="D1460" s="2" t="n">
        <v>1</v>
      </c>
      <c r="E1460" s="2" t="n">
        <v>1</v>
      </c>
      <c r="F1460" s="2" t="n">
        <v>40</v>
      </c>
      <c r="G1460" s="2" t="s">
        <v>472</v>
      </c>
      <c r="H1460" s="2" t="str">
        <f aca="false">IFERROR(__xludf.dummyfunction("IF(I1472="""", """", REGEXEXTRACT(I1472, ""Padrao/([^/]+)""))"),"Ipiranga")</f>
        <v>Ipiranga</v>
      </c>
    </row>
    <row r="1461" customFormat="false" ht="15.75" hidden="false" customHeight="false" outlineLevel="0" collapsed="false">
      <c r="A1461" s="2" t="n">
        <v>105317</v>
      </c>
      <c r="B1461" s="2" t="s">
        <v>1070</v>
      </c>
      <c r="C1461" s="2" t="n">
        <v>2</v>
      </c>
      <c r="D1461" s="2" t="n">
        <v>1</v>
      </c>
      <c r="E1461" s="2" t="n">
        <v>1</v>
      </c>
      <c r="F1461" s="2" t="n">
        <v>68</v>
      </c>
      <c r="G1461" s="2" t="s">
        <v>472</v>
      </c>
      <c r="H1461" s="2" t="str">
        <f aca="false">IFERROR(__xludf.dummyfunction("IF(I1473="""", """", REGEXEXTRACT(I1473, ""Padrao/([^/]+)""))"),"Ipiranga")</f>
        <v>Ipiranga</v>
      </c>
    </row>
    <row r="1462" customFormat="false" ht="15.75" hidden="false" customHeight="false" outlineLevel="0" collapsed="false">
      <c r="A1462" s="2" t="n">
        <v>103022</v>
      </c>
      <c r="B1462" s="2" t="s">
        <v>873</v>
      </c>
      <c r="C1462" s="2" t="n">
        <v>2</v>
      </c>
      <c r="D1462" s="2" t="n">
        <v>1</v>
      </c>
      <c r="E1462" s="2" t="n">
        <v>1</v>
      </c>
      <c r="F1462" s="2" t="n">
        <v>42</v>
      </c>
      <c r="G1462" s="2" t="s">
        <v>472</v>
      </c>
      <c r="H1462" s="2" t="str">
        <f aca="false">IFERROR(__xludf.dummyfunction("IF(I1474="""", """", REGEXEXTRACT(I1474, ""Padrao/([^/]+)""))"),"Campos Eliseos")</f>
        <v>Campos Eliseos</v>
      </c>
    </row>
    <row r="1463" customFormat="false" ht="15.75" hidden="false" customHeight="false" outlineLevel="0" collapsed="false">
      <c r="A1463" s="2" t="n">
        <v>100811</v>
      </c>
      <c r="B1463" s="2" t="s">
        <v>1305</v>
      </c>
      <c r="C1463" s="2" t="n">
        <v>2</v>
      </c>
      <c r="D1463" s="2" t="n">
        <v>1</v>
      </c>
      <c r="E1463" s="2" t="n">
        <v>1</v>
      </c>
      <c r="F1463" s="2" t="n">
        <v>46</v>
      </c>
      <c r="G1463" s="2" t="s">
        <v>472</v>
      </c>
      <c r="H1463" s="2" t="str">
        <f aca="false">IFERROR(__xludf.dummyfunction("IF(I1475="""", """", REGEXEXTRACT(I1475, ""Padrao/([^/]+)""))"),"Sumarezinho")</f>
        <v>Sumarezinho</v>
      </c>
    </row>
    <row r="1464" customFormat="false" ht="15.75" hidden="false" customHeight="false" outlineLevel="0" collapsed="false">
      <c r="A1464" s="2" t="n">
        <v>96218</v>
      </c>
      <c r="B1464" s="2" t="s">
        <v>1306</v>
      </c>
      <c r="C1464" s="2" t="n">
        <v>1</v>
      </c>
      <c r="D1464" s="2" t="n">
        <v>2</v>
      </c>
      <c r="E1464" s="2" t="n">
        <v>1</v>
      </c>
      <c r="F1464" s="2" t="n">
        <v>48</v>
      </c>
      <c r="G1464" s="2" t="s">
        <v>472</v>
      </c>
      <c r="H1464" s="2" t="str">
        <f aca="false">IFERROR(__xludf.dummyfunction("IF(I1476="""", """", REGEXEXTRACT(I1476, ""Padrao/([^/]+)""))"),"Jardim Iraja")</f>
        <v>Jardim Iraja</v>
      </c>
    </row>
    <row r="1465" customFormat="false" ht="15.75" hidden="false" customHeight="false" outlineLevel="0" collapsed="false">
      <c r="A1465" s="2" t="n">
        <v>89096</v>
      </c>
      <c r="B1465" s="2" t="s">
        <v>1307</v>
      </c>
      <c r="C1465" s="2" t="n">
        <v>1</v>
      </c>
      <c r="D1465" s="2" t="n">
        <v>1</v>
      </c>
      <c r="E1465" s="2" t="n">
        <v>1</v>
      </c>
      <c r="F1465" s="2" t="n">
        <v>38</v>
      </c>
      <c r="G1465" s="2" t="s">
        <v>472</v>
      </c>
      <c r="H1465" s="2" t="str">
        <f aca="false">IFERROR(__xludf.dummyfunction("IF(I1477="""", """", REGEXEXTRACT(I1477, ""Padrao/([^/]+)""))"),"Vila Ana Maria")</f>
        <v>Vila Ana Maria</v>
      </c>
    </row>
    <row r="1466" customFormat="false" ht="15.75" hidden="false" customHeight="false" outlineLevel="0" collapsed="false">
      <c r="A1466" s="2" t="n">
        <v>87701</v>
      </c>
      <c r="B1466" s="2" t="s">
        <v>162</v>
      </c>
      <c r="C1466" s="2" t="n">
        <v>2</v>
      </c>
      <c r="D1466" s="2" t="n">
        <v>1</v>
      </c>
      <c r="E1466" s="2" t="n">
        <v>1</v>
      </c>
      <c r="F1466" s="2" t="n">
        <v>47</v>
      </c>
      <c r="G1466" s="2" t="s">
        <v>472</v>
      </c>
      <c r="H1466" s="2" t="str">
        <f aca="false">IFERROR(__xludf.dummyfunction("IF(I1478="""", """", REGEXEXTRACT(I1478, ""Padrao/([^/]+)""))"),"Ipiranga")</f>
        <v>Ipiranga</v>
      </c>
    </row>
    <row r="1467" customFormat="false" ht="15.75" hidden="false" customHeight="false" outlineLevel="0" collapsed="false">
      <c r="A1467" s="2" t="n">
        <v>84191</v>
      </c>
      <c r="B1467" s="2" t="s">
        <v>162</v>
      </c>
      <c r="C1467" s="2" t="n">
        <v>2</v>
      </c>
      <c r="D1467" s="2" t="n">
        <v>2</v>
      </c>
      <c r="E1467" s="2" t="n">
        <v>1</v>
      </c>
      <c r="F1467" s="2" t="n">
        <v>55</v>
      </c>
      <c r="G1467" s="2" t="s">
        <v>472</v>
      </c>
      <c r="H1467" s="2" t="str">
        <f aca="false">IFERROR(__xludf.dummyfunction("IF(I1479="""", """", REGEXEXTRACT(I1479, ""Padrao/([^/]+)""))"),"Jardim Zara")</f>
        <v>Jardim Zara</v>
      </c>
    </row>
    <row r="1468" customFormat="false" ht="15.75" hidden="false" customHeight="false" outlineLevel="0" collapsed="false">
      <c r="A1468" s="2" t="n">
        <v>77744</v>
      </c>
      <c r="B1468" s="2" t="s">
        <v>1308</v>
      </c>
      <c r="C1468" s="2" t="n">
        <v>1</v>
      </c>
      <c r="D1468" s="2" t="n">
        <v>1</v>
      </c>
      <c r="E1468" s="2" t="n">
        <v>1</v>
      </c>
      <c r="F1468" s="2" t="n">
        <v>4151</v>
      </c>
      <c r="G1468" s="2" t="s">
        <v>472</v>
      </c>
      <c r="H1468" s="2" t="str">
        <f aca="false">IFERROR(__xludf.dummyfunction("IF(I1480="""", """", REGEXEXTRACT(I1480, ""Padrao/([^/]+)""))"),"Nova Alianca")</f>
        <v>Nova Alianca</v>
      </c>
    </row>
    <row r="1469" customFormat="false" ht="15.75" hidden="false" customHeight="false" outlineLevel="0" collapsed="false">
      <c r="A1469" s="2" t="n">
        <v>162146</v>
      </c>
      <c r="B1469" s="2" t="s">
        <v>1232</v>
      </c>
      <c r="C1469" s="2" t="n">
        <v>1</v>
      </c>
      <c r="D1469" s="2" t="n">
        <v>1</v>
      </c>
      <c r="E1469" s="2" t="n">
        <v>1</v>
      </c>
      <c r="F1469" s="2" t="n">
        <v>32</v>
      </c>
      <c r="G1469" s="2" t="s">
        <v>1309</v>
      </c>
      <c r="H1469" s="2" t="str">
        <f aca="false">IFERROR(__xludf.dummyfunction("IF(I1481="""", """", REGEXEXTRACT(I1481, ""Padrao/([^/]+)""))"),"Ipiranga")</f>
        <v>Ipiranga</v>
      </c>
    </row>
    <row r="1470" customFormat="false" ht="15.75" hidden="false" customHeight="false" outlineLevel="0" collapsed="false">
      <c r="A1470" s="2" t="n">
        <v>151097</v>
      </c>
      <c r="B1470" s="2" t="s">
        <v>900</v>
      </c>
      <c r="C1470" s="2" t="n">
        <v>2</v>
      </c>
      <c r="D1470" s="2" t="n">
        <v>1</v>
      </c>
      <c r="E1470" s="2" t="n">
        <v>1</v>
      </c>
      <c r="F1470" s="2" t="n">
        <v>42</v>
      </c>
      <c r="G1470" s="2" t="s">
        <v>1309</v>
      </c>
      <c r="H1470" s="2" t="str">
        <f aca="false">IFERROR(__xludf.dummyfunction("IF(I1482="""", """", REGEXEXTRACT(I1482, ""Padrao/([^/]+)""))"),"Parque Industrial Lagoinha")</f>
        <v>Parque Industrial Lagoinha</v>
      </c>
    </row>
    <row r="1471" customFormat="false" ht="15.75" hidden="false" customHeight="false" outlineLevel="0" collapsed="false">
      <c r="A1471" s="2" t="n">
        <v>177446</v>
      </c>
      <c r="B1471" s="2" t="s">
        <v>1310</v>
      </c>
      <c r="C1471" s="2" t="n">
        <v>2</v>
      </c>
      <c r="D1471" s="2" t="n">
        <v>1</v>
      </c>
      <c r="E1471" s="2" t="n">
        <v>1</v>
      </c>
      <c r="F1471" s="2" t="n">
        <v>57</v>
      </c>
      <c r="G1471" s="2" t="s">
        <v>1311</v>
      </c>
      <c r="H1471" s="2" t="str">
        <f aca="false">IFERROR(__xludf.dummyfunction("IF(I1483="""", """", REGEXEXTRACT(I1483, ""Padrao/([^/]+)""))"),"Republica")</f>
        <v>Republica</v>
      </c>
    </row>
    <row r="1472" customFormat="false" ht="15.75" hidden="false" customHeight="false" outlineLevel="0" collapsed="false">
      <c r="A1472" s="2" t="n">
        <v>175679</v>
      </c>
      <c r="B1472" s="2" t="s">
        <v>1312</v>
      </c>
      <c r="C1472" s="2" t="n">
        <v>1</v>
      </c>
      <c r="D1472" s="2" t="n">
        <v>1</v>
      </c>
      <c r="E1472" s="2" t="n">
        <v>1</v>
      </c>
      <c r="F1472" s="2" t="n">
        <v>37</v>
      </c>
      <c r="G1472" s="2" t="s">
        <v>1311</v>
      </c>
      <c r="H1472" s="2" t="str">
        <f aca="false">IFERROR(__xludf.dummyfunction("IF(I1484="""", """", REGEXEXTRACT(I1484, ""Padrao/([^/]+)""))"),"Jardim Iraja")</f>
        <v>Jardim Iraja</v>
      </c>
    </row>
    <row r="1473" customFormat="false" ht="15.75" hidden="false" customHeight="false" outlineLevel="0" collapsed="false">
      <c r="A1473" s="2" t="n">
        <v>175676</v>
      </c>
      <c r="B1473" s="2" t="s">
        <v>1312</v>
      </c>
      <c r="C1473" s="2" t="n">
        <v>1</v>
      </c>
      <c r="D1473" s="2" t="n">
        <v>1</v>
      </c>
      <c r="E1473" s="2" t="n">
        <v>1</v>
      </c>
      <c r="F1473" s="2" t="n">
        <v>37</v>
      </c>
      <c r="G1473" s="2" t="s">
        <v>1311</v>
      </c>
      <c r="H1473" s="2" t="str">
        <f aca="false">IFERROR(__xludf.dummyfunction("IF(I1485="""", """", REGEXEXTRACT(I1485, ""Padrao/([^/]+)""))"),"Jardim Iraja")</f>
        <v>Jardim Iraja</v>
      </c>
    </row>
    <row r="1474" customFormat="false" ht="15.75" hidden="false" customHeight="false" outlineLevel="0" collapsed="false">
      <c r="A1474" s="2" t="n">
        <v>171122</v>
      </c>
      <c r="B1474" s="2" t="s">
        <v>1313</v>
      </c>
      <c r="C1474" s="2" t="n">
        <v>2</v>
      </c>
      <c r="D1474" s="2" t="n">
        <v>1</v>
      </c>
      <c r="E1474" s="2" t="n">
        <v>1</v>
      </c>
      <c r="F1474" s="2" t="n">
        <v>52</v>
      </c>
      <c r="G1474" s="2" t="s">
        <v>1311</v>
      </c>
      <c r="H1474" s="2" t="str">
        <f aca="false">IFERROR(__xludf.dummyfunction("IF(I1486="""", """", REGEXEXTRACT(I1486, ""Padrao/([^/]+)""))"),"Jardim Palma Travassos")</f>
        <v>Jardim Palma Travassos</v>
      </c>
    </row>
    <row r="1475" customFormat="false" ht="15.75" hidden="false" customHeight="false" outlineLevel="0" collapsed="false">
      <c r="A1475" s="2" t="n">
        <v>167666</v>
      </c>
      <c r="B1475" s="2" t="s">
        <v>1314</v>
      </c>
      <c r="C1475" s="2" t="n">
        <v>2</v>
      </c>
      <c r="D1475" s="2" t="n">
        <v>1</v>
      </c>
      <c r="E1475" s="2" t="n">
        <v>1</v>
      </c>
      <c r="F1475" s="2" t="n">
        <v>48</v>
      </c>
      <c r="G1475" s="2" t="s">
        <v>1311</v>
      </c>
      <c r="H1475" s="2" t="str">
        <f aca="false">IFERROR(__xludf.dummyfunction("IF(I1487="""", """", REGEXEXTRACT(I1487, ""Padrao/([^/]+)""))"),"Geraldo Correia de Carvalho")</f>
        <v>Geraldo Correia de Carvalho</v>
      </c>
    </row>
    <row r="1476" customFormat="false" ht="15.75" hidden="false" customHeight="false" outlineLevel="0" collapsed="false">
      <c r="A1476" s="2" t="n">
        <v>149825</v>
      </c>
      <c r="B1476" s="2" t="s">
        <v>444</v>
      </c>
      <c r="C1476" s="2" t="n">
        <v>2</v>
      </c>
      <c r="D1476" s="2" t="n">
        <v>1</v>
      </c>
      <c r="E1476" s="2" t="n">
        <v>1</v>
      </c>
      <c r="F1476" s="2" t="n">
        <v>43</v>
      </c>
      <c r="G1476" s="2" t="s">
        <v>1311</v>
      </c>
      <c r="H1476" s="2" t="str">
        <f aca="false">IFERROR(__xludf.dummyfunction("IF(I1488="""", """", REGEXEXTRACT(I1488, ""Padrao/([^/]+)""))"),"Jardim Interlagos")</f>
        <v>Jardim Interlagos</v>
      </c>
    </row>
    <row r="1477" customFormat="false" ht="15.75" hidden="false" customHeight="false" outlineLevel="0" collapsed="false">
      <c r="A1477" s="2" t="n">
        <v>138536</v>
      </c>
      <c r="B1477" s="2" t="s">
        <v>746</v>
      </c>
      <c r="C1477" s="2" t="n">
        <v>2</v>
      </c>
      <c r="D1477" s="2" t="n">
        <v>1</v>
      </c>
      <c r="E1477" s="2" t="n">
        <v>1</v>
      </c>
      <c r="F1477" s="2" t="n">
        <v>43</v>
      </c>
      <c r="G1477" s="2" t="s">
        <v>1311</v>
      </c>
      <c r="H1477" s="2" t="str">
        <f aca="false">IFERROR(__xludf.dummyfunction("IF(I1489="""", """", REGEXEXTRACT(I1489, ""Padrao/([^/]+)""))"),"Condominio Uirapuru")</f>
        <v>Condominio Uirapuru</v>
      </c>
    </row>
    <row r="1478" customFormat="false" ht="15.75" hidden="false" customHeight="false" outlineLevel="0" collapsed="false">
      <c r="A1478" s="2" t="n">
        <v>135989</v>
      </c>
      <c r="B1478" s="2" t="s">
        <v>1315</v>
      </c>
      <c r="C1478" s="2" t="n">
        <v>2</v>
      </c>
      <c r="D1478" s="2" t="n">
        <v>1</v>
      </c>
      <c r="E1478" s="2" t="n">
        <v>1</v>
      </c>
      <c r="F1478" s="2" t="n">
        <v>44</v>
      </c>
      <c r="G1478" s="2" t="s">
        <v>1311</v>
      </c>
      <c r="H1478" s="2" t="str">
        <f aca="false">IFERROR(__xludf.dummyfunction("IF(I1490="""", """", REGEXEXTRACT(I1490, ""Padrao/([^/]+)""))"),"Residencial Greenville")</f>
        <v>Residencial Greenville</v>
      </c>
    </row>
    <row r="1479" customFormat="false" ht="15.75" hidden="false" customHeight="false" outlineLevel="0" collapsed="false">
      <c r="A1479" s="2" t="n">
        <v>132716</v>
      </c>
      <c r="B1479" s="2" t="s">
        <v>162</v>
      </c>
      <c r="C1479" s="2" t="n">
        <v>2</v>
      </c>
      <c r="D1479" s="2" t="n">
        <v>1</v>
      </c>
      <c r="E1479" s="2" t="n">
        <v>1</v>
      </c>
      <c r="F1479" s="2" t="n">
        <v>40</v>
      </c>
      <c r="G1479" s="2" t="s">
        <v>1311</v>
      </c>
      <c r="H1479" s="2" t="str">
        <f aca="false">IFERROR(__xludf.dummyfunction("IF(I1491="""", """", REGEXEXTRACT(I1491, ""Padrao/([^/]+)""))"),"Parque dos Pinus")</f>
        <v>Parque dos Pinus</v>
      </c>
    </row>
    <row r="1480" customFormat="false" ht="15.75" hidden="false" customHeight="false" outlineLevel="0" collapsed="false">
      <c r="A1480" s="2" t="n">
        <v>127490</v>
      </c>
      <c r="B1480" s="2" t="s">
        <v>1316</v>
      </c>
      <c r="C1480" s="2" t="n">
        <v>2</v>
      </c>
      <c r="D1480" s="2" t="n">
        <v>1</v>
      </c>
      <c r="E1480" s="2" t="n">
        <v>1</v>
      </c>
      <c r="F1480" s="2" t="n">
        <v>42</v>
      </c>
      <c r="G1480" s="2" t="s">
        <v>1311</v>
      </c>
      <c r="H1480" s="2" t="str">
        <f aca="false">IFERROR(__xludf.dummyfunction("IF(I1492="""", """", REGEXEXTRACT(I1492, ""Padrao/([^/]+)""))"),"Jardim Santa Cecilia")</f>
        <v>Jardim Santa Cecilia</v>
      </c>
    </row>
    <row r="1481" customFormat="false" ht="15.75" hidden="false" customHeight="false" outlineLevel="0" collapsed="false">
      <c r="A1481" s="2" t="n">
        <v>179411</v>
      </c>
      <c r="B1481" s="2" t="s">
        <v>1317</v>
      </c>
      <c r="C1481" s="2" t="n">
        <v>2</v>
      </c>
      <c r="D1481" s="2" t="n">
        <v>1</v>
      </c>
      <c r="E1481" s="2" t="n">
        <v>1</v>
      </c>
      <c r="F1481" s="2" t="n">
        <v>42</v>
      </c>
      <c r="G1481" s="2" t="s">
        <v>1311</v>
      </c>
      <c r="H1481" s="2" t="str">
        <f aca="false">IFERROR(__xludf.dummyfunction("IF(I1493="""", """", REGEXEXTRACT(I1493, ""Padrao/([^/]+)""))"),"Valentina Figueiredo")</f>
        <v>Valentina Figueiredo</v>
      </c>
    </row>
    <row r="1482" customFormat="false" ht="15.75" hidden="false" customHeight="false" outlineLevel="0" collapsed="false">
      <c r="A1482" s="2" t="n">
        <v>115661</v>
      </c>
      <c r="B1482" s="2" t="s">
        <v>1318</v>
      </c>
      <c r="C1482" s="2" t="n">
        <v>2</v>
      </c>
      <c r="D1482" s="2" t="n">
        <v>1</v>
      </c>
      <c r="E1482" s="2" t="n">
        <v>1</v>
      </c>
      <c r="F1482" s="2" t="n">
        <v>43</v>
      </c>
      <c r="G1482" s="2" t="s">
        <v>472</v>
      </c>
      <c r="H1482" s="2" t="str">
        <f aca="false">IFERROR(__xludf.dummyfunction("IF(I1494="""", """", REGEXEXTRACT(I1494, ""Padrao/([^/]+)""))"),"Sumarezinho")</f>
        <v>Sumarezinho</v>
      </c>
    </row>
    <row r="1483" customFormat="false" ht="15.75" hidden="false" customHeight="false" outlineLevel="0" collapsed="false">
      <c r="A1483" s="2" t="n">
        <v>243257</v>
      </c>
      <c r="B1483" s="2" t="s">
        <v>1319</v>
      </c>
      <c r="C1483" s="2" t="n">
        <v>2</v>
      </c>
      <c r="D1483" s="2" t="n">
        <v>1</v>
      </c>
      <c r="E1483" s="2" t="n">
        <v>1</v>
      </c>
      <c r="F1483" s="2" t="n">
        <v>40</v>
      </c>
      <c r="G1483" s="2" t="s">
        <v>1320</v>
      </c>
      <c r="H1483" s="2" t="str">
        <f aca="false">IFERROR(__xludf.dummyfunction("IF(I1495="""", """", REGEXEXTRACT(I1495, ""Padrao/([^/]+)""))"),"Reserva Real")</f>
        <v>Reserva Real</v>
      </c>
    </row>
    <row r="1484" customFormat="false" ht="15.75" hidden="false" customHeight="false" outlineLevel="0" collapsed="false">
      <c r="A1484" s="2" t="n">
        <v>216740</v>
      </c>
      <c r="B1484" s="2" t="s">
        <v>1321</v>
      </c>
      <c r="C1484" s="2" t="n">
        <v>2</v>
      </c>
      <c r="D1484" s="2" t="n">
        <v>1</v>
      </c>
      <c r="E1484" s="2" t="n">
        <v>1</v>
      </c>
      <c r="F1484" s="2" t="n">
        <v>47</v>
      </c>
      <c r="G1484" s="2" t="s">
        <v>1320</v>
      </c>
      <c r="H1484" s="2" t="str">
        <f aca="false">IFERROR(__xludf.dummyfunction("IF(I1496="""", """", REGEXEXTRACT(I1496, ""Padrao/([^/]+)""))"),"Campos Eliseos")</f>
        <v>Campos Eliseos</v>
      </c>
    </row>
    <row r="1485" customFormat="false" ht="15.75" hidden="false" customHeight="false" outlineLevel="0" collapsed="false">
      <c r="A1485" s="2" t="n">
        <v>139196</v>
      </c>
      <c r="B1485" s="2" t="s">
        <v>1322</v>
      </c>
      <c r="C1485" s="2" t="n">
        <v>2</v>
      </c>
      <c r="D1485" s="2" t="n">
        <v>1</v>
      </c>
      <c r="E1485" s="2" t="n">
        <v>1</v>
      </c>
      <c r="F1485" s="2" t="n">
        <v>52</v>
      </c>
      <c r="G1485" s="2" t="s">
        <v>1320</v>
      </c>
      <c r="H1485" s="2" t="str">
        <f aca="false">IFERROR(__xludf.dummyfunction("IF(I1497="""", """", REGEXEXTRACT(I1497, ""Padrao/([^/]+)""))"),"Ipiranga")</f>
        <v>Ipiranga</v>
      </c>
    </row>
    <row r="1486" customFormat="false" ht="15.75" hidden="false" customHeight="false" outlineLevel="0" collapsed="false">
      <c r="A1486" s="2" t="n">
        <v>26963</v>
      </c>
      <c r="B1486" s="2" t="s">
        <v>1323</v>
      </c>
      <c r="C1486" s="2" t="n">
        <v>1</v>
      </c>
      <c r="D1486" s="2" t="n">
        <v>1</v>
      </c>
      <c r="E1486" s="2" t="n">
        <v>1</v>
      </c>
      <c r="F1486" s="2" t="n">
        <v>39</v>
      </c>
      <c r="G1486" s="2" t="s">
        <v>472</v>
      </c>
      <c r="H1486" s="2" t="str">
        <f aca="false">IFERROR(__xludf.dummyfunction("IF(I1498="""", """", REGEXEXTRACT(I1498, ""Padrao/([^/]+)""))"),"Vila Seixas")</f>
        <v>Vila Seixas</v>
      </c>
    </row>
    <row r="1487" customFormat="false" ht="15.75" hidden="false" customHeight="false" outlineLevel="0" collapsed="false">
      <c r="A1487" s="2" t="n">
        <v>224288</v>
      </c>
      <c r="B1487" s="2" t="s">
        <v>1324</v>
      </c>
      <c r="C1487" s="2" t="n">
        <v>2</v>
      </c>
      <c r="D1487" s="2" t="n">
        <v>1</v>
      </c>
      <c r="E1487" s="2" t="n">
        <v>1</v>
      </c>
      <c r="F1487" s="2" t="n">
        <v>46</v>
      </c>
      <c r="G1487" s="2" t="s">
        <v>1325</v>
      </c>
      <c r="H1487" s="2" t="str">
        <f aca="false">IFERROR(__xludf.dummyfunction("IF(I1499="""", """", REGEXEXTRACT(I1499, ""Padrao/([^/]+)""))"),"City Ribeirao")</f>
        <v>City Ribeirao</v>
      </c>
    </row>
    <row r="1488" customFormat="false" ht="15.75" hidden="false" customHeight="false" outlineLevel="0" collapsed="false">
      <c r="A1488" s="2" t="n">
        <v>222221</v>
      </c>
      <c r="B1488" s="2" t="s">
        <v>1326</v>
      </c>
      <c r="C1488" s="2" t="n">
        <v>2</v>
      </c>
      <c r="D1488" s="2" t="n">
        <v>1</v>
      </c>
      <c r="E1488" s="2" t="n">
        <v>1</v>
      </c>
      <c r="F1488" s="2" t="n">
        <v>41</v>
      </c>
      <c r="G1488" s="2" t="s">
        <v>1325</v>
      </c>
      <c r="H1488" s="2" t="str">
        <f aca="false">IFERROR(__xludf.dummyfunction("IF(I1500="""", """", REGEXEXTRACT(I1500, ""Padrao/([^/]+)""))"),"Residencial Jequitiba")</f>
        <v>Residencial Jequitiba</v>
      </c>
    </row>
    <row r="1489" customFormat="false" ht="15.75" hidden="false" customHeight="false" outlineLevel="0" collapsed="false">
      <c r="A1489" s="2" t="n">
        <v>176780</v>
      </c>
      <c r="B1489" s="2" t="s">
        <v>815</v>
      </c>
      <c r="C1489" s="2" t="n">
        <v>2</v>
      </c>
      <c r="D1489" s="2" t="n">
        <v>1</v>
      </c>
      <c r="E1489" s="2" t="n">
        <v>1</v>
      </c>
      <c r="F1489" s="2" t="n">
        <v>42</v>
      </c>
      <c r="G1489" s="2" t="s">
        <v>1325</v>
      </c>
      <c r="H1489" s="2" t="str">
        <f aca="false">IFERROR(__xludf.dummyfunction("IF(I1501="""", """", REGEXEXTRACT(I1501, ""Padrao/([^/]+)""))"),"Planalto Verde")</f>
        <v>Planalto Verde</v>
      </c>
    </row>
    <row r="1490" customFormat="false" ht="15.75" hidden="false" customHeight="false" outlineLevel="0" collapsed="false">
      <c r="A1490" s="2" t="n">
        <v>121745</v>
      </c>
      <c r="B1490" s="2" t="s">
        <v>1327</v>
      </c>
      <c r="C1490" s="2" t="n">
        <v>2</v>
      </c>
      <c r="D1490" s="2" t="n">
        <v>1</v>
      </c>
      <c r="E1490" s="2" t="n">
        <v>1</v>
      </c>
      <c r="F1490" s="2" t="n">
        <v>56</v>
      </c>
      <c r="G1490" s="2" t="s">
        <v>1325</v>
      </c>
      <c r="H1490" s="2" t="str">
        <f aca="false">IFERROR(__xludf.dummyfunction("IF(I1502="""", """", REGEXEXTRACT(I1502, ""Padrao/([^/]+)""))"),"Chacaras Pedro Correa de Carvalho")</f>
        <v>Chacaras Pedro Correa de Carvalho</v>
      </c>
    </row>
    <row r="1491" customFormat="false" ht="15.75" hidden="false" customHeight="false" outlineLevel="0" collapsed="false">
      <c r="A1491" s="2" t="n">
        <v>24080</v>
      </c>
      <c r="B1491" s="2" t="s">
        <v>1328</v>
      </c>
      <c r="C1491" s="2" t="n">
        <v>1</v>
      </c>
      <c r="D1491" s="2" t="n">
        <v>1</v>
      </c>
      <c r="E1491" s="2" t="n">
        <v>1</v>
      </c>
      <c r="F1491" s="2" t="n">
        <v>49</v>
      </c>
      <c r="G1491" s="2" t="s">
        <v>1325</v>
      </c>
      <c r="H1491" s="2" t="str">
        <f aca="false">IFERROR(__xludf.dummyfunction("IF(I1503="""", """", REGEXEXTRACT(I1503, ""Padrao/([^/]+)""))"),"Centro")</f>
        <v>Centro</v>
      </c>
    </row>
    <row r="1492" customFormat="false" ht="15.75" hidden="false" customHeight="false" outlineLevel="0" collapsed="false">
      <c r="A1492" s="2" t="n">
        <v>186602</v>
      </c>
      <c r="B1492" s="2" t="s">
        <v>964</v>
      </c>
      <c r="C1492" s="2" t="n">
        <v>2</v>
      </c>
      <c r="D1492" s="2" t="n">
        <v>1</v>
      </c>
      <c r="E1492" s="2" t="n">
        <v>1</v>
      </c>
      <c r="F1492" s="2" t="n">
        <v>43</v>
      </c>
      <c r="G1492" s="2" t="s">
        <v>1329</v>
      </c>
      <c r="H1492" s="2" t="str">
        <f aca="false">IFERROR(__xludf.dummyfunction("IF(I1504="""", """", REGEXEXTRACT(I1504, ""Padrao/([^/]+)""))"),"Jardim Heitor Rigon")</f>
        <v>Jardim Heitor Rigon</v>
      </c>
    </row>
    <row r="1493" customFormat="false" ht="15.75" hidden="false" customHeight="false" outlineLevel="0" collapsed="false">
      <c r="A1493" s="2" t="n">
        <v>131066</v>
      </c>
      <c r="B1493" s="2" t="s">
        <v>1330</v>
      </c>
      <c r="C1493" s="2" t="n">
        <v>2</v>
      </c>
      <c r="D1493" s="2" t="n">
        <v>1</v>
      </c>
      <c r="E1493" s="2" t="n">
        <v>1</v>
      </c>
      <c r="F1493" s="2" t="n">
        <v>41</v>
      </c>
      <c r="G1493" s="2" t="s">
        <v>425</v>
      </c>
      <c r="H1493" s="2" t="str">
        <f aca="false">IFERROR(__xludf.dummyfunction("IF(I1505="""", """", REGEXEXTRACT(I1505, ""Padrao/([^/]+)""))"),"Conjunto Habitacional Silvio Passalacqua")</f>
        <v>Conjunto Habitacional Silvio Passalacqua</v>
      </c>
    </row>
    <row r="1494" customFormat="false" ht="15.75" hidden="false" customHeight="false" outlineLevel="0" collapsed="false">
      <c r="A1494" s="2" t="n">
        <v>224771</v>
      </c>
      <c r="B1494" s="2" t="s">
        <v>1331</v>
      </c>
      <c r="C1494" s="2" t="n">
        <v>2</v>
      </c>
      <c r="D1494" s="2" t="n">
        <v>1</v>
      </c>
      <c r="E1494" s="2" t="n">
        <v>1</v>
      </c>
      <c r="F1494" s="2" t="n">
        <v>40</v>
      </c>
      <c r="G1494" s="2" t="s">
        <v>428</v>
      </c>
      <c r="H1494" s="2" t="str">
        <f aca="false">IFERROR(__xludf.dummyfunction("IF(I1506="""", """", REGEXEXTRACT(I1506, ""Padrao/([^/]+)""))"),"Jardim Itau")</f>
        <v>Jardim Itau</v>
      </c>
    </row>
    <row r="1495" customFormat="false" ht="15.75" hidden="false" customHeight="false" outlineLevel="0" collapsed="false">
      <c r="A1495" s="2" t="n">
        <v>153971</v>
      </c>
      <c r="B1495" s="2" t="s">
        <v>1332</v>
      </c>
      <c r="C1495" s="2" t="n">
        <v>2</v>
      </c>
      <c r="D1495" s="2" t="n">
        <v>1</v>
      </c>
      <c r="E1495" s="2" t="n">
        <v>1</v>
      </c>
      <c r="F1495" s="2" t="n">
        <v>58</v>
      </c>
      <c r="G1495" s="2" t="s">
        <v>435</v>
      </c>
      <c r="H1495" s="2" t="str">
        <f aca="false">IFERROR(__xludf.dummyfunction("IF(I1507="""", """", REGEXEXTRACT(I1507, ""Padrao/([^/]+)""))"),"Planalto Verde")</f>
        <v>Planalto Verde</v>
      </c>
    </row>
    <row r="1496" customFormat="false" ht="15.75" hidden="false" customHeight="false" outlineLevel="0" collapsed="false">
      <c r="A1496" s="2" t="n">
        <v>129491</v>
      </c>
      <c r="B1496" s="2" t="s">
        <v>1333</v>
      </c>
      <c r="C1496" s="2" t="n">
        <v>2</v>
      </c>
      <c r="D1496" s="2" t="n">
        <v>1</v>
      </c>
      <c r="E1496" s="2" t="n">
        <v>1</v>
      </c>
      <c r="F1496" s="2" t="n">
        <v>66</v>
      </c>
      <c r="G1496" s="2" t="s">
        <v>435</v>
      </c>
      <c r="H1496" s="2" t="str">
        <f aca="false">IFERROR(__xludf.dummyfunction("IF(I1508="""", """", REGEXEXTRACT(I1508, ""Padrao/([^/]+)""))"),"Ribeirao Verde")</f>
        <v>Ribeirao Verde</v>
      </c>
    </row>
    <row r="1497" customFormat="false" ht="15.75" hidden="false" customHeight="false" outlineLevel="0" collapsed="false">
      <c r="A1497" s="2" t="n">
        <v>140333</v>
      </c>
      <c r="B1497" s="2" t="s">
        <v>1334</v>
      </c>
      <c r="C1497" s="2" t="n">
        <v>2</v>
      </c>
      <c r="D1497" s="2" t="n">
        <v>1</v>
      </c>
      <c r="E1497" s="2" t="n">
        <v>1</v>
      </c>
      <c r="F1497" s="2" t="n">
        <v>44</v>
      </c>
      <c r="G1497" s="2" t="s">
        <v>443</v>
      </c>
      <c r="H1497" s="2" t="str">
        <f aca="false">IFERROR(__xludf.dummyfunction("IF(I1509="""", """", REGEXEXTRACT(I1509, ""Padrao/([^/]+)""))"),"Vila Virginia")</f>
        <v>Vila Virginia</v>
      </c>
    </row>
    <row r="1498" customFormat="false" ht="15.75" hidden="false" customHeight="false" outlineLevel="0" collapsed="false">
      <c r="A1498" s="2" t="n">
        <v>207590</v>
      </c>
      <c r="B1498" s="2" t="s">
        <v>1335</v>
      </c>
      <c r="C1498" s="2" t="n">
        <v>2</v>
      </c>
      <c r="D1498" s="2" t="n">
        <v>1</v>
      </c>
      <c r="E1498" s="2" t="n">
        <v>1</v>
      </c>
      <c r="F1498" s="2" t="n">
        <v>56</v>
      </c>
      <c r="G1498" s="2" t="s">
        <v>1025</v>
      </c>
      <c r="H1498" s="2" t="str">
        <f aca="false">IFERROR(__xludf.dummyfunction("IF(I1510="""", """", REGEXEXTRACT(I1510, ""Padrao/([^/]+)""))"),"Jardim Ouro Branco")</f>
        <v>Jardim Ouro Branco</v>
      </c>
    </row>
    <row r="1499" customFormat="false" ht="15.75" hidden="false" customHeight="false" outlineLevel="0" collapsed="false">
      <c r="A1499" s="2" t="n">
        <v>241892</v>
      </c>
      <c r="B1499" s="2" t="s">
        <v>1336</v>
      </c>
      <c r="C1499" s="2" t="n">
        <v>2</v>
      </c>
      <c r="D1499" s="2" t="n">
        <v>1</v>
      </c>
      <c r="E1499" s="2" t="n">
        <v>1</v>
      </c>
      <c r="F1499" s="2" t="n">
        <v>43</v>
      </c>
      <c r="G1499" s="2" t="s">
        <v>446</v>
      </c>
      <c r="H1499" s="2" t="str">
        <f aca="false">IFERROR(__xludf.dummyfunction("IF(I1511="""", """", REGEXEXTRACT(I1511, ""Padrao/([^/]+)""))"),"Reserva Macauba")</f>
        <v>Reserva Macauba</v>
      </c>
    </row>
    <row r="1500" customFormat="false" ht="15.75" hidden="false" customHeight="false" outlineLevel="0" collapsed="false">
      <c r="A1500" s="2" t="n">
        <v>197249</v>
      </c>
      <c r="B1500" s="2" t="s">
        <v>1337</v>
      </c>
      <c r="C1500" s="2" t="n">
        <v>2</v>
      </c>
      <c r="D1500" s="2" t="n">
        <v>1</v>
      </c>
      <c r="E1500" s="2" t="n">
        <v>1</v>
      </c>
      <c r="F1500" s="2" t="n">
        <v>42</v>
      </c>
      <c r="G1500" s="2" t="s">
        <v>446</v>
      </c>
      <c r="H1500" s="2" t="str">
        <f aca="false">IFERROR(__xludf.dummyfunction("IF(I1512="""", """", REGEXEXTRACT(I1512, ""Padrao/([^/]+)""))"),"Vila Virginia")</f>
        <v>Vila Virginia</v>
      </c>
    </row>
    <row r="1501" customFormat="false" ht="15.75" hidden="false" customHeight="false" outlineLevel="0" collapsed="false">
      <c r="A1501" s="2" t="n">
        <v>144218</v>
      </c>
      <c r="B1501" s="2" t="s">
        <v>454</v>
      </c>
      <c r="C1501" s="2" t="n">
        <v>2</v>
      </c>
      <c r="D1501" s="2" t="n">
        <v>1</v>
      </c>
      <c r="E1501" s="2" t="n">
        <v>1</v>
      </c>
      <c r="F1501" s="2" t="n">
        <v>41</v>
      </c>
      <c r="G1501" s="2" t="s">
        <v>446</v>
      </c>
      <c r="H1501" s="2" t="str">
        <f aca="false">IFERROR(__xludf.dummyfunction("IF(I1513="""", """", REGEXEXTRACT(I1513, ""Padrao/([^/]+)""))"),"Reserva Real")</f>
        <v>Reserva Real</v>
      </c>
    </row>
    <row r="1502" customFormat="false" ht="15.75" hidden="false" customHeight="false" outlineLevel="0" collapsed="false">
      <c r="A1502" s="2" t="n">
        <v>154964</v>
      </c>
      <c r="B1502" s="2" t="s">
        <v>849</v>
      </c>
      <c r="C1502" s="2" t="n">
        <v>2</v>
      </c>
      <c r="D1502" s="2" t="n">
        <v>1</v>
      </c>
      <c r="E1502" s="2" t="n">
        <v>1</v>
      </c>
      <c r="F1502" s="2" t="n">
        <v>42</v>
      </c>
      <c r="G1502" s="2" t="s">
        <v>459</v>
      </c>
      <c r="H1502" s="2" t="str">
        <f aca="false">IFERROR(__xludf.dummyfunction("IF(I1514="""", """", REGEXEXTRACT(I1514, ""Padrao/([^/]+)""))"),"Campos Eliseos")</f>
        <v>Campos Eliseos</v>
      </c>
    </row>
    <row r="1503" customFormat="false" ht="15.75" hidden="false" customHeight="false" outlineLevel="0" collapsed="false">
      <c r="A1503" s="2" t="n">
        <v>125774</v>
      </c>
      <c r="B1503" s="2" t="s">
        <v>162</v>
      </c>
      <c r="C1503" s="2" t="n">
        <v>1</v>
      </c>
      <c r="D1503" s="2" t="n">
        <v>1</v>
      </c>
      <c r="E1503" s="2" t="n">
        <v>1</v>
      </c>
      <c r="F1503" s="2" t="n">
        <v>31</v>
      </c>
      <c r="G1503" s="2" t="s">
        <v>1152</v>
      </c>
      <c r="H1503" s="2" t="str">
        <f aca="false">IFERROR(__xludf.dummyfunction("IF(I1515="""", """", REGEXEXTRACT(I1515, ""Padrao/([^/]+)""))"),"Vila Ana Maria")</f>
        <v>Vila Ana Maria</v>
      </c>
    </row>
    <row r="1504" customFormat="false" ht="15.75" hidden="false" customHeight="false" outlineLevel="0" collapsed="false">
      <c r="A1504" s="2" t="n">
        <v>143459</v>
      </c>
      <c r="B1504" s="2" t="s">
        <v>680</v>
      </c>
      <c r="C1504" s="2" t="n">
        <v>2</v>
      </c>
      <c r="D1504" s="2" t="n">
        <v>1</v>
      </c>
      <c r="E1504" s="2" t="n">
        <v>1</v>
      </c>
      <c r="F1504" s="2" t="n">
        <v>42</v>
      </c>
      <c r="G1504" s="2" t="s">
        <v>464</v>
      </c>
      <c r="H1504" s="2" t="str">
        <f aca="false">IFERROR(__xludf.dummyfunction("IF(I1516="""", """", REGEXEXTRACT(I1516, ""Padrao/([^/]+)""))"),"Quintino Facci II")</f>
        <v>Quintino Facci II</v>
      </c>
    </row>
    <row r="1505" customFormat="false" ht="15.75" hidden="false" customHeight="false" outlineLevel="0" collapsed="false">
      <c r="A1505" s="2" t="n">
        <v>227858</v>
      </c>
      <c r="B1505" s="2" t="s">
        <v>1338</v>
      </c>
      <c r="C1505" s="2" t="n">
        <v>1</v>
      </c>
      <c r="D1505" s="2" t="n">
        <v>1</v>
      </c>
      <c r="E1505" s="2" t="n">
        <v>1</v>
      </c>
      <c r="F1505" s="2" t="n">
        <v>46</v>
      </c>
      <c r="G1505" s="2" t="s">
        <v>472</v>
      </c>
      <c r="H1505" s="2" t="str">
        <f aca="false">IFERROR(__xludf.dummyfunction("IF(I1517="""", """", REGEXEXTRACT(I1517, ""Padrao/([^/]+)""))"),"Centro")</f>
        <v>Centro</v>
      </c>
    </row>
    <row r="1506" customFormat="false" ht="15.75" hidden="false" customHeight="false" outlineLevel="0" collapsed="false">
      <c r="A1506" s="2" t="n">
        <v>220127</v>
      </c>
      <c r="B1506" s="2" t="s">
        <v>1339</v>
      </c>
      <c r="C1506" s="2" t="n">
        <v>2</v>
      </c>
      <c r="D1506" s="2" t="n">
        <v>2</v>
      </c>
      <c r="E1506" s="2" t="n">
        <v>1</v>
      </c>
      <c r="F1506" s="2" t="n">
        <v>56</v>
      </c>
      <c r="G1506" s="2" t="s">
        <v>472</v>
      </c>
      <c r="H1506" s="2" t="str">
        <f aca="false">IFERROR(__xludf.dummyfunction("IF(I1518="""", """", REGEXEXTRACT(I1518, ""Padrao/([^/]+)""))"),"Chacaras Pedro Correa de Carvalho")</f>
        <v>Chacaras Pedro Correa de Carvalho</v>
      </c>
    </row>
    <row r="1507" customFormat="false" ht="15.75" hidden="false" customHeight="false" outlineLevel="0" collapsed="false">
      <c r="A1507" s="2" t="n">
        <v>205811</v>
      </c>
      <c r="B1507" s="2" t="s">
        <v>454</v>
      </c>
      <c r="C1507" s="2" t="n">
        <v>2</v>
      </c>
      <c r="D1507" s="2" t="n">
        <v>1</v>
      </c>
      <c r="E1507" s="2" t="n">
        <v>1</v>
      </c>
      <c r="F1507" s="2" t="n">
        <v>41</v>
      </c>
      <c r="G1507" s="2" t="s">
        <v>472</v>
      </c>
      <c r="H1507" s="2" t="str">
        <f aca="false">IFERROR(__xludf.dummyfunction("IF(I1519="""", """", REGEXEXTRACT(I1519, ""Padrao/([^/]+)""))"),"Reserva Real")</f>
        <v>Reserva Real</v>
      </c>
    </row>
    <row r="1508" customFormat="false" ht="15.75" hidden="false" customHeight="false" outlineLevel="0" collapsed="false">
      <c r="A1508" s="2" t="n">
        <v>62360</v>
      </c>
      <c r="B1508" s="2" t="s">
        <v>1340</v>
      </c>
      <c r="C1508" s="2" t="n">
        <v>1</v>
      </c>
      <c r="D1508" s="2" t="n">
        <v>1</v>
      </c>
      <c r="E1508" s="2" t="n">
        <v>2</v>
      </c>
      <c r="F1508" s="2" t="n">
        <v>39</v>
      </c>
      <c r="G1508" s="2" t="s">
        <v>1341</v>
      </c>
      <c r="H1508" s="2" t="str">
        <f aca="false">IFERROR(__xludf.dummyfunction("IF(I1520="""", """", REGEXEXTRACT(I1520, ""Padrao/([^/]+)""))"),"Vila Ana Maria")</f>
        <v>Vila Ana Maria</v>
      </c>
    </row>
    <row r="1509" customFormat="false" ht="15.75" hidden="false" customHeight="false" outlineLevel="0" collapsed="false">
      <c r="A1509" s="2" t="n">
        <v>245507</v>
      </c>
      <c r="B1509" s="2" t="s">
        <v>1158</v>
      </c>
      <c r="C1509" s="2" t="n">
        <v>2</v>
      </c>
      <c r="D1509" s="2" t="n">
        <v>1</v>
      </c>
      <c r="E1509" s="2" t="n">
        <v>1</v>
      </c>
      <c r="F1509" s="2" t="n">
        <v>40</v>
      </c>
      <c r="G1509" s="2" t="s">
        <v>474</v>
      </c>
      <c r="H1509" s="2" t="str">
        <f aca="false">IFERROR(__xludf.dummyfunction("IF(I1521="""", """", REGEXEXTRACT(I1521, ""Padrao/([^/]+)""))"),"Jardim Cybelli")</f>
        <v>Jardim Cybelli</v>
      </c>
    </row>
    <row r="1510" customFormat="false" ht="15.75" hidden="false" customHeight="false" outlineLevel="0" collapsed="false">
      <c r="A1510" s="2" t="n">
        <v>242795</v>
      </c>
      <c r="B1510" s="2" t="s">
        <v>1342</v>
      </c>
      <c r="C1510" s="2" t="n">
        <v>2</v>
      </c>
      <c r="D1510" s="2" t="n">
        <v>1</v>
      </c>
      <c r="E1510" s="2" t="n">
        <v>1</v>
      </c>
      <c r="F1510" s="2" t="n">
        <v>42</v>
      </c>
      <c r="G1510" s="2" t="s">
        <v>474</v>
      </c>
      <c r="H1510" s="2" t="str">
        <f aca="false">IFERROR(__xludf.dummyfunction("IF(I1522="""", """", REGEXEXTRACT(I1522, ""Padrao/([^/]+)""))"),"Jardim Santa Cecilia")</f>
        <v>Jardim Santa Cecilia</v>
      </c>
    </row>
    <row r="1511" customFormat="false" ht="15.75" hidden="false" customHeight="false" outlineLevel="0" collapsed="false">
      <c r="A1511" s="2" t="n">
        <v>242597</v>
      </c>
      <c r="B1511" s="2" t="s">
        <v>408</v>
      </c>
      <c r="C1511" s="2" t="n">
        <v>2</v>
      </c>
      <c r="D1511" s="2" t="n">
        <v>1</v>
      </c>
      <c r="E1511" s="2" t="n">
        <v>1</v>
      </c>
      <c r="F1511" s="2" t="n">
        <v>40</v>
      </c>
      <c r="G1511" s="2" t="s">
        <v>474</v>
      </c>
      <c r="H1511" s="2" t="str">
        <f aca="false">IFERROR(__xludf.dummyfunction("IF(I1523="""", """", REGEXEXTRACT(I1523, ""Padrao/([^/]+)""))"),"Reserva Real")</f>
        <v>Reserva Real</v>
      </c>
    </row>
    <row r="1512" customFormat="false" ht="15.75" hidden="false" customHeight="false" outlineLevel="0" collapsed="false">
      <c r="A1512" s="2" t="n">
        <v>241928</v>
      </c>
      <c r="B1512" s="2" t="s">
        <v>1343</v>
      </c>
      <c r="C1512" s="2" t="n">
        <v>2</v>
      </c>
      <c r="D1512" s="2" t="n">
        <v>2</v>
      </c>
      <c r="E1512" s="2" t="n">
        <v>1</v>
      </c>
      <c r="F1512" s="2" t="n">
        <v>58</v>
      </c>
      <c r="G1512" s="2" t="s">
        <v>474</v>
      </c>
      <c r="H1512" s="2" t="str">
        <f aca="false">IFERROR(__xludf.dummyfunction("IF(I1524="""", """", REGEXEXTRACT(I1524, ""Padrao/([^/]+)""))"),"Jardim Paulistano")</f>
        <v>Jardim Paulistano</v>
      </c>
    </row>
    <row r="1513" customFormat="false" ht="15.75" hidden="false" customHeight="false" outlineLevel="0" collapsed="false">
      <c r="A1513" s="2" t="n">
        <v>241442</v>
      </c>
      <c r="B1513" s="2" t="s">
        <v>476</v>
      </c>
      <c r="C1513" s="2" t="n">
        <v>2</v>
      </c>
      <c r="D1513" s="2" t="n">
        <v>1</v>
      </c>
      <c r="E1513" s="2" t="n">
        <v>1</v>
      </c>
      <c r="F1513" s="2" t="n">
        <v>42</v>
      </c>
      <c r="G1513" s="2" t="s">
        <v>474</v>
      </c>
      <c r="H1513" s="2" t="str">
        <f aca="false">IFERROR(__xludf.dummyfunction("IF(I1525="""", """", REGEXEXTRACT(I1525, ""Padrao/([^/]+)""))"),"Jardim Heitor Rigon")</f>
        <v>Jardim Heitor Rigon</v>
      </c>
    </row>
    <row r="1514" customFormat="false" ht="15.75" hidden="false" customHeight="false" outlineLevel="0" collapsed="false">
      <c r="A1514" s="2" t="n">
        <v>239465</v>
      </c>
      <c r="B1514" s="2" t="s">
        <v>768</v>
      </c>
      <c r="C1514" s="2" t="n">
        <v>2</v>
      </c>
      <c r="D1514" s="2" t="n">
        <v>1</v>
      </c>
      <c r="E1514" s="2" t="n">
        <v>1</v>
      </c>
      <c r="F1514" s="2" t="n">
        <v>40</v>
      </c>
      <c r="G1514" s="2" t="s">
        <v>474</v>
      </c>
      <c r="H1514" s="2" t="str">
        <f aca="false">IFERROR(__xludf.dummyfunction("IF(I1526="""", """", REGEXEXTRACT(I1526, ""Padrao/([^/]+)""))"),"Parque dos Pinus")</f>
        <v>Parque dos Pinus</v>
      </c>
    </row>
    <row r="1515" customFormat="false" ht="15.75" hidden="false" customHeight="false" outlineLevel="0" collapsed="false">
      <c r="A1515" s="2" t="n">
        <v>237809</v>
      </c>
      <c r="B1515" s="2" t="s">
        <v>1344</v>
      </c>
      <c r="C1515" s="2" t="n">
        <v>2</v>
      </c>
      <c r="D1515" s="2" t="n">
        <v>1</v>
      </c>
      <c r="E1515" s="2" t="n">
        <v>1</v>
      </c>
      <c r="F1515" s="2" t="n">
        <v>48</v>
      </c>
      <c r="G1515" s="2" t="s">
        <v>474</v>
      </c>
      <c r="H1515" s="2" t="str">
        <f aca="false">IFERROR(__xludf.dummyfunction("IF(I1527="""", """", REGEXEXTRACT(I1527, ""Padrao/([^/]+)""))"),"Ipiranga")</f>
        <v>Ipiranga</v>
      </c>
    </row>
    <row r="1516" customFormat="false" ht="15.75" hidden="false" customHeight="false" outlineLevel="0" collapsed="false">
      <c r="A1516" s="2" t="n">
        <v>234512</v>
      </c>
      <c r="B1516" s="2" t="s">
        <v>1191</v>
      </c>
      <c r="C1516" s="2" t="n">
        <v>2</v>
      </c>
      <c r="D1516" s="2" t="n">
        <v>1</v>
      </c>
      <c r="E1516" s="2" t="n">
        <v>1</v>
      </c>
      <c r="F1516" s="2" t="n">
        <v>43</v>
      </c>
      <c r="G1516" s="2" t="s">
        <v>474</v>
      </c>
      <c r="H1516" s="2" t="str">
        <f aca="false">IFERROR(__xludf.dummyfunction("IF(I1528="""", """", REGEXEXTRACT(I1528, ""Padrao/([^/]+)""))"),"Jardim Interlagos")</f>
        <v>Jardim Interlagos</v>
      </c>
    </row>
    <row r="1517" customFormat="false" ht="15.75" hidden="false" customHeight="false" outlineLevel="0" collapsed="false">
      <c r="A1517" s="2" t="n">
        <v>233225</v>
      </c>
      <c r="B1517" s="2" t="s">
        <v>733</v>
      </c>
      <c r="C1517" s="2" t="n">
        <v>2</v>
      </c>
      <c r="D1517" s="2" t="n">
        <v>1</v>
      </c>
      <c r="E1517" s="2" t="n">
        <v>1</v>
      </c>
      <c r="F1517" s="2" t="n">
        <v>48</v>
      </c>
      <c r="G1517" s="2" t="s">
        <v>474</v>
      </c>
      <c r="H1517" s="2" t="str">
        <f aca="false">IFERROR(__xludf.dummyfunction("IF(I1529="""", """", REGEXEXTRACT(I1529, ""Padrao/([^/]+)""))"),"Ipiranga")</f>
        <v>Ipiranga</v>
      </c>
    </row>
    <row r="1518" customFormat="false" ht="15.75" hidden="false" customHeight="false" outlineLevel="0" collapsed="false">
      <c r="A1518" s="2" t="n">
        <v>227306</v>
      </c>
      <c r="B1518" s="2" t="s">
        <v>1345</v>
      </c>
      <c r="C1518" s="2" t="n">
        <v>3</v>
      </c>
      <c r="D1518" s="2" t="n">
        <v>1</v>
      </c>
      <c r="E1518" s="2" t="n">
        <v>1</v>
      </c>
      <c r="F1518" s="2" t="n">
        <v>58</v>
      </c>
      <c r="G1518" s="2" t="s">
        <v>474</v>
      </c>
      <c r="H1518" s="2" t="str">
        <f aca="false">IFERROR(__xludf.dummyfunction("IF(I1530="""", """", REGEXEXTRACT(I1530, ""Padrao/([^/]+)""))"),"Campos Eliseos")</f>
        <v>Campos Eliseos</v>
      </c>
    </row>
    <row r="1519" customFormat="false" ht="15.75" hidden="false" customHeight="false" outlineLevel="0" collapsed="false">
      <c r="A1519" s="2" t="n">
        <v>226478</v>
      </c>
      <c r="B1519" s="2" t="s">
        <v>709</v>
      </c>
      <c r="C1519" s="2" t="n">
        <v>2</v>
      </c>
      <c r="D1519" s="2" t="n">
        <v>1</v>
      </c>
      <c r="E1519" s="2" t="n">
        <v>1</v>
      </c>
      <c r="F1519" s="2" t="n">
        <v>43</v>
      </c>
      <c r="G1519" s="2" t="s">
        <v>474</v>
      </c>
      <c r="H1519" s="2" t="str">
        <f aca="false">IFERROR(__xludf.dummyfunction("IF(I1531="""", """", REGEXEXTRACT(I1531, ""Padrao/([^/]+)""))"),"Jardim Diva Tarla de Carvalho")</f>
        <v>Jardim Diva Tarla de Carvalho</v>
      </c>
    </row>
    <row r="1520" customFormat="false" ht="15.75" hidden="false" customHeight="false" outlineLevel="0" collapsed="false">
      <c r="A1520" s="2" t="n">
        <v>225737</v>
      </c>
      <c r="B1520" s="2" t="s">
        <v>1346</v>
      </c>
      <c r="C1520" s="2" t="n">
        <v>2</v>
      </c>
      <c r="D1520" s="2" t="n">
        <v>1</v>
      </c>
      <c r="E1520" s="2" t="n">
        <v>1</v>
      </c>
      <c r="F1520" s="2" t="n">
        <v>48</v>
      </c>
      <c r="G1520" s="2" t="s">
        <v>474</v>
      </c>
      <c r="H1520" s="2" t="str">
        <f aca="false">IFERROR(__xludf.dummyfunction("IF(I1532="""", """", REGEXEXTRACT(I1532, ""Padrao/([^/]+)""))"),"Parque dos Lagos")</f>
        <v>Parque dos Lagos</v>
      </c>
    </row>
    <row r="1521" customFormat="false" ht="15.75" hidden="false" customHeight="false" outlineLevel="0" collapsed="false">
      <c r="A1521" s="2" t="n">
        <v>225056</v>
      </c>
      <c r="B1521" s="2" t="s">
        <v>1255</v>
      </c>
      <c r="C1521" s="2" t="n">
        <v>2</v>
      </c>
      <c r="D1521" s="2" t="n">
        <v>1</v>
      </c>
      <c r="E1521" s="2" t="n">
        <v>1</v>
      </c>
      <c r="F1521" s="2" t="n">
        <v>44</v>
      </c>
      <c r="G1521" s="2" t="s">
        <v>474</v>
      </c>
      <c r="H1521" s="2" t="str">
        <f aca="false">IFERROR(__xludf.dummyfunction("IF(I1533="""", """", REGEXEXTRACT(I1533, ""Padrao/([^/]+)""))"),"Residencial Greenville")</f>
        <v>Residencial Greenville</v>
      </c>
    </row>
    <row r="1522" customFormat="false" ht="15.75" hidden="false" customHeight="false" outlineLevel="0" collapsed="false">
      <c r="A1522" s="2" t="n">
        <v>223772</v>
      </c>
      <c r="B1522" s="2" t="s">
        <v>1347</v>
      </c>
      <c r="C1522" s="2" t="n">
        <v>2</v>
      </c>
      <c r="D1522" s="2" t="n">
        <v>2</v>
      </c>
      <c r="E1522" s="2" t="n">
        <v>1</v>
      </c>
      <c r="F1522" s="2" t="n">
        <v>67</v>
      </c>
      <c r="G1522" s="2" t="s">
        <v>474</v>
      </c>
      <c r="H1522" s="2" t="str">
        <f aca="false">IFERROR(__xludf.dummyfunction("IF(I1534="""", """", REGEXEXTRACT(I1534, ""Padrao/([^/]+)""))"),"Alto do Ipiranga")</f>
        <v>Alto do Ipiranga</v>
      </c>
    </row>
    <row r="1523" customFormat="false" ht="15.75" hidden="false" customHeight="false" outlineLevel="0" collapsed="false">
      <c r="A1523" s="2" t="n">
        <v>223643</v>
      </c>
      <c r="B1523" s="2" t="s">
        <v>1348</v>
      </c>
      <c r="C1523" s="2" t="n">
        <v>2</v>
      </c>
      <c r="D1523" s="2" t="n">
        <v>1</v>
      </c>
      <c r="E1523" s="2" t="n">
        <v>1</v>
      </c>
      <c r="F1523" s="2" t="n">
        <v>43</v>
      </c>
      <c r="G1523" s="2" t="s">
        <v>474</v>
      </c>
      <c r="H1523" s="2" t="str">
        <f aca="false">IFERROR(__xludf.dummyfunction("IF(I1535="""", """", REGEXEXTRACT(I1535, ""Padrao/([^/]+)""))"),"Loteamento Santa Marta")</f>
        <v>Loteamento Santa Marta</v>
      </c>
    </row>
    <row r="1524" customFormat="false" ht="15.75" hidden="false" customHeight="false" outlineLevel="0" collapsed="false">
      <c r="A1524" s="2" t="n">
        <v>223118</v>
      </c>
      <c r="B1524" s="2" t="s">
        <v>429</v>
      </c>
      <c r="C1524" s="2" t="n">
        <v>2</v>
      </c>
      <c r="D1524" s="2" t="n">
        <v>1</v>
      </c>
      <c r="E1524" s="2" t="n">
        <v>1</v>
      </c>
      <c r="F1524" s="2" t="n">
        <v>43</v>
      </c>
      <c r="G1524" s="2" t="s">
        <v>474</v>
      </c>
      <c r="H1524" s="2" t="str">
        <f aca="false">IFERROR(__xludf.dummyfunction("IF(I1536="""", """", REGEXEXTRACT(I1536, ""Padrao/([^/]+)""))"),"Reserva Macauba")</f>
        <v>Reserva Macauba</v>
      </c>
    </row>
    <row r="1525" customFormat="false" ht="15.75" hidden="false" customHeight="false" outlineLevel="0" collapsed="false">
      <c r="A1525" s="2" t="n">
        <v>221510</v>
      </c>
      <c r="B1525" s="2" t="s">
        <v>1349</v>
      </c>
      <c r="C1525" s="2" t="n">
        <v>2</v>
      </c>
      <c r="D1525" s="2" t="n">
        <v>1</v>
      </c>
      <c r="E1525" s="2" t="n">
        <v>1</v>
      </c>
      <c r="F1525" s="2" t="n">
        <v>43</v>
      </c>
      <c r="G1525" s="2" t="s">
        <v>474</v>
      </c>
      <c r="H1525" s="2" t="str">
        <f aca="false">IFERROR(__xludf.dummyfunction("IF(I1537="""", """", REGEXEXTRACT(I1537, ""Padrao/([^/]+)""))"),"Alto do Ipiranga")</f>
        <v>Alto do Ipiranga</v>
      </c>
    </row>
    <row r="1526" customFormat="false" ht="15.75" hidden="false" customHeight="false" outlineLevel="0" collapsed="false">
      <c r="A1526" s="2" t="n">
        <v>217988</v>
      </c>
      <c r="B1526" s="2" t="s">
        <v>966</v>
      </c>
      <c r="C1526" s="2" t="n">
        <v>2</v>
      </c>
      <c r="D1526" s="2" t="n">
        <v>1</v>
      </c>
      <c r="E1526" s="2" t="n">
        <v>1</v>
      </c>
      <c r="F1526" s="2" t="n">
        <v>46</v>
      </c>
      <c r="G1526" s="2" t="s">
        <v>474</v>
      </c>
      <c r="H1526" s="2" t="str">
        <f aca="false">IFERROR(__xludf.dummyfunction("IF(I1538="""", """", REGEXEXTRACT(I1538, ""Padrao/([^/]+)""))"),"Ipiranga")</f>
        <v>Ipiranga</v>
      </c>
    </row>
    <row r="1527" customFormat="false" ht="15.75" hidden="false" customHeight="false" outlineLevel="0" collapsed="false">
      <c r="A1527" s="2" t="n">
        <v>217115</v>
      </c>
      <c r="B1527" s="2" t="s">
        <v>1350</v>
      </c>
      <c r="C1527" s="2" t="n">
        <v>2</v>
      </c>
      <c r="D1527" s="2" t="n">
        <v>1</v>
      </c>
      <c r="E1527" s="2" t="n">
        <v>1</v>
      </c>
      <c r="F1527" s="2" t="n">
        <v>49</v>
      </c>
      <c r="G1527" s="2" t="s">
        <v>474</v>
      </c>
      <c r="H1527" s="2" t="str">
        <f aca="false">IFERROR(__xludf.dummyfunction("IF(I1539="""", """", REGEXEXTRACT(I1539, ""Padrao/([^/]+)""))"),"Jardim Palma Travassos")</f>
        <v>Jardim Palma Travassos</v>
      </c>
    </row>
    <row r="1528" customFormat="false" ht="15.75" hidden="false" customHeight="false" outlineLevel="0" collapsed="false">
      <c r="A1528" s="2" t="n">
        <v>206984</v>
      </c>
      <c r="B1528" s="2" t="s">
        <v>1351</v>
      </c>
      <c r="C1528" s="2" t="n">
        <v>2</v>
      </c>
      <c r="D1528" s="2" t="n">
        <v>1</v>
      </c>
      <c r="E1528" s="2" t="n">
        <v>1</v>
      </c>
      <c r="F1528" s="2" t="n">
        <v>42</v>
      </c>
      <c r="G1528" s="2" t="s">
        <v>474</v>
      </c>
      <c r="H1528" s="2" t="str">
        <f aca="false">IFERROR(__xludf.dummyfunction("IF(I1540="""", """", REGEXEXTRACT(I1540, ""Padrao/([^/]+)""))"),"Jardim Santa Cecilia")</f>
        <v>Jardim Santa Cecilia</v>
      </c>
    </row>
    <row r="1529" customFormat="false" ht="15.75" hidden="false" customHeight="false" outlineLevel="0" collapsed="false">
      <c r="A1529" s="2" t="n">
        <v>203267</v>
      </c>
      <c r="B1529" s="2" t="s">
        <v>1352</v>
      </c>
      <c r="C1529" s="2" t="n">
        <v>2</v>
      </c>
      <c r="D1529" s="2" t="n">
        <v>1</v>
      </c>
      <c r="E1529" s="2" t="n">
        <v>1</v>
      </c>
      <c r="F1529" s="2" t="n">
        <v>40</v>
      </c>
      <c r="G1529" s="2" t="s">
        <v>474</v>
      </c>
      <c r="H1529" s="2" t="str">
        <f aca="false">IFERROR(__xludf.dummyfunction("IF(I1541="""", """", REGEXEXTRACT(I1541, ""Padrao/([^/]+)""))"),"Parque dos Pinus")</f>
        <v>Parque dos Pinus</v>
      </c>
    </row>
    <row r="1530" customFormat="false" ht="15.75" hidden="false" customHeight="false" outlineLevel="0" collapsed="false">
      <c r="A1530" s="2" t="n">
        <v>200729</v>
      </c>
      <c r="B1530" s="2" t="s">
        <v>1353</v>
      </c>
      <c r="C1530" s="2" t="n">
        <v>2</v>
      </c>
      <c r="D1530" s="2" t="n">
        <v>2</v>
      </c>
      <c r="E1530" s="2" t="n">
        <v>1</v>
      </c>
      <c r="F1530" s="2" t="n">
        <v>48</v>
      </c>
      <c r="G1530" s="2" t="s">
        <v>474</v>
      </c>
      <c r="H1530" s="2" t="str">
        <f aca="false">IFERROR(__xludf.dummyfunction("IF(I1542="""", """", REGEXEXTRACT(I1542, ""Padrao/([^/]+)""))"),"Vila Amelia")</f>
        <v>Vila Amelia</v>
      </c>
    </row>
    <row r="1531" customFormat="false" ht="15.75" hidden="false" customHeight="false" outlineLevel="0" collapsed="false">
      <c r="A1531" s="2" t="n">
        <v>199052</v>
      </c>
      <c r="B1531" s="2" t="s">
        <v>1354</v>
      </c>
      <c r="C1531" s="2" t="n">
        <v>1</v>
      </c>
      <c r="D1531" s="2" t="n">
        <v>1</v>
      </c>
      <c r="E1531" s="2" t="n">
        <v>1</v>
      </c>
      <c r="F1531" s="2" t="n">
        <v>35</v>
      </c>
      <c r="G1531" s="2" t="s">
        <v>474</v>
      </c>
      <c r="H1531" s="2" t="str">
        <f aca="false">IFERROR(__xludf.dummyfunction("IF(I1543="""", """", REGEXEXTRACT(I1543, ""Padrao/([^/]+)""))"),"Vila Monte Alegre")</f>
        <v>Vila Monte Alegre</v>
      </c>
    </row>
    <row r="1532" customFormat="false" ht="15.75" hidden="false" customHeight="false" outlineLevel="0" collapsed="false">
      <c r="A1532" s="2" t="n">
        <v>197783</v>
      </c>
      <c r="B1532" s="2" t="s">
        <v>1355</v>
      </c>
      <c r="C1532" s="2" t="n">
        <v>2</v>
      </c>
      <c r="D1532" s="2" t="n">
        <v>1</v>
      </c>
      <c r="E1532" s="2" t="n">
        <v>1</v>
      </c>
      <c r="F1532" s="2" t="n">
        <v>47</v>
      </c>
      <c r="G1532" s="2" t="s">
        <v>474</v>
      </c>
      <c r="H1532" s="2" t="str">
        <f aca="false">IFERROR(__xludf.dummyfunction("IF(I1544="""", """", REGEXEXTRACT(I1544, ""Padrao/([^/]+)""))"),"Ipiranga")</f>
        <v>Ipiranga</v>
      </c>
    </row>
    <row r="1533" customFormat="false" ht="15.75" hidden="false" customHeight="false" outlineLevel="0" collapsed="false">
      <c r="A1533" s="2" t="n">
        <v>197093</v>
      </c>
      <c r="B1533" s="2" t="s">
        <v>905</v>
      </c>
      <c r="C1533" s="2" t="n">
        <v>2</v>
      </c>
      <c r="D1533" s="2" t="n">
        <v>1</v>
      </c>
      <c r="E1533" s="2" t="n">
        <v>1</v>
      </c>
      <c r="F1533" s="2" t="n">
        <v>42</v>
      </c>
      <c r="G1533" s="2" t="s">
        <v>474</v>
      </c>
      <c r="H1533" s="2" t="str">
        <f aca="false">IFERROR(__xludf.dummyfunction("IF(I1545="""", """", REGEXEXTRACT(I1545, ""Padrao/([^/]+)""))"),"Residencial Parque dos Servidores")</f>
        <v>Residencial Parque dos Servidores</v>
      </c>
    </row>
    <row r="1534" customFormat="false" ht="15.75" hidden="false" customHeight="false" outlineLevel="0" collapsed="false">
      <c r="A1534" s="2" t="n">
        <v>195653</v>
      </c>
      <c r="B1534" s="2" t="s">
        <v>440</v>
      </c>
      <c r="C1534" s="2" t="n">
        <v>1</v>
      </c>
      <c r="D1534" s="2" t="n">
        <v>1</v>
      </c>
      <c r="E1534" s="2" t="n">
        <v>1</v>
      </c>
      <c r="F1534" s="2" t="n">
        <v>38</v>
      </c>
      <c r="G1534" s="2" t="s">
        <v>474</v>
      </c>
      <c r="H1534" s="2" t="str">
        <f aca="false">IFERROR(__xludf.dummyfunction("IF(I1546="""", """", REGEXEXTRACT(I1546, ""Padrao/([^/]+)""))"),"Jardim California")</f>
        <v>Jardim California</v>
      </c>
    </row>
    <row r="1535" customFormat="false" ht="15.75" hidden="false" customHeight="false" outlineLevel="0" collapsed="false">
      <c r="A1535" s="2" t="n">
        <v>184715</v>
      </c>
      <c r="B1535" s="2" t="s">
        <v>1356</v>
      </c>
      <c r="C1535" s="2" t="n">
        <v>1</v>
      </c>
      <c r="D1535" s="2" t="n">
        <v>1</v>
      </c>
      <c r="E1535" s="2" t="n">
        <v>1</v>
      </c>
      <c r="F1535" s="2" t="n">
        <v>39</v>
      </c>
      <c r="G1535" s="2" t="s">
        <v>474</v>
      </c>
      <c r="H1535" s="2" t="str">
        <f aca="false">IFERROR(__xludf.dummyfunction("IF(I1547="""", """", REGEXEXTRACT(I1547, ""Padrao/([^/]+)""))"),"Vila Ana Maria")</f>
        <v>Vila Ana Maria</v>
      </c>
    </row>
    <row r="1536" customFormat="false" ht="15.75" hidden="false" customHeight="false" outlineLevel="0" collapsed="false">
      <c r="A1536" s="2" t="n">
        <v>182714</v>
      </c>
      <c r="B1536" s="2" t="s">
        <v>1357</v>
      </c>
      <c r="C1536" s="2" t="n">
        <v>2</v>
      </c>
      <c r="D1536" s="2" t="n">
        <v>1</v>
      </c>
      <c r="E1536" s="2" t="n">
        <v>1</v>
      </c>
      <c r="F1536" s="2" t="n">
        <v>46</v>
      </c>
      <c r="G1536" s="2" t="s">
        <v>474</v>
      </c>
      <c r="H1536" s="2" t="str">
        <f aca="false">IFERROR(__xludf.dummyfunction("IF(I1548="""", """", REGEXEXTRACT(I1548, ""Padrao/([^/]+)""))"),"Ipiranga")</f>
        <v>Ipiranga</v>
      </c>
    </row>
    <row r="1537" customFormat="false" ht="15.75" hidden="false" customHeight="false" outlineLevel="0" collapsed="false">
      <c r="A1537" s="2" t="n">
        <v>179606</v>
      </c>
      <c r="B1537" s="2" t="s">
        <v>1221</v>
      </c>
      <c r="C1537" s="2" t="n">
        <v>2</v>
      </c>
      <c r="D1537" s="2" t="n">
        <v>1</v>
      </c>
      <c r="E1537" s="2" t="n">
        <v>1</v>
      </c>
      <c r="F1537" s="2" t="n">
        <v>42</v>
      </c>
      <c r="G1537" s="2" t="s">
        <v>474</v>
      </c>
      <c r="H1537" s="2" t="str">
        <f aca="false">IFERROR(__xludf.dummyfunction("IF(I1549="""", """", REGEXEXTRACT(I1549, ""Padrao/([^/]+)""))"),"Jardim Santa Cecilia")</f>
        <v>Jardim Santa Cecilia</v>
      </c>
    </row>
    <row r="1538" customFormat="false" ht="15.75" hidden="false" customHeight="false" outlineLevel="0" collapsed="false">
      <c r="A1538" s="2" t="n">
        <v>178895</v>
      </c>
      <c r="B1538" s="2" t="s">
        <v>1358</v>
      </c>
      <c r="C1538" s="2" t="n">
        <v>3</v>
      </c>
      <c r="D1538" s="2" t="n">
        <v>1</v>
      </c>
      <c r="E1538" s="2" t="n">
        <v>1</v>
      </c>
      <c r="F1538" s="2" t="n">
        <v>53</v>
      </c>
      <c r="G1538" s="2" t="s">
        <v>474</v>
      </c>
      <c r="H1538" s="2" t="str">
        <f aca="false">IFERROR(__xludf.dummyfunction("IF(I1550="""", """", REGEXEXTRACT(I1550, ""Padrao/([^/]+)""))"),"Jardim Paulistano")</f>
        <v>Jardim Paulistano</v>
      </c>
    </row>
    <row r="1539" customFormat="false" ht="15.75" hidden="false" customHeight="false" outlineLevel="0" collapsed="false">
      <c r="A1539" s="2" t="n">
        <v>178496</v>
      </c>
      <c r="B1539" s="2" t="s">
        <v>162</v>
      </c>
      <c r="C1539" s="2" t="n">
        <v>2</v>
      </c>
      <c r="D1539" s="2" t="n">
        <v>1</v>
      </c>
      <c r="E1539" s="2" t="n">
        <v>1</v>
      </c>
      <c r="F1539" s="2" t="n">
        <v>42</v>
      </c>
      <c r="G1539" s="2" t="s">
        <v>474</v>
      </c>
      <c r="H1539" s="2" t="str">
        <f aca="false">IFERROR(__xludf.dummyfunction("IF(I1551="""", """", REGEXEXTRACT(I1551, ""Padrao/([^/]+)""))"),"Jardim Jose Wilson Toni")</f>
        <v>Jardim Jose Wilson Toni</v>
      </c>
    </row>
    <row r="1540" customFormat="false" ht="15.75" hidden="false" customHeight="false" outlineLevel="0" collapsed="false">
      <c r="A1540" s="2" t="n">
        <v>173834</v>
      </c>
      <c r="B1540" s="2" t="s">
        <v>1075</v>
      </c>
      <c r="C1540" s="2" t="n">
        <v>3</v>
      </c>
      <c r="D1540" s="2" t="n">
        <v>1</v>
      </c>
      <c r="E1540" s="2" t="n">
        <v>1</v>
      </c>
      <c r="F1540" s="2" t="n">
        <v>66</v>
      </c>
      <c r="G1540" s="2" t="s">
        <v>474</v>
      </c>
      <c r="H1540" s="2" t="str">
        <f aca="false">IFERROR(__xludf.dummyfunction("IF(I1552="""", """", REGEXEXTRACT(I1552, ""Padrao/([^/]+)""))"),"Vila Monte Alegre")</f>
        <v>Vila Monte Alegre</v>
      </c>
    </row>
    <row r="1541" customFormat="false" ht="15.75" hidden="false" customHeight="false" outlineLevel="0" collapsed="false">
      <c r="A1541" s="2" t="n">
        <v>173036</v>
      </c>
      <c r="B1541" s="2" t="s">
        <v>1359</v>
      </c>
      <c r="C1541" s="2" t="n">
        <v>1</v>
      </c>
      <c r="D1541" s="2" t="n">
        <v>1</v>
      </c>
      <c r="E1541" s="2" t="n">
        <v>1</v>
      </c>
      <c r="F1541" s="2" t="n">
        <v>39</v>
      </c>
      <c r="G1541" s="2" t="s">
        <v>474</v>
      </c>
      <c r="H1541" s="2" t="str">
        <f aca="false">IFERROR(__xludf.dummyfunction("IF(I1553="""", """", REGEXEXTRACT(I1553, ""Padrao/([^/]+)""))"),"Jardim Paulista")</f>
        <v>Jardim Paulista</v>
      </c>
    </row>
    <row r="1542" customFormat="false" ht="15.75" hidden="false" customHeight="false" outlineLevel="0" collapsed="false">
      <c r="A1542" s="2" t="n">
        <v>170882</v>
      </c>
      <c r="B1542" s="2" t="s">
        <v>402</v>
      </c>
      <c r="C1542" s="2" t="n">
        <v>2</v>
      </c>
      <c r="D1542" s="2" t="n">
        <v>1</v>
      </c>
      <c r="E1542" s="2" t="n">
        <v>1</v>
      </c>
      <c r="F1542" s="2" t="n">
        <v>55</v>
      </c>
      <c r="G1542" s="2" t="s">
        <v>474</v>
      </c>
      <c r="H1542" s="2" t="str">
        <f aca="false">IFERROR(__xludf.dummyfunction("IF(I1554="""", """", REGEXEXTRACT(I1554, ""Padrao/([^/]+)""))"),"Vila Virginia")</f>
        <v>Vila Virginia</v>
      </c>
    </row>
    <row r="1543" customFormat="false" ht="15.75" hidden="false" customHeight="false" outlineLevel="0" collapsed="false">
      <c r="A1543" s="2" t="n">
        <v>167354</v>
      </c>
      <c r="B1543" s="2" t="s">
        <v>961</v>
      </c>
      <c r="C1543" s="2" t="n">
        <v>1</v>
      </c>
      <c r="D1543" s="2" t="n">
        <v>1</v>
      </c>
      <c r="E1543" s="2" t="n">
        <v>1</v>
      </c>
      <c r="F1543" s="2" t="n">
        <v>35</v>
      </c>
      <c r="G1543" s="2" t="s">
        <v>474</v>
      </c>
      <c r="H1543" s="2" t="str">
        <f aca="false">IFERROR(__xludf.dummyfunction("IF(I1555="""", """", REGEXEXTRACT(I1555, ""Padrao/([^/]+)""))"),"Vila Seixas")</f>
        <v>Vila Seixas</v>
      </c>
    </row>
    <row r="1544" customFormat="false" ht="15.75" hidden="false" customHeight="false" outlineLevel="0" collapsed="false">
      <c r="A1544" s="2" t="n">
        <v>165995</v>
      </c>
      <c r="B1544" s="2" t="s">
        <v>1360</v>
      </c>
      <c r="C1544" s="2" t="n">
        <v>1</v>
      </c>
      <c r="D1544" s="2" t="n">
        <v>1</v>
      </c>
      <c r="E1544" s="2" t="n">
        <v>1</v>
      </c>
      <c r="F1544" s="2" t="n">
        <v>41</v>
      </c>
      <c r="G1544" s="2" t="s">
        <v>474</v>
      </c>
      <c r="H1544" s="2" t="str">
        <f aca="false">IFERROR(__xludf.dummyfunction("IF(I1556="""", """", REGEXEXTRACT(I1556, ""Padrao/([^/]+)""))"),"Centro")</f>
        <v>Centro</v>
      </c>
    </row>
    <row r="1545" customFormat="false" ht="15.75" hidden="false" customHeight="false" outlineLevel="0" collapsed="false">
      <c r="A1545" s="2" t="n">
        <v>165965</v>
      </c>
      <c r="B1545" s="2" t="s">
        <v>1361</v>
      </c>
      <c r="C1545" s="2" t="n">
        <v>2</v>
      </c>
      <c r="D1545" s="2" t="n">
        <v>1</v>
      </c>
      <c r="E1545" s="2" t="n">
        <v>1</v>
      </c>
      <c r="F1545" s="2" t="n">
        <v>42</v>
      </c>
      <c r="G1545" s="2" t="s">
        <v>474</v>
      </c>
      <c r="H1545" s="2" t="str">
        <f aca="false">IFERROR(__xludf.dummyfunction("IF(I1557="""", """", REGEXEXTRACT(I1557, ""Padrao/([^/]+)""))"),"Parque Sao Sebastiao")</f>
        <v>Parque Sao Sebastiao</v>
      </c>
    </row>
    <row r="1546" customFormat="false" ht="15.75" hidden="false" customHeight="false" outlineLevel="0" collapsed="false">
      <c r="A1546" s="2" t="n">
        <v>165161</v>
      </c>
      <c r="B1546" s="2" t="s">
        <v>1362</v>
      </c>
      <c r="C1546" s="2" t="n">
        <v>2</v>
      </c>
      <c r="D1546" s="2" t="n">
        <v>1</v>
      </c>
      <c r="E1546" s="2" t="n">
        <v>1</v>
      </c>
      <c r="F1546" s="2" t="n">
        <v>40</v>
      </c>
      <c r="G1546" s="2" t="s">
        <v>474</v>
      </c>
      <c r="H1546" s="2" t="str">
        <f aca="false">IFERROR(__xludf.dummyfunction("IF(I1558="""", """", REGEXEXTRACT(I1558, ""Padrao/([^/]+)""))"),"Parque dos Pinus")</f>
        <v>Parque dos Pinus</v>
      </c>
    </row>
    <row r="1547" customFormat="false" ht="15.75" hidden="false" customHeight="false" outlineLevel="0" collapsed="false">
      <c r="A1547" s="2" t="n">
        <v>161900</v>
      </c>
      <c r="B1547" s="2" t="s">
        <v>1363</v>
      </c>
      <c r="C1547" s="2" t="n">
        <v>2</v>
      </c>
      <c r="D1547" s="2" t="n">
        <v>1</v>
      </c>
      <c r="E1547" s="2" t="n">
        <v>1</v>
      </c>
      <c r="F1547" s="2" t="n">
        <v>46</v>
      </c>
      <c r="G1547" s="2" t="s">
        <v>474</v>
      </c>
      <c r="H1547" s="2" t="str">
        <f aca="false">IFERROR(__xludf.dummyfunction("IF(I1559="""", """", REGEXEXTRACT(I1559, ""Padrao/([^/]+)""))"),"Sumarezinho")</f>
        <v>Sumarezinho</v>
      </c>
    </row>
    <row r="1548" customFormat="false" ht="15.75" hidden="false" customHeight="false" outlineLevel="0" collapsed="false">
      <c r="A1548" s="2" t="n">
        <v>159455</v>
      </c>
      <c r="B1548" s="2" t="s">
        <v>1364</v>
      </c>
      <c r="C1548" s="2" t="n">
        <v>2</v>
      </c>
      <c r="D1548" s="2" t="n">
        <v>1</v>
      </c>
      <c r="E1548" s="2" t="n">
        <v>1</v>
      </c>
      <c r="F1548" s="2" t="n">
        <v>45</v>
      </c>
      <c r="G1548" s="2" t="s">
        <v>474</v>
      </c>
      <c r="H1548" s="2" t="str">
        <f aca="false">IFERROR(__xludf.dummyfunction("IF(I1560="""", """", REGEXEXTRACT(I1560, ""Padrao/([^/]+)""))"),"Residencial Parque dos Servidores")</f>
        <v>Residencial Parque dos Servidores</v>
      </c>
    </row>
    <row r="1549" customFormat="false" ht="15.75" hidden="false" customHeight="false" outlineLevel="0" collapsed="false">
      <c r="A1549" s="2" t="n">
        <v>154487</v>
      </c>
      <c r="B1549" s="2" t="s">
        <v>770</v>
      </c>
      <c r="C1549" s="2" t="n">
        <v>2</v>
      </c>
      <c r="D1549" s="2" t="n">
        <v>1</v>
      </c>
      <c r="E1549" s="2" t="n">
        <v>1</v>
      </c>
      <c r="F1549" s="2" t="n">
        <v>42</v>
      </c>
      <c r="G1549" s="2" t="s">
        <v>474</v>
      </c>
      <c r="H1549" s="2" t="str">
        <f aca="false">IFERROR(__xludf.dummyfunction("IF(I1561="""", """", REGEXEXTRACT(I1561, ""Padrao/([^/]+)""))"),"Ipiranga")</f>
        <v>Ipiranga</v>
      </c>
    </row>
    <row r="1550" customFormat="false" ht="15.75" hidden="false" customHeight="false" outlineLevel="0" collapsed="false">
      <c r="A1550" s="2" t="n">
        <v>154280</v>
      </c>
      <c r="B1550" s="2" t="s">
        <v>1365</v>
      </c>
      <c r="C1550" s="2" t="n">
        <v>2</v>
      </c>
      <c r="D1550" s="2" t="n">
        <v>1</v>
      </c>
      <c r="E1550" s="2" t="n">
        <v>1</v>
      </c>
      <c r="F1550" s="2" t="n">
        <v>45</v>
      </c>
      <c r="G1550" s="2" t="s">
        <v>474</v>
      </c>
      <c r="H1550" s="2" t="str">
        <f aca="false">IFERROR(__xludf.dummyfunction("IF(I1562="""", """", REGEXEXTRACT(I1562, ""Padrao/([^/]+)""))"),"Parque dos Lagos")</f>
        <v>Parque dos Lagos</v>
      </c>
    </row>
    <row r="1551" customFormat="false" ht="15.75" hidden="false" customHeight="false" outlineLevel="0" collapsed="false">
      <c r="A1551" s="2" t="n">
        <v>154268</v>
      </c>
      <c r="B1551" s="2" t="s">
        <v>1366</v>
      </c>
      <c r="C1551" s="2" t="n">
        <v>2</v>
      </c>
      <c r="D1551" s="2" t="n">
        <v>1</v>
      </c>
      <c r="E1551" s="2" t="n">
        <v>1</v>
      </c>
      <c r="F1551" s="2" t="n">
        <v>42</v>
      </c>
      <c r="G1551" s="2" t="s">
        <v>474</v>
      </c>
      <c r="H1551" s="2" t="str">
        <f aca="false">IFERROR(__xludf.dummyfunction("IF(I1563="""", """", REGEXEXTRACT(I1563, ""Padrao/([^/]+)""))"),"Jardim Florestan Fernandes")</f>
        <v>Jardim Florestan Fernandes</v>
      </c>
    </row>
    <row r="1552" customFormat="false" ht="15.75" hidden="false" customHeight="false" outlineLevel="0" collapsed="false">
      <c r="A1552" s="2" t="n">
        <v>150854</v>
      </c>
      <c r="B1552" s="2" t="s">
        <v>1060</v>
      </c>
      <c r="C1552" s="2" t="n">
        <v>1</v>
      </c>
      <c r="D1552" s="2" t="n">
        <v>1</v>
      </c>
      <c r="E1552" s="2" t="n">
        <v>1</v>
      </c>
      <c r="F1552" s="2" t="n">
        <v>37</v>
      </c>
      <c r="G1552" s="2" t="s">
        <v>474</v>
      </c>
      <c r="H1552" s="2" t="str">
        <f aca="false">IFERROR(__xludf.dummyfunction("IF(I1564="""", """", REGEXEXTRACT(I1564, ""Padrao/([^/]+)""))"),"Parque Industrial Lagoinha")</f>
        <v>Parque Industrial Lagoinha</v>
      </c>
    </row>
    <row r="1553" customFormat="false" ht="15.75" hidden="false" customHeight="false" outlineLevel="0" collapsed="false">
      <c r="A1553" s="2" t="n">
        <v>141104</v>
      </c>
      <c r="B1553" s="2" t="s">
        <v>1367</v>
      </c>
      <c r="C1553" s="2" t="n">
        <v>2</v>
      </c>
      <c r="D1553" s="2" t="n">
        <v>1</v>
      </c>
      <c r="E1553" s="2" t="n">
        <v>1</v>
      </c>
      <c r="F1553" s="2" t="n">
        <v>46</v>
      </c>
      <c r="G1553" s="2" t="s">
        <v>474</v>
      </c>
      <c r="H1553" s="2" t="str">
        <f aca="false">IFERROR(__xludf.dummyfunction("IF(I1565="""", """", REGEXEXTRACT(I1565, ""Padrao/([^/]+)""))"),"Ipiranga")</f>
        <v>Ipiranga</v>
      </c>
    </row>
    <row r="1554" customFormat="false" ht="15.75" hidden="false" customHeight="false" outlineLevel="0" collapsed="false">
      <c r="A1554" s="2" t="n">
        <v>140639</v>
      </c>
      <c r="B1554" s="2" t="s">
        <v>1368</v>
      </c>
      <c r="C1554" s="2" t="n">
        <v>2</v>
      </c>
      <c r="D1554" s="2" t="n">
        <v>1</v>
      </c>
      <c r="E1554" s="2" t="n">
        <v>1</v>
      </c>
      <c r="F1554" s="2" t="n">
        <v>49</v>
      </c>
      <c r="G1554" s="2" t="s">
        <v>474</v>
      </c>
      <c r="H1554" s="2" t="str">
        <f aca="false">IFERROR(__xludf.dummyfunction("IF(I1566="""", """", REGEXEXTRACT(I1566, ""Padrao/([^/]+)""))"),"Residencial Jequitiba")</f>
        <v>Residencial Jequitiba</v>
      </c>
    </row>
    <row r="1555" customFormat="false" ht="15.75" hidden="false" customHeight="false" outlineLevel="0" collapsed="false">
      <c r="A1555" s="2" t="n">
        <v>132746</v>
      </c>
      <c r="B1555" s="2" t="s">
        <v>1369</v>
      </c>
      <c r="C1555" s="2" t="n">
        <v>3</v>
      </c>
      <c r="D1555" s="2" t="n">
        <v>2</v>
      </c>
      <c r="E1555" s="2" t="n">
        <v>1</v>
      </c>
      <c r="F1555" s="2" t="n">
        <v>63</v>
      </c>
      <c r="G1555" s="2" t="s">
        <v>474</v>
      </c>
      <c r="H1555" s="2" t="str">
        <f aca="false">IFERROR(__xludf.dummyfunction("IF(I1567="""", """", REGEXEXTRACT(I1567, ""Padrao/([^/]+)""))"),"Ipiranga")</f>
        <v>Ipiranga</v>
      </c>
    </row>
    <row r="1556" customFormat="false" ht="15.75" hidden="false" customHeight="false" outlineLevel="0" collapsed="false">
      <c r="A1556" s="2" t="n">
        <v>130079</v>
      </c>
      <c r="B1556" s="2" t="s">
        <v>1370</v>
      </c>
      <c r="C1556" s="2" t="n">
        <v>1</v>
      </c>
      <c r="D1556" s="2" t="n">
        <v>1</v>
      </c>
      <c r="E1556" s="2" t="n">
        <v>1</v>
      </c>
      <c r="F1556" s="2" t="n">
        <v>36</v>
      </c>
      <c r="G1556" s="2" t="s">
        <v>474</v>
      </c>
      <c r="H1556" s="2" t="str">
        <f aca="false">IFERROR(__xludf.dummyfunction("IF(I1568="""", """", REGEXEXTRACT(I1568, ""Padrao/([^/]+)""))"),"Parque Industrial Lagoinha")</f>
        <v>Parque Industrial Lagoinha</v>
      </c>
    </row>
    <row r="1557" customFormat="false" ht="15.75" hidden="false" customHeight="false" outlineLevel="0" collapsed="false">
      <c r="A1557" s="2" t="n">
        <v>130055</v>
      </c>
      <c r="B1557" s="2" t="s">
        <v>1371</v>
      </c>
      <c r="C1557" s="2" t="n">
        <v>1</v>
      </c>
      <c r="D1557" s="2" t="n">
        <v>1</v>
      </c>
      <c r="E1557" s="2" t="n">
        <v>1</v>
      </c>
      <c r="F1557" s="2" t="n">
        <v>40</v>
      </c>
      <c r="G1557" s="2" t="s">
        <v>474</v>
      </c>
      <c r="H1557" s="2" t="str">
        <f aca="false">IFERROR(__xludf.dummyfunction("IF(I1569="""", """", REGEXEXTRACT(I1569, ""Padrao/([^/]+)""))"),"Jardim California")</f>
        <v>Jardim California</v>
      </c>
    </row>
    <row r="1558" customFormat="false" ht="15.75" hidden="false" customHeight="false" outlineLevel="0" collapsed="false">
      <c r="A1558" s="2" t="n">
        <v>125639</v>
      </c>
      <c r="B1558" s="2" t="s">
        <v>1372</v>
      </c>
      <c r="C1558" s="2" t="n">
        <v>2</v>
      </c>
      <c r="D1558" s="2" t="n">
        <v>1</v>
      </c>
      <c r="E1558" s="2" t="n">
        <v>1</v>
      </c>
      <c r="F1558" s="2" t="n">
        <v>46</v>
      </c>
      <c r="G1558" s="2" t="s">
        <v>474</v>
      </c>
      <c r="H1558" s="2" t="str">
        <f aca="false">IFERROR(__xludf.dummyfunction("IF(I1570="""", """", REGEXEXTRACT(I1570, ""Padrao/([^/]+)""))"),"Residencial das Americas")</f>
        <v>Residencial das Americas</v>
      </c>
    </row>
    <row r="1559" customFormat="false" ht="15.75" hidden="false" customHeight="false" outlineLevel="0" collapsed="false">
      <c r="A1559" s="2" t="n">
        <v>123641</v>
      </c>
      <c r="B1559" s="2" t="s">
        <v>1373</v>
      </c>
      <c r="C1559" s="2" t="n">
        <v>3</v>
      </c>
      <c r="D1559" s="2" t="n">
        <v>1</v>
      </c>
      <c r="E1559" s="2" t="n">
        <v>1</v>
      </c>
      <c r="F1559" s="2" t="n">
        <v>53</v>
      </c>
      <c r="G1559" s="2" t="s">
        <v>474</v>
      </c>
      <c r="H1559" s="2" t="str">
        <f aca="false">IFERROR(__xludf.dummyfunction("IF(I1571="""", """", REGEXEXTRACT(I1571, ""Padrao/([^/]+)""))"),"Jardim Paulistano")</f>
        <v>Jardim Paulistano</v>
      </c>
    </row>
    <row r="1560" customFormat="false" ht="15.75" hidden="false" customHeight="false" outlineLevel="0" collapsed="false">
      <c r="A1560" s="2" t="n">
        <v>108608</v>
      </c>
      <c r="B1560" s="2" t="s">
        <v>162</v>
      </c>
      <c r="C1560" s="2" t="n">
        <v>1</v>
      </c>
      <c r="D1560" s="2" t="n">
        <v>1</v>
      </c>
      <c r="E1560" s="2" t="n">
        <v>1</v>
      </c>
      <c r="F1560" s="2" t="n">
        <v>27</v>
      </c>
      <c r="G1560" s="2" t="s">
        <v>474</v>
      </c>
      <c r="H1560" s="2" t="str">
        <f aca="false">IFERROR(__xludf.dummyfunction("IF(I1572="""", """", REGEXEXTRACT(I1572, ""Padrao/([^/]+)""))"),"Vila Ana Maria")</f>
        <v>Vila Ana Maria</v>
      </c>
    </row>
    <row r="1561" customFormat="false" ht="15.75" hidden="false" customHeight="false" outlineLevel="0" collapsed="false">
      <c r="A1561" s="2" t="n">
        <v>105878</v>
      </c>
      <c r="B1561" s="2" t="s">
        <v>1374</v>
      </c>
      <c r="C1561" s="2" t="n">
        <v>1</v>
      </c>
      <c r="D1561" s="2" t="n">
        <v>1</v>
      </c>
      <c r="E1561" s="2" t="n">
        <v>1</v>
      </c>
      <c r="F1561" s="2" t="n">
        <v>37</v>
      </c>
      <c r="G1561" s="2" t="s">
        <v>474</v>
      </c>
      <c r="H1561" s="2" t="str">
        <f aca="false">IFERROR(__xludf.dummyfunction("IF(I1573="""", """", REGEXEXTRACT(I1573, ""Padrao/([^/]+)""))"),"Vila Seixas")</f>
        <v>Vila Seixas</v>
      </c>
    </row>
    <row r="1562" customFormat="false" ht="15.75" hidden="false" customHeight="false" outlineLevel="0" collapsed="false">
      <c r="A1562" s="2" t="n">
        <v>103052</v>
      </c>
      <c r="B1562" s="2" t="s">
        <v>1259</v>
      </c>
      <c r="C1562" s="2" t="n">
        <v>1</v>
      </c>
      <c r="D1562" s="2" t="n">
        <v>1</v>
      </c>
      <c r="E1562" s="2" t="n">
        <v>1</v>
      </c>
      <c r="F1562" s="2" t="n">
        <v>38</v>
      </c>
      <c r="G1562" s="2" t="s">
        <v>474</v>
      </c>
      <c r="H1562" s="2" t="str">
        <f aca="false">IFERROR(__xludf.dummyfunction("IF(I1574="""", """", REGEXEXTRACT(I1574, ""Padrao/([^/]+)""))"),"Presidente Medici")</f>
        <v>Presidente Medici</v>
      </c>
    </row>
    <row r="1563" customFormat="false" ht="15.75" hidden="false" customHeight="false" outlineLevel="0" collapsed="false">
      <c r="A1563" s="2" t="n">
        <v>97271</v>
      </c>
      <c r="B1563" s="2" t="s">
        <v>1375</v>
      </c>
      <c r="C1563" s="2" t="n">
        <v>1</v>
      </c>
      <c r="D1563" s="2" t="n">
        <v>1</v>
      </c>
      <c r="E1563" s="2" t="n">
        <v>1</v>
      </c>
      <c r="F1563" s="2" t="n">
        <v>43</v>
      </c>
      <c r="G1563" s="2" t="s">
        <v>474</v>
      </c>
      <c r="H1563" s="2" t="str">
        <f aca="false">IFERROR(__xludf.dummyfunction("IF(I1575="""", """", REGEXEXTRACT(I1575, ""Padrao/([^/]+)""))"),"Jardim Palma Travassos")</f>
        <v>Jardim Palma Travassos</v>
      </c>
    </row>
    <row r="1564" customFormat="false" ht="15.75" hidden="false" customHeight="false" outlineLevel="0" collapsed="false">
      <c r="A1564" s="2"/>
      <c r="B1564" s="2"/>
      <c r="C1564" s="2"/>
      <c r="D1564" s="2"/>
      <c r="E1564" s="2"/>
      <c r="F1564" s="2"/>
      <c r="G1564" s="2"/>
      <c r="H1564" s="2"/>
    </row>
    <row r="1565" customFormat="false" ht="15.75" hidden="false" customHeight="false" outlineLevel="0" collapsed="false">
      <c r="A1565" s="2" t="n">
        <v>94295</v>
      </c>
      <c r="B1565" s="2" t="s">
        <v>1376</v>
      </c>
      <c r="C1565" s="2" t="n">
        <v>1</v>
      </c>
      <c r="D1565" s="2" t="n">
        <v>1</v>
      </c>
      <c r="E1565" s="2" t="n">
        <v>1</v>
      </c>
      <c r="F1565" s="2" t="n">
        <v>37</v>
      </c>
      <c r="G1565" s="2" t="s">
        <v>474</v>
      </c>
      <c r="H1565" s="2" t="str">
        <f aca="false">IFERROR(__xludf.dummyfunction("IF(I1577="""", """", REGEXEXTRACT(I1577, ""Padrao/([^/]+)""))"),"Jardim Sao Luiz")</f>
        <v>Jardim Sao Luiz</v>
      </c>
    </row>
    <row r="1566" customFormat="false" ht="15.75" hidden="false" customHeight="false" outlineLevel="0" collapsed="false">
      <c r="A1566" s="2" t="n">
        <v>93527</v>
      </c>
      <c r="B1566" s="2" t="s">
        <v>162</v>
      </c>
      <c r="C1566" s="2" t="n">
        <v>2</v>
      </c>
      <c r="D1566" s="2" t="n">
        <v>1</v>
      </c>
      <c r="E1566" s="2" t="n">
        <v>1</v>
      </c>
      <c r="F1566" s="2" t="n">
        <v>55</v>
      </c>
      <c r="G1566" s="2" t="s">
        <v>474</v>
      </c>
      <c r="H1566" s="2" t="str">
        <f aca="false">IFERROR(__xludf.dummyfunction("IF(I1578="""", """", REGEXEXTRACT(I1578, ""Padrao/([^/]+)""))"),"Vila Virginia")</f>
        <v>Vila Virginia</v>
      </c>
    </row>
    <row r="1567" customFormat="false" ht="15.75" hidden="false" customHeight="false" outlineLevel="0" collapsed="false">
      <c r="A1567" s="2" t="n">
        <v>90533</v>
      </c>
      <c r="B1567" s="2" t="s">
        <v>1009</v>
      </c>
      <c r="C1567" s="2" t="n">
        <v>1</v>
      </c>
      <c r="D1567" s="2" t="n">
        <v>1</v>
      </c>
      <c r="E1567" s="2" t="n">
        <v>1</v>
      </c>
      <c r="F1567" s="2" t="n">
        <v>51</v>
      </c>
      <c r="G1567" s="2" t="s">
        <v>474</v>
      </c>
      <c r="H1567" s="2" t="str">
        <f aca="false">IFERROR(__xludf.dummyfunction("IF(I1579="""", """", REGEXEXTRACT(I1579, ""Padrao/([^/]+)""))"),"Centro")</f>
        <v>Centro</v>
      </c>
    </row>
    <row r="1568" customFormat="false" ht="15.75" hidden="false" customHeight="false" outlineLevel="0" collapsed="false">
      <c r="A1568" s="2" t="n">
        <v>90077</v>
      </c>
      <c r="B1568" s="2" t="s">
        <v>1377</v>
      </c>
      <c r="C1568" s="2" t="n">
        <v>1</v>
      </c>
      <c r="D1568" s="2" t="n">
        <v>1</v>
      </c>
      <c r="E1568" s="2" t="n">
        <v>1</v>
      </c>
      <c r="F1568" s="2" t="n">
        <v>38</v>
      </c>
      <c r="G1568" s="2" t="s">
        <v>474</v>
      </c>
      <c r="H1568" s="2" t="str">
        <f aca="false">IFERROR(__xludf.dummyfunction("IF(I1580="""", """", REGEXEXTRACT(I1580, ""Padrao/([^/]+)""))"),"Jardim Iraja")</f>
        <v>Jardim Iraja</v>
      </c>
    </row>
    <row r="1569" customFormat="false" ht="15.75" hidden="false" customHeight="false" outlineLevel="0" collapsed="false">
      <c r="A1569" s="2" t="n">
        <v>87230</v>
      </c>
      <c r="B1569" s="2" t="s">
        <v>1376</v>
      </c>
      <c r="C1569" s="2" t="n">
        <v>1</v>
      </c>
      <c r="D1569" s="2" t="n">
        <v>1</v>
      </c>
      <c r="E1569" s="2" t="n">
        <v>1</v>
      </c>
      <c r="F1569" s="2" t="n">
        <v>37</v>
      </c>
      <c r="G1569" s="2" t="s">
        <v>474</v>
      </c>
      <c r="H1569" s="2" t="str">
        <f aca="false">IFERROR(__xludf.dummyfunction("IF(I1581="""", """", REGEXEXTRACT(I1581, ""Padrao/([^/]+)""))"),"Jardim Sao Luiz")</f>
        <v>Jardim Sao Luiz</v>
      </c>
    </row>
    <row r="1570" customFormat="false" ht="15.75" hidden="false" customHeight="false" outlineLevel="0" collapsed="false">
      <c r="A1570" s="2" t="n">
        <v>76805</v>
      </c>
      <c r="B1570" s="2" t="s">
        <v>1378</v>
      </c>
      <c r="C1570" s="2" t="n">
        <v>1</v>
      </c>
      <c r="D1570" s="2" t="n">
        <v>2</v>
      </c>
      <c r="E1570" s="2" t="n">
        <v>1</v>
      </c>
      <c r="F1570" s="2" t="n">
        <v>40</v>
      </c>
      <c r="G1570" s="2" t="s">
        <v>474</v>
      </c>
      <c r="H1570" s="2" t="str">
        <f aca="false">IFERROR(__xludf.dummyfunction("IF(I1582="""", """", REGEXEXTRACT(I1582, ""Padrao/([^/]+)""))"),"Vila Seixas")</f>
        <v>Vila Seixas</v>
      </c>
    </row>
    <row r="1571" customFormat="false" ht="15.75" hidden="false" customHeight="false" outlineLevel="0" collapsed="false">
      <c r="A1571" s="2" t="n">
        <v>60524</v>
      </c>
      <c r="B1571" s="2" t="s">
        <v>1379</v>
      </c>
      <c r="C1571" s="2" t="n">
        <v>2</v>
      </c>
      <c r="D1571" s="2" t="n">
        <v>2</v>
      </c>
      <c r="E1571" s="2" t="n">
        <v>1</v>
      </c>
      <c r="F1571" s="2" t="n">
        <v>71</v>
      </c>
      <c r="G1571" s="2" t="s">
        <v>474</v>
      </c>
      <c r="H1571" s="2" t="str">
        <f aca="false">IFERROR(__xludf.dummyfunction("IF(I1583="""", """", REGEXEXTRACT(I1583, ""Padrao/([^/]+)""))"),"Jardim Zara")</f>
        <v>Jardim Zara</v>
      </c>
    </row>
    <row r="1572" customFormat="false" ht="15.75" hidden="false" customHeight="false" outlineLevel="0" collapsed="false">
      <c r="A1572" s="2" t="n">
        <v>58529</v>
      </c>
      <c r="B1572" s="2" t="s">
        <v>1060</v>
      </c>
      <c r="C1572" s="2" t="n">
        <v>1</v>
      </c>
      <c r="D1572" s="2" t="n">
        <v>1</v>
      </c>
      <c r="E1572" s="2" t="n">
        <v>1</v>
      </c>
      <c r="F1572" s="2" t="n">
        <v>45</v>
      </c>
      <c r="G1572" s="2" t="s">
        <v>474</v>
      </c>
      <c r="H1572" s="2" t="str">
        <f aca="false">IFERROR(__xludf.dummyfunction("IF(I1584="""", """", REGEXEXTRACT(I1584, ""Padrao/([^/]+)""))"),"Parque Industrial Lagoinha")</f>
        <v>Parque Industrial Lagoinha</v>
      </c>
    </row>
    <row r="1573" customFormat="false" ht="15.75" hidden="false" customHeight="false" outlineLevel="0" collapsed="false">
      <c r="A1573" s="2" t="n">
        <v>51137</v>
      </c>
      <c r="B1573" s="2" t="s">
        <v>1370</v>
      </c>
      <c r="C1573" s="2" t="n">
        <v>1</v>
      </c>
      <c r="D1573" s="2" t="n">
        <v>1</v>
      </c>
      <c r="E1573" s="2" t="n">
        <v>1</v>
      </c>
      <c r="F1573" s="2" t="n">
        <v>45</v>
      </c>
      <c r="G1573" s="2" t="s">
        <v>474</v>
      </c>
      <c r="H1573" s="2" t="str">
        <f aca="false">IFERROR(__xludf.dummyfunction("IF(I1585="""", """", REGEXEXTRACT(I1585, ""Padrao/([^/]+)""))"),"Parque Industrial Lagoinha")</f>
        <v>Parque Industrial Lagoinha</v>
      </c>
    </row>
    <row r="1574" customFormat="false" ht="15.75" hidden="false" customHeight="false" outlineLevel="0" collapsed="false">
      <c r="A1574" s="2" t="n">
        <v>34592</v>
      </c>
      <c r="B1574" s="2" t="s">
        <v>1149</v>
      </c>
      <c r="C1574" s="2" t="n">
        <v>2</v>
      </c>
      <c r="D1574" s="2" t="n">
        <v>1</v>
      </c>
      <c r="E1574" s="2" t="n">
        <v>1</v>
      </c>
      <c r="F1574" s="2" t="n">
        <v>50</v>
      </c>
      <c r="G1574" s="2" t="s">
        <v>474</v>
      </c>
      <c r="H1574" s="2" t="str">
        <f aca="false">IFERROR(__xludf.dummyfunction("IF(I1586="""", """", REGEXEXTRACT(I1586, ""Padrao/([^/]+)""))"),"Iguatemi")</f>
        <v>Iguatemi</v>
      </c>
    </row>
    <row r="1575" customFormat="false" ht="15.75" hidden="false" customHeight="false" outlineLevel="0" collapsed="false">
      <c r="A1575" s="2" t="n">
        <v>31463</v>
      </c>
      <c r="B1575" s="2" t="s">
        <v>1380</v>
      </c>
      <c r="C1575" s="2" t="n">
        <v>1</v>
      </c>
      <c r="D1575" s="2" t="n">
        <v>1</v>
      </c>
      <c r="E1575" s="2" t="n">
        <v>1</v>
      </c>
      <c r="F1575" s="2" t="n">
        <v>38</v>
      </c>
      <c r="G1575" s="2" t="s">
        <v>474</v>
      </c>
      <c r="H1575" s="2" t="str">
        <f aca="false">IFERROR(__xludf.dummyfunction("IF(I1587="""", """", REGEXEXTRACT(I1587, ""Padrao/([^/]+)""))"),"Jardim Iraja")</f>
        <v>Jardim Iraja</v>
      </c>
    </row>
    <row r="1576" customFormat="false" ht="15.75" hidden="false" customHeight="false" outlineLevel="0" collapsed="false">
      <c r="A1576" s="2" t="n">
        <v>30926</v>
      </c>
      <c r="B1576" s="2" t="s">
        <v>1381</v>
      </c>
      <c r="C1576" s="2" t="n">
        <v>1</v>
      </c>
      <c r="D1576" s="2" t="n">
        <v>1</v>
      </c>
      <c r="E1576" s="2" t="n">
        <v>1</v>
      </c>
      <c r="F1576" s="2" t="n">
        <v>55</v>
      </c>
      <c r="G1576" s="2" t="s">
        <v>474</v>
      </c>
      <c r="H1576" s="2" t="str">
        <f aca="false">IFERROR(__xludf.dummyfunction("IF(I1588="""", """", REGEXEXTRACT(I1588, ""Padrao/([^/]+)""))"),"Parque Industrial Lagoinha")</f>
        <v>Parque Industrial Lagoinha</v>
      </c>
    </row>
    <row r="1577" customFormat="false" ht="15.75" hidden="false" customHeight="false" outlineLevel="0" collapsed="false">
      <c r="A1577" s="2" t="n">
        <v>18032</v>
      </c>
      <c r="B1577" s="2" t="s">
        <v>847</v>
      </c>
      <c r="C1577" s="2" t="n">
        <v>1</v>
      </c>
      <c r="D1577" s="2" t="n">
        <v>1</v>
      </c>
      <c r="E1577" s="2" t="n">
        <v>1</v>
      </c>
      <c r="F1577" s="2" t="n">
        <v>35</v>
      </c>
      <c r="G1577" s="2" t="s">
        <v>474</v>
      </c>
      <c r="H1577" s="2" t="str">
        <f aca="false">IFERROR(__xludf.dummyfunction("IF(I1589="""", """", REGEXEXTRACT(I1589, ""Padrao/([^/]+)""))"),"Jardim Paulista")</f>
        <v>Jardim Paulista</v>
      </c>
    </row>
    <row r="1578" customFormat="false" ht="15.75" hidden="false" customHeight="false" outlineLevel="0" collapsed="false">
      <c r="A1578" s="2" t="n">
        <v>241619</v>
      </c>
      <c r="B1578" s="2" t="s">
        <v>1382</v>
      </c>
      <c r="C1578" s="2" t="n">
        <v>2</v>
      </c>
      <c r="D1578" s="2" t="n">
        <v>1</v>
      </c>
      <c r="E1578" s="2" t="n">
        <v>1</v>
      </c>
      <c r="F1578" s="2" t="n">
        <v>40</v>
      </c>
      <c r="G1578" s="2" t="s">
        <v>1383</v>
      </c>
      <c r="H1578" s="2" t="str">
        <f aca="false">IFERROR(__xludf.dummyfunction("IF(I1590="""", """", REGEXEXTRACT(I1590, ""Padrao/([^/]+)""))"),"Reserva Sao Jose")</f>
        <v>Reserva Sao Jose</v>
      </c>
    </row>
    <row r="1579" customFormat="false" ht="15.75" hidden="false" customHeight="false" outlineLevel="0" collapsed="false">
      <c r="A1579" s="2" t="n">
        <v>91409</v>
      </c>
      <c r="B1579" s="2" t="s">
        <v>1384</v>
      </c>
      <c r="C1579" s="2" t="n">
        <v>1</v>
      </c>
      <c r="D1579" s="2" t="n">
        <v>1</v>
      </c>
      <c r="E1579" s="2" t="n">
        <v>1</v>
      </c>
      <c r="F1579" s="2" t="n">
        <v>45</v>
      </c>
      <c r="G1579" s="2" t="s">
        <v>425</v>
      </c>
      <c r="H1579" s="2" t="str">
        <f aca="false">IFERROR(__xludf.dummyfunction("IF(I1591="""", """", REGEXEXTRACT(I1591, ""Padrao/([^/]+)""))"),"Jardim Antartica")</f>
        <v>Jardim Antartica</v>
      </c>
    </row>
    <row r="1580" customFormat="false" ht="15.75" hidden="false" customHeight="false" outlineLevel="0" collapsed="false">
      <c r="A1580" s="2" t="n">
        <v>149018</v>
      </c>
      <c r="B1580" s="2" t="s">
        <v>598</v>
      </c>
      <c r="C1580" s="2" t="n">
        <v>2</v>
      </c>
      <c r="D1580" s="2" t="n">
        <v>1</v>
      </c>
      <c r="E1580" s="2" t="n">
        <v>1</v>
      </c>
      <c r="F1580" s="2" t="n">
        <v>48</v>
      </c>
      <c r="G1580" s="2" t="s">
        <v>464</v>
      </c>
      <c r="H1580" s="2" t="str">
        <f aca="false">IFERROR(__xludf.dummyfunction("IF(I1592="""", """", REGEXEXTRACT(I1592, ""Padrao/([^/]+)""))"),"Alto da Boa Vista")</f>
        <v>Alto da Boa Vista</v>
      </c>
    </row>
    <row r="1581" customFormat="false" ht="15.75" hidden="false" customHeight="false" outlineLevel="0" collapsed="false">
      <c r="A1581" s="2" t="n">
        <v>131699</v>
      </c>
      <c r="B1581" s="2" t="s">
        <v>1385</v>
      </c>
      <c r="C1581" s="2" t="n">
        <v>2</v>
      </c>
      <c r="D1581" s="2" t="n">
        <v>1</v>
      </c>
      <c r="E1581" s="2" t="n">
        <v>1</v>
      </c>
      <c r="F1581" s="2" t="n">
        <v>46</v>
      </c>
      <c r="G1581" s="2" t="s">
        <v>474</v>
      </c>
      <c r="H1581" s="2" t="str">
        <f aca="false">IFERROR(__xludf.dummyfunction("IF(I1593="""", """", REGEXEXTRACT(I1593, ""Padrao/([^/]+)""))"),"Reserva Sul Condominio")</f>
        <v>Reserva Sul Condominio</v>
      </c>
    </row>
    <row r="1582" customFormat="false" ht="15.75" hidden="false" customHeight="false" outlineLevel="0" collapsed="false">
      <c r="A1582" s="2" t="n">
        <v>188342</v>
      </c>
      <c r="B1582" s="2" t="s">
        <v>1386</v>
      </c>
      <c r="C1582" s="2" t="n">
        <v>2</v>
      </c>
      <c r="D1582" s="2" t="n">
        <v>1</v>
      </c>
      <c r="E1582" s="2" t="n">
        <v>1</v>
      </c>
      <c r="F1582" s="2" t="n">
        <v>42</v>
      </c>
      <c r="G1582" s="2" t="s">
        <v>479</v>
      </c>
      <c r="H1582" s="2" t="str">
        <f aca="false">IFERROR(__xludf.dummyfunction("IF(I1594="""", """", REGEXEXTRACT(I1594, ""Padrao/([^/]+)""))"),"Campos Eliseos")</f>
        <v>Campos Eliseos</v>
      </c>
    </row>
    <row r="1583" customFormat="false" ht="15.75" hidden="false" customHeight="false" outlineLevel="0" collapsed="false">
      <c r="A1583" s="2" t="n">
        <v>183914</v>
      </c>
      <c r="B1583" s="2" t="s">
        <v>1387</v>
      </c>
      <c r="C1583" s="2" t="n">
        <v>2</v>
      </c>
      <c r="D1583" s="2" t="n">
        <v>1</v>
      </c>
      <c r="E1583" s="2" t="n">
        <v>1</v>
      </c>
      <c r="F1583" s="2" t="n">
        <v>55</v>
      </c>
      <c r="G1583" s="2" t="s">
        <v>479</v>
      </c>
      <c r="H1583" s="2" t="str">
        <f aca="false">IFERROR(__xludf.dummyfunction("IF(I1595="""", """", REGEXEXTRACT(I1595, ""Padrao/([^/]+)""))"),"Vila Virginia")</f>
        <v>Vila Virginia</v>
      </c>
    </row>
    <row r="1584" customFormat="false" ht="15.75" hidden="false" customHeight="false" outlineLevel="0" collapsed="false">
      <c r="A1584" s="2" t="n">
        <v>177239</v>
      </c>
      <c r="B1584" s="2" t="s">
        <v>1388</v>
      </c>
      <c r="C1584" s="2" t="n">
        <v>2</v>
      </c>
      <c r="D1584" s="2" t="n">
        <v>1</v>
      </c>
      <c r="E1584" s="2" t="n">
        <v>1</v>
      </c>
      <c r="F1584" s="2" t="n">
        <v>44</v>
      </c>
      <c r="G1584" s="2" t="s">
        <v>479</v>
      </c>
      <c r="H1584" s="2" t="str">
        <f aca="false">IFERROR(__xludf.dummyfunction("IF(I1596="""", """", REGEXEXTRACT(I1596, ""Padrao/([^/]+)""))"),"Residencial Greenville")</f>
        <v>Residencial Greenville</v>
      </c>
    </row>
    <row r="1585" customFormat="false" ht="15.75" hidden="false" customHeight="false" outlineLevel="0" collapsed="false">
      <c r="A1585" s="2" t="n">
        <v>176465</v>
      </c>
      <c r="B1585" s="2" t="s">
        <v>1389</v>
      </c>
      <c r="C1585" s="2" t="n">
        <v>2</v>
      </c>
      <c r="D1585" s="2" t="n">
        <v>1</v>
      </c>
      <c r="E1585" s="2" t="n">
        <v>1</v>
      </c>
      <c r="F1585" s="2" t="n">
        <v>68</v>
      </c>
      <c r="G1585" s="2" t="s">
        <v>479</v>
      </c>
      <c r="H1585" s="2" t="str">
        <f aca="false">IFERROR(__xludf.dummyfunction("IF(I1597="""", """", REGEXEXTRACT(I1597, ""Padrao/([^/]+)""))"),"Vila Tamandare")</f>
        <v>Vila Tamandare</v>
      </c>
    </row>
    <row r="1586" customFormat="false" ht="15.75" hidden="false" customHeight="false" outlineLevel="0" collapsed="false">
      <c r="A1586" s="2" t="n">
        <v>176291</v>
      </c>
      <c r="B1586" s="2" t="s">
        <v>1390</v>
      </c>
      <c r="C1586" s="2" t="n">
        <v>2</v>
      </c>
      <c r="D1586" s="2" t="n">
        <v>1</v>
      </c>
      <c r="E1586" s="2" t="n">
        <v>1</v>
      </c>
      <c r="F1586" s="2" t="n">
        <v>43</v>
      </c>
      <c r="G1586" s="2" t="s">
        <v>479</v>
      </c>
      <c r="H1586" s="2" t="str">
        <f aca="false">IFERROR(__xludf.dummyfunction("IF(I1598="""", """", REGEXEXTRACT(I1598, ""Padrao/([^/]+)""))"),"Bonfim Paulista")</f>
        <v>Bonfim Paulista</v>
      </c>
    </row>
    <row r="1587" customFormat="false" ht="15.75" hidden="false" customHeight="false" outlineLevel="0" collapsed="false">
      <c r="A1587" s="2" t="n">
        <v>174044</v>
      </c>
      <c r="B1587" s="2" t="s">
        <v>1076</v>
      </c>
      <c r="C1587" s="2" t="n">
        <v>2</v>
      </c>
      <c r="D1587" s="2" t="n">
        <v>1</v>
      </c>
      <c r="E1587" s="2" t="n">
        <v>1</v>
      </c>
      <c r="F1587" s="2" t="n">
        <v>44</v>
      </c>
      <c r="G1587" s="2" t="s">
        <v>479</v>
      </c>
      <c r="H1587" s="2" t="str">
        <f aca="false">IFERROR(__xludf.dummyfunction("IF(I1599="""", """", REGEXEXTRACT(I1599, ""Padrao/([^/]+)""))"),"Residencial Greenville")</f>
        <v>Residencial Greenville</v>
      </c>
    </row>
    <row r="1588" customFormat="false" ht="15.75" hidden="false" customHeight="false" outlineLevel="0" collapsed="false">
      <c r="A1588" s="2" t="n">
        <v>173876</v>
      </c>
      <c r="B1588" s="2" t="s">
        <v>1221</v>
      </c>
      <c r="C1588" s="2" t="n">
        <v>2</v>
      </c>
      <c r="D1588" s="2" t="n">
        <v>1</v>
      </c>
      <c r="E1588" s="2" t="n">
        <v>1</v>
      </c>
      <c r="F1588" s="2" t="n">
        <v>48</v>
      </c>
      <c r="G1588" s="2" t="s">
        <v>479</v>
      </c>
      <c r="H1588" s="2" t="str">
        <f aca="false">IFERROR(__xludf.dummyfunction("IF(I1600="""", """", REGEXEXTRACT(I1600, ""Padrao/([^/]+)""))"),"Loteamento Santa Marta")</f>
        <v>Loteamento Santa Marta</v>
      </c>
    </row>
    <row r="1589" customFormat="false" ht="15.75" hidden="false" customHeight="false" outlineLevel="0" collapsed="false">
      <c r="A1589" s="2" t="n">
        <v>160622</v>
      </c>
      <c r="B1589" s="2" t="s">
        <v>1391</v>
      </c>
      <c r="C1589" s="2" t="n">
        <v>3</v>
      </c>
      <c r="D1589" s="2" t="n">
        <v>2</v>
      </c>
      <c r="E1589" s="2" t="n">
        <v>1</v>
      </c>
      <c r="F1589" s="2" t="n">
        <v>74</v>
      </c>
      <c r="G1589" s="2" t="s">
        <v>479</v>
      </c>
      <c r="H1589" s="2" t="str">
        <f aca="false">IFERROR(__xludf.dummyfunction("IF(I1601="""", """", REGEXEXTRACT(I1601, ""Padrao/([^/]+)""))"),"Residencial e Comercial Palmares")</f>
        <v>Residencial e Comercial Palmares</v>
      </c>
    </row>
    <row r="1590" customFormat="false" ht="15.75" hidden="false" customHeight="false" outlineLevel="0" collapsed="false">
      <c r="A1590" s="2" t="n">
        <v>144446</v>
      </c>
      <c r="B1590" s="2" t="s">
        <v>819</v>
      </c>
      <c r="C1590" s="2" t="n">
        <v>2</v>
      </c>
      <c r="D1590" s="2" t="n">
        <v>1</v>
      </c>
      <c r="E1590" s="2" t="n">
        <v>1</v>
      </c>
      <c r="F1590" s="2" t="n">
        <v>42</v>
      </c>
      <c r="G1590" s="2" t="s">
        <v>479</v>
      </c>
      <c r="H1590" s="2" t="str">
        <f aca="false">IFERROR(__xludf.dummyfunction("IF(I1602="""", """", REGEXEXTRACT(I1602, ""Padrao/([^/]+)""))"),"Valentina Figueiredo")</f>
        <v>Valentina Figueiredo</v>
      </c>
    </row>
    <row r="1591" customFormat="false" ht="15.75" hidden="false" customHeight="false" outlineLevel="0" collapsed="false">
      <c r="A1591" s="2" t="n">
        <v>142586</v>
      </c>
      <c r="B1591" s="2" t="s">
        <v>1392</v>
      </c>
      <c r="C1591" s="2" t="n">
        <v>2</v>
      </c>
      <c r="D1591" s="2" t="n">
        <v>1</v>
      </c>
      <c r="E1591" s="2" t="n">
        <v>1</v>
      </c>
      <c r="F1591" s="2" t="n">
        <v>43</v>
      </c>
      <c r="G1591" s="2" t="s">
        <v>479</v>
      </c>
      <c r="H1591" s="2" t="str">
        <f aca="false">IFERROR(__xludf.dummyfunction("IF(I1603="""", """", REGEXEXTRACT(I1603, ""Padrao/([^/]+)""))"),"Jardim Diva Tarla de Carvalho")</f>
        <v>Jardim Diva Tarla de Carvalho</v>
      </c>
    </row>
    <row r="1592" customFormat="false" ht="15.75" hidden="false" customHeight="false" outlineLevel="0" collapsed="false">
      <c r="A1592" s="2" t="n">
        <v>135086</v>
      </c>
      <c r="B1592" s="2" t="s">
        <v>1121</v>
      </c>
      <c r="C1592" s="2" t="n">
        <v>2</v>
      </c>
      <c r="D1592" s="2" t="n">
        <v>2</v>
      </c>
      <c r="E1592" s="2" t="n">
        <v>1</v>
      </c>
      <c r="F1592" s="2" t="n">
        <v>49</v>
      </c>
      <c r="G1592" s="2" t="s">
        <v>479</v>
      </c>
      <c r="H1592" s="2" t="str">
        <f aca="false">IFERROR(__xludf.dummyfunction("IF(I1604="""", """", REGEXEXTRACT(I1604, ""Padrao/([^/]+)""))"),"Ipiranga")</f>
        <v>Ipiranga</v>
      </c>
    </row>
    <row r="1593" customFormat="false" ht="15.75" hidden="false" customHeight="false" outlineLevel="0" collapsed="false">
      <c r="A1593" s="2" t="n">
        <v>129626</v>
      </c>
      <c r="B1593" s="2" t="s">
        <v>1393</v>
      </c>
      <c r="C1593" s="2" t="n">
        <v>1</v>
      </c>
      <c r="D1593" s="2" t="n">
        <v>1</v>
      </c>
      <c r="E1593" s="2" t="n">
        <v>1</v>
      </c>
      <c r="F1593" s="2" t="n">
        <v>41</v>
      </c>
      <c r="G1593" s="2" t="s">
        <v>479</v>
      </c>
      <c r="H1593" s="2" t="str">
        <f aca="false">IFERROR(__xludf.dummyfunction("IF(I1605="""", """", REGEXEXTRACT(I1605, ""Padrao/([^/]+)""))"),"Vila Ana Maria")</f>
        <v>Vila Ana Maria</v>
      </c>
    </row>
    <row r="1594" customFormat="false" ht="15.75" hidden="false" customHeight="false" outlineLevel="0" collapsed="false">
      <c r="A1594" s="2" t="n">
        <v>119498</v>
      </c>
      <c r="B1594" s="2" t="s">
        <v>1394</v>
      </c>
      <c r="C1594" s="2" t="n">
        <v>2</v>
      </c>
      <c r="D1594" s="2" t="n">
        <v>2</v>
      </c>
      <c r="E1594" s="2" t="n">
        <v>1</v>
      </c>
      <c r="F1594" s="2" t="n">
        <v>72</v>
      </c>
      <c r="G1594" s="2" t="s">
        <v>479</v>
      </c>
      <c r="H1594" s="2" t="str">
        <f aca="false">IFERROR(__xludf.dummyfunction("IF(I1606="""", """", REGEXEXTRACT(I1606, ""Padrao/([^/]+)""))"),"Presidente Medici")</f>
        <v>Presidente Medici</v>
      </c>
    </row>
    <row r="1595" customFormat="false" ht="15.75" hidden="false" customHeight="false" outlineLevel="0" collapsed="false">
      <c r="A1595" s="2" t="n">
        <v>117710</v>
      </c>
      <c r="B1595" s="2" t="s">
        <v>753</v>
      </c>
      <c r="C1595" s="2" t="n">
        <v>2</v>
      </c>
      <c r="D1595" s="2" t="n">
        <v>1</v>
      </c>
      <c r="E1595" s="2" t="n">
        <v>1</v>
      </c>
      <c r="F1595" s="2" t="n">
        <v>48</v>
      </c>
      <c r="G1595" s="2" t="s">
        <v>479</v>
      </c>
      <c r="H1595" s="2" t="str">
        <f aca="false">IFERROR(__xludf.dummyfunction("IF(I1607="""", """", REGEXEXTRACT(I1607, ""Padrao/([^/]+)""))"),"Parque dos Lagos")</f>
        <v>Parque dos Lagos</v>
      </c>
    </row>
    <row r="1596" customFormat="false" ht="15.75" hidden="false" customHeight="false" outlineLevel="0" collapsed="false">
      <c r="A1596" s="2" t="n">
        <v>117032</v>
      </c>
      <c r="B1596" s="2" t="s">
        <v>1395</v>
      </c>
      <c r="C1596" s="2" t="n">
        <v>2</v>
      </c>
      <c r="D1596" s="2" t="n">
        <v>1</v>
      </c>
      <c r="E1596" s="2" t="n">
        <v>1</v>
      </c>
      <c r="F1596" s="2" t="n">
        <v>57</v>
      </c>
      <c r="G1596" s="2" t="s">
        <v>479</v>
      </c>
      <c r="H1596" s="2" t="str">
        <f aca="false">IFERROR(__xludf.dummyfunction("IF(I1608="""", """", REGEXEXTRACT(I1608, ""Padrao/([^/]+)""))"),"Ipiranga")</f>
        <v>Ipiranga</v>
      </c>
    </row>
    <row r="1597" customFormat="false" ht="15.75" hidden="false" customHeight="false" outlineLevel="0" collapsed="false">
      <c r="A1597" s="2" t="n">
        <v>103856</v>
      </c>
      <c r="B1597" s="2" t="s">
        <v>1396</v>
      </c>
      <c r="C1597" s="2" t="n">
        <v>1</v>
      </c>
      <c r="D1597" s="2" t="n">
        <v>1</v>
      </c>
      <c r="E1597" s="2" t="n">
        <v>1</v>
      </c>
      <c r="F1597" s="2" t="n">
        <v>42</v>
      </c>
      <c r="G1597" s="2" t="s">
        <v>479</v>
      </c>
      <c r="H1597" s="2" t="str">
        <f aca="false">IFERROR(__xludf.dummyfunction("IF(I1609="""", """", REGEXEXTRACT(I1609, ""Padrao/([^/]+)""))"),"Residencial Florida")</f>
        <v>Residencial Florida</v>
      </c>
    </row>
    <row r="1598" customFormat="false" ht="15.75" hidden="false" customHeight="false" outlineLevel="0" collapsed="false">
      <c r="A1598" s="2" t="n">
        <v>83318</v>
      </c>
      <c r="B1598" s="2" t="s">
        <v>1230</v>
      </c>
      <c r="C1598" s="2" t="n">
        <v>2</v>
      </c>
      <c r="D1598" s="2" t="n">
        <v>1</v>
      </c>
      <c r="E1598" s="2" t="n">
        <v>1</v>
      </c>
      <c r="F1598" s="2" t="n">
        <v>46</v>
      </c>
      <c r="G1598" s="2" t="s">
        <v>479</v>
      </c>
      <c r="H1598" s="2" t="str">
        <f aca="false">IFERROR(__xludf.dummyfunction("IF(I1610="""", """", REGEXEXTRACT(I1610, ""Padrao/([^/]+)""))"),"Ribeirania")</f>
        <v>Ribeirania</v>
      </c>
    </row>
    <row r="1599" customFormat="false" ht="15.75" hidden="false" customHeight="false" outlineLevel="0" collapsed="false">
      <c r="A1599" s="2" t="n">
        <v>66170</v>
      </c>
      <c r="B1599" s="2" t="s">
        <v>1397</v>
      </c>
      <c r="C1599" s="2" t="n">
        <v>2</v>
      </c>
      <c r="D1599" s="2" t="n">
        <v>1</v>
      </c>
      <c r="E1599" s="2" t="n">
        <v>1</v>
      </c>
      <c r="F1599" s="2" t="n">
        <v>60</v>
      </c>
      <c r="G1599" s="2" t="s">
        <v>479</v>
      </c>
      <c r="H1599" s="2" t="str">
        <f aca="false">IFERROR(__xludf.dummyfunction("IF(I1611="""", """", REGEXEXTRACT(I1611, ""Padrao/([^/]+)""))"),"Planalto Verde")</f>
        <v>Planalto Verde</v>
      </c>
    </row>
    <row r="1600" customFormat="false" ht="15.75" hidden="false" customHeight="false" outlineLevel="0" collapsed="false">
      <c r="A1600" s="2" t="n">
        <v>43412</v>
      </c>
      <c r="B1600" s="2" t="s">
        <v>776</v>
      </c>
      <c r="C1600" s="2" t="n">
        <v>3</v>
      </c>
      <c r="D1600" s="2" t="n">
        <v>1</v>
      </c>
      <c r="E1600" s="2" t="n">
        <v>1</v>
      </c>
      <c r="F1600" s="2" t="n">
        <v>53</v>
      </c>
      <c r="G1600" s="2" t="s">
        <v>479</v>
      </c>
      <c r="H1600" s="2" t="str">
        <f aca="false">IFERROR(__xludf.dummyfunction("IF(I1612="""", """", REGEXEXTRACT(I1612, ""Padrao/([^/]+)""))"),"Jardim Paulistano")</f>
        <v>Jardim Paulistano</v>
      </c>
    </row>
    <row r="1601" customFormat="false" ht="15.75" hidden="false" customHeight="false" outlineLevel="0" collapsed="false">
      <c r="A1601" s="2" t="n">
        <v>27953</v>
      </c>
      <c r="B1601" s="2" t="s">
        <v>162</v>
      </c>
      <c r="C1601" s="2" t="n">
        <v>1</v>
      </c>
      <c r="D1601" s="2" t="n">
        <v>1</v>
      </c>
      <c r="E1601" s="2" t="n">
        <v>1</v>
      </c>
      <c r="F1601" s="2" t="n">
        <v>23</v>
      </c>
      <c r="G1601" s="2" t="s">
        <v>479</v>
      </c>
      <c r="H1601" s="2" t="str">
        <f aca="false">IFERROR(__xludf.dummyfunction("IF(I1613="""", """", REGEXEXTRACT(I1613, ""Padrao/([^/]+)""))"),"Jardim Paulista")</f>
        <v>Jardim Paulista</v>
      </c>
    </row>
    <row r="1602" customFormat="false" ht="15.75" hidden="false" customHeight="false" outlineLevel="0" collapsed="false">
      <c r="A1602" s="2" t="n">
        <v>200600</v>
      </c>
      <c r="B1602" s="2" t="s">
        <v>1398</v>
      </c>
      <c r="C1602" s="2" t="n">
        <v>2</v>
      </c>
      <c r="D1602" s="2" t="n">
        <v>1</v>
      </c>
      <c r="E1602" s="2" t="n">
        <v>1</v>
      </c>
      <c r="F1602" s="2" t="n">
        <v>41</v>
      </c>
      <c r="G1602" s="2" t="s">
        <v>443</v>
      </c>
      <c r="H1602" s="2" t="str">
        <f aca="false">IFERROR(__xludf.dummyfunction("IF(I1614="""", """", REGEXEXTRACT(I1614, ""Padrao/([^/]+)""))"),"Reserva Real")</f>
        <v>Reserva Real</v>
      </c>
    </row>
    <row r="1603" customFormat="false" ht="15.75" hidden="false" customHeight="false" outlineLevel="0" collapsed="false">
      <c r="A1603" s="2" t="n">
        <v>84188</v>
      </c>
      <c r="B1603" s="2" t="s">
        <v>1399</v>
      </c>
      <c r="C1603" s="2" t="n">
        <v>2</v>
      </c>
      <c r="D1603" s="2" t="n">
        <v>3</v>
      </c>
      <c r="E1603" s="2" t="n">
        <v>1</v>
      </c>
      <c r="F1603" s="2" t="n">
        <v>55</v>
      </c>
      <c r="G1603" s="2" t="s">
        <v>472</v>
      </c>
      <c r="H1603" s="2" t="str">
        <f aca="false">IFERROR(__xludf.dummyfunction("IF(I1615="""", """", REGEXEXTRACT(I1615, ""Padrao/([^/]+)""))"),"Jardim Zara")</f>
        <v>Jardim Zara</v>
      </c>
    </row>
    <row r="1604" customFormat="false" ht="15.75" hidden="false" customHeight="false" outlineLevel="0" collapsed="false">
      <c r="A1604" s="2" t="n">
        <v>242924</v>
      </c>
      <c r="B1604" s="2" t="s">
        <v>1250</v>
      </c>
      <c r="C1604" s="2" t="n">
        <v>2</v>
      </c>
      <c r="D1604" s="2" t="n">
        <v>1</v>
      </c>
      <c r="E1604" s="2" t="n">
        <v>1</v>
      </c>
      <c r="F1604" s="2" t="n">
        <v>48</v>
      </c>
      <c r="G1604" s="2" t="s">
        <v>1400</v>
      </c>
      <c r="H1604" s="2" t="str">
        <f aca="false">IFERROR(__xludf.dummyfunction("IF(I1616="""", """", REGEXEXTRACT(I1616, ""Padrao/([^/]+)""))"),"Residencial Jequitiba")</f>
        <v>Residencial Jequitiba</v>
      </c>
    </row>
    <row r="1605" customFormat="false" ht="15.75" hidden="false" customHeight="false" outlineLevel="0" collapsed="false">
      <c r="A1605" s="2" t="n">
        <v>234065</v>
      </c>
      <c r="B1605" s="2" t="s">
        <v>1401</v>
      </c>
      <c r="C1605" s="2" t="n">
        <v>2</v>
      </c>
      <c r="D1605" s="2" t="n">
        <v>1</v>
      </c>
      <c r="E1605" s="2" t="n">
        <v>1</v>
      </c>
      <c r="F1605" s="2" t="n">
        <v>48</v>
      </c>
      <c r="G1605" s="2" t="s">
        <v>1400</v>
      </c>
      <c r="H1605" s="2" t="str">
        <f aca="false">IFERROR(__xludf.dummyfunction("IF(I1617="""", """", REGEXEXTRACT(I1617, ""Padrao/([^/]+)""))"),"Ipiranga")</f>
        <v>Ipiranga</v>
      </c>
    </row>
    <row r="1606" customFormat="false" ht="15.75" hidden="false" customHeight="false" outlineLevel="0" collapsed="false">
      <c r="A1606" s="2" t="n">
        <v>222269</v>
      </c>
      <c r="B1606" s="2" t="s">
        <v>1402</v>
      </c>
      <c r="C1606" s="2" t="n">
        <v>2</v>
      </c>
      <c r="D1606" s="2" t="n">
        <v>1</v>
      </c>
      <c r="E1606" s="2" t="n">
        <v>1</v>
      </c>
      <c r="F1606" s="2" t="n">
        <v>40</v>
      </c>
      <c r="G1606" s="2" t="s">
        <v>1400</v>
      </c>
      <c r="H1606" s="2" t="str">
        <f aca="false">IFERROR(__xludf.dummyfunction("IF(I1618="""", """", REGEXEXTRACT(I1618, ""Padrao/([^/]+)""))"),"Jardim Cybelli")</f>
        <v>Jardim Cybelli</v>
      </c>
    </row>
    <row r="1607" customFormat="false" ht="15.75" hidden="false" customHeight="false" outlineLevel="0" collapsed="false">
      <c r="A1607" s="2" t="n">
        <v>220304</v>
      </c>
      <c r="B1607" s="2" t="s">
        <v>1403</v>
      </c>
      <c r="C1607" s="2" t="n">
        <v>2</v>
      </c>
      <c r="D1607" s="2" t="n">
        <v>1</v>
      </c>
      <c r="E1607" s="2" t="n">
        <v>1</v>
      </c>
      <c r="F1607" s="2" t="n">
        <v>51</v>
      </c>
      <c r="G1607" s="2" t="s">
        <v>1400</v>
      </c>
      <c r="H1607" s="2" t="str">
        <f aca="false">IFERROR(__xludf.dummyfunction("IF(I1619="""", """", REGEXEXTRACT(I1619, ""Padrao/([^/]+)""))"),"Presidente Medici")</f>
        <v>Presidente Medici</v>
      </c>
    </row>
    <row r="1608" customFormat="false" ht="15.75" hidden="false" customHeight="false" outlineLevel="0" collapsed="false">
      <c r="A1608" s="2" t="n">
        <v>194666</v>
      </c>
      <c r="B1608" s="2" t="s">
        <v>1404</v>
      </c>
      <c r="C1608" s="2" t="n">
        <v>2</v>
      </c>
      <c r="D1608" s="2" t="n">
        <v>1</v>
      </c>
      <c r="E1608" s="2" t="n">
        <v>1</v>
      </c>
      <c r="F1608" s="2" t="n">
        <v>46</v>
      </c>
      <c r="G1608" s="2" t="s">
        <v>1400</v>
      </c>
      <c r="H1608" s="2" t="str">
        <f aca="false">IFERROR(__xludf.dummyfunction("IF(I1620="""", """", REGEXEXTRACT(I1620, ""Padrao/([^/]+)""))"),"Ribeirania")</f>
        <v>Ribeirania</v>
      </c>
    </row>
    <row r="1609" customFormat="false" ht="15.75" hidden="false" customHeight="false" outlineLevel="0" collapsed="false">
      <c r="A1609" s="2" t="n">
        <v>184634</v>
      </c>
      <c r="B1609" s="2" t="s">
        <v>1405</v>
      </c>
      <c r="C1609" s="2" t="n">
        <v>2</v>
      </c>
      <c r="D1609" s="2" t="n">
        <v>1</v>
      </c>
      <c r="E1609" s="2" t="n">
        <v>1</v>
      </c>
      <c r="F1609" s="2" t="n">
        <v>49</v>
      </c>
      <c r="G1609" s="2" t="s">
        <v>1400</v>
      </c>
      <c r="H1609" s="2" t="str">
        <f aca="false">IFERROR(__xludf.dummyfunction("IF(I1621="""", """", REGEXEXTRACT(I1621, ""Padrao/([^/]+)""))"),"Parque Sao Sebastiao")</f>
        <v>Parque Sao Sebastiao</v>
      </c>
    </row>
    <row r="1610" customFormat="false" ht="15.75" hidden="false" customHeight="false" outlineLevel="0" collapsed="false">
      <c r="A1610" s="2" t="n">
        <v>184016</v>
      </c>
      <c r="B1610" s="2" t="s">
        <v>1299</v>
      </c>
      <c r="C1610" s="2" t="n">
        <v>1</v>
      </c>
      <c r="D1610" s="2" t="n">
        <v>1</v>
      </c>
      <c r="E1610" s="2" t="n">
        <v>1</v>
      </c>
      <c r="F1610" s="2" t="n">
        <v>40</v>
      </c>
      <c r="G1610" s="2" t="s">
        <v>1400</v>
      </c>
      <c r="H1610" s="2" t="str">
        <f aca="false">IFERROR(__xludf.dummyfunction("IF(I1622="""", """", REGEXEXTRACT(I1622, ""Padrao/([^/]+)""))"),"Parque dos Bandeirantes")</f>
        <v>Parque dos Bandeirantes</v>
      </c>
    </row>
    <row r="1611" customFormat="false" ht="15.75" hidden="false" customHeight="false" outlineLevel="0" collapsed="false">
      <c r="A1611" s="2" t="n">
        <v>182063</v>
      </c>
      <c r="B1611" s="2" t="s">
        <v>1406</v>
      </c>
      <c r="C1611" s="2" t="n">
        <v>1</v>
      </c>
      <c r="D1611" s="2" t="n">
        <v>1</v>
      </c>
      <c r="E1611" s="2" t="n">
        <v>1</v>
      </c>
      <c r="F1611" s="2" t="n">
        <v>42</v>
      </c>
      <c r="G1611" s="2" t="s">
        <v>1400</v>
      </c>
      <c r="H1611" s="2" t="str">
        <f aca="false">IFERROR(__xludf.dummyfunction("IF(I1623="""", """", REGEXEXTRACT(I1623, ""Padrao/([^/]+)""))"),"Vila Seixas")</f>
        <v>Vila Seixas</v>
      </c>
    </row>
    <row r="1612" customFormat="false" ht="15.75" hidden="false" customHeight="false" outlineLevel="0" collapsed="false">
      <c r="A1612" s="2" t="n">
        <v>174791</v>
      </c>
      <c r="B1612" s="2" t="s">
        <v>1407</v>
      </c>
      <c r="C1612" s="2" t="n">
        <v>2</v>
      </c>
      <c r="D1612" s="2" t="n">
        <v>2</v>
      </c>
      <c r="E1612" s="2" t="n">
        <v>2</v>
      </c>
      <c r="F1612" s="2" t="n">
        <v>62</v>
      </c>
      <c r="G1612" s="2" t="s">
        <v>1400</v>
      </c>
      <c r="H1612" s="2" t="str">
        <f aca="false">IFERROR(__xludf.dummyfunction("IF(I1624="""", """", REGEXEXTRACT(I1624, ""Padrao/([^/]+)""))"),"Jardim Anhanguera")</f>
        <v>Jardim Anhanguera</v>
      </c>
    </row>
    <row r="1613" customFormat="false" ht="15.75" hidden="false" customHeight="false" outlineLevel="0" collapsed="false">
      <c r="A1613" s="2" t="n">
        <v>150491</v>
      </c>
      <c r="B1613" s="2" t="s">
        <v>1408</v>
      </c>
      <c r="C1613" s="2" t="n">
        <v>1</v>
      </c>
      <c r="D1613" s="2" t="n">
        <v>1</v>
      </c>
      <c r="E1613" s="2" t="n">
        <v>1</v>
      </c>
      <c r="F1613" s="2" t="n">
        <v>32</v>
      </c>
      <c r="G1613" s="2" t="s">
        <v>1400</v>
      </c>
      <c r="H1613" s="2" t="str">
        <f aca="false">IFERROR(__xludf.dummyfunction("IF(I1625="""", """", REGEXEXTRACT(I1625, ""Padrao/([^/]+)""))"),"Loteamento Santa Marta")</f>
        <v>Loteamento Santa Marta</v>
      </c>
    </row>
    <row r="1614" customFormat="false" ht="15.75" hidden="false" customHeight="false" outlineLevel="0" collapsed="false">
      <c r="A1614" s="2" t="n">
        <v>122717</v>
      </c>
      <c r="B1614" s="2" t="s">
        <v>1409</v>
      </c>
      <c r="C1614" s="2" t="n">
        <v>2</v>
      </c>
      <c r="D1614" s="2" t="n">
        <v>1</v>
      </c>
      <c r="E1614" s="2" t="n">
        <v>1</v>
      </c>
      <c r="F1614" s="2" t="n">
        <v>66</v>
      </c>
      <c r="G1614" s="2" t="s">
        <v>1400</v>
      </c>
      <c r="H1614" s="2" t="str">
        <f aca="false">IFERROR(__xludf.dummyfunction("IF(I1626="""", """", REGEXEXTRACT(I1626, ""Padrao/([^/]+)""))"),"Vila Amelia")</f>
        <v>Vila Amelia</v>
      </c>
    </row>
    <row r="1615" customFormat="false" ht="15.75" hidden="false" customHeight="false" outlineLevel="0" collapsed="false">
      <c r="A1615" s="2" t="n">
        <v>118373</v>
      </c>
      <c r="B1615" s="2" t="s">
        <v>162</v>
      </c>
      <c r="C1615" s="2" t="n">
        <v>2</v>
      </c>
      <c r="D1615" s="2" t="n">
        <v>2</v>
      </c>
      <c r="E1615" s="2" t="n">
        <v>1</v>
      </c>
      <c r="F1615" s="2" t="n">
        <v>55</v>
      </c>
      <c r="G1615" s="2" t="s">
        <v>1400</v>
      </c>
      <c r="H1615" s="2" t="str">
        <f aca="false">IFERROR(__xludf.dummyfunction("IF(I1627="""", """", REGEXEXTRACT(I1627, ""Padrao/([^/]+)""))"),"Jardim Zara")</f>
        <v>Jardim Zara</v>
      </c>
    </row>
    <row r="1616" customFormat="false" ht="15.75" hidden="false" customHeight="false" outlineLevel="0" collapsed="false">
      <c r="A1616" s="2" t="n">
        <v>53294</v>
      </c>
      <c r="B1616" s="2" t="s">
        <v>1410</v>
      </c>
      <c r="C1616" s="2" t="n">
        <v>1</v>
      </c>
      <c r="D1616" s="2" t="n">
        <v>1</v>
      </c>
      <c r="E1616" s="2" t="n">
        <v>1</v>
      </c>
      <c r="F1616" s="2" t="n">
        <v>31</v>
      </c>
      <c r="G1616" s="2" t="s">
        <v>1400</v>
      </c>
      <c r="H1616" s="2" t="str">
        <f aca="false">IFERROR(__xludf.dummyfunction("IF(I1628="""", """", REGEXEXTRACT(I1628, ""Padrao/([^/]+)""))"),"Vila Ana Maria")</f>
        <v>Vila Ana Maria</v>
      </c>
    </row>
    <row r="1617" customFormat="false" ht="15.75" hidden="false" customHeight="false" outlineLevel="0" collapsed="false">
      <c r="A1617" s="2" t="n">
        <v>181208</v>
      </c>
      <c r="B1617" s="2" t="s">
        <v>1411</v>
      </c>
      <c r="C1617" s="2" t="n">
        <v>2</v>
      </c>
      <c r="D1617" s="2" t="n">
        <v>1</v>
      </c>
      <c r="E1617" s="2" t="n">
        <v>1</v>
      </c>
      <c r="F1617" s="2" t="n">
        <v>48</v>
      </c>
      <c r="G1617" s="2" t="s">
        <v>464</v>
      </c>
      <c r="H1617" s="2" t="str">
        <f aca="false">IFERROR(__xludf.dummyfunction("IF(I1629="""", """", REGEXEXTRACT(I1629, ""Padrao/([^/]+)""))"),"Parque dos Lagos")</f>
        <v>Parque dos Lagos</v>
      </c>
    </row>
    <row r="1618" customFormat="false" ht="15.75" hidden="false" customHeight="false" outlineLevel="0" collapsed="false">
      <c r="A1618" s="2" t="n">
        <v>180833</v>
      </c>
      <c r="B1618" s="2" t="s">
        <v>1412</v>
      </c>
      <c r="C1618" s="2" t="n">
        <v>2</v>
      </c>
      <c r="D1618" s="2" t="n">
        <v>1</v>
      </c>
      <c r="E1618" s="2" t="n">
        <v>1</v>
      </c>
      <c r="F1618" s="2" t="n">
        <v>44</v>
      </c>
      <c r="G1618" s="2" t="s">
        <v>464</v>
      </c>
      <c r="H1618" s="2" t="str">
        <f aca="false">IFERROR(__xludf.dummyfunction("IF(I1630="""", """", REGEXEXTRACT(I1630, ""Padrao/([^/]+)""))"),"Residencial Greenville")</f>
        <v>Residencial Greenville</v>
      </c>
    </row>
    <row r="1619" customFormat="false" ht="15.75" hidden="false" customHeight="false" outlineLevel="0" collapsed="false">
      <c r="A1619" s="2" t="n">
        <v>224216</v>
      </c>
      <c r="B1619" s="2" t="s">
        <v>1413</v>
      </c>
      <c r="C1619" s="2" t="n">
        <v>1</v>
      </c>
      <c r="D1619" s="2" t="n">
        <v>1</v>
      </c>
      <c r="E1619" s="2" t="n">
        <v>1</v>
      </c>
      <c r="F1619" s="2" t="n">
        <v>38</v>
      </c>
      <c r="G1619" s="2" t="s">
        <v>470</v>
      </c>
      <c r="H1619" s="2" t="str">
        <f aca="false">IFERROR(__xludf.dummyfunction("IF(I1631="""", """", REGEXEXTRACT(I1631, ""Padrao/([^/]+)""))"),"Parque Industrial Lagoinha")</f>
        <v>Parque Industrial Lagoinha</v>
      </c>
    </row>
    <row r="1620" customFormat="false" ht="15.75" hidden="false" customHeight="false" outlineLevel="0" collapsed="false">
      <c r="A1620" s="2" t="n">
        <v>196991</v>
      </c>
      <c r="B1620" s="2" t="s">
        <v>1414</v>
      </c>
      <c r="C1620" s="2" t="n">
        <v>2</v>
      </c>
      <c r="D1620" s="2" t="n">
        <v>1</v>
      </c>
      <c r="E1620" s="2" t="n">
        <v>1</v>
      </c>
      <c r="F1620" s="2" t="n">
        <v>40</v>
      </c>
      <c r="G1620" s="2" t="s">
        <v>472</v>
      </c>
      <c r="H1620" s="2" t="str">
        <f aca="false">IFERROR(__xludf.dummyfunction("IF(I1632="""", """", REGEXEXTRACT(I1632, ""Padrao/([^/]+)""))"),"Jardim do Trevo")</f>
        <v>Jardim do Trevo</v>
      </c>
    </row>
    <row r="1621" customFormat="false" ht="15.75" hidden="false" customHeight="false" outlineLevel="0" collapsed="false">
      <c r="A1621" s="2" t="n">
        <v>244901</v>
      </c>
      <c r="B1621" s="2" t="s">
        <v>788</v>
      </c>
      <c r="C1621" s="2" t="n">
        <v>2</v>
      </c>
      <c r="D1621" s="2" t="n">
        <v>1</v>
      </c>
      <c r="E1621" s="2" t="n">
        <v>1</v>
      </c>
      <c r="F1621" s="2" t="n">
        <v>42</v>
      </c>
      <c r="G1621" s="2" t="s">
        <v>483</v>
      </c>
      <c r="H1621" s="2" t="str">
        <f aca="false">IFERROR(__xludf.dummyfunction("IF(I1633="""", """", REGEXEXTRACT(I1633, ""Padrao/([^/]+)""))"),"Jardim Jose Wilson Toni")</f>
        <v>Jardim Jose Wilson Toni</v>
      </c>
    </row>
    <row r="1622" customFormat="false" ht="15.75" hidden="false" customHeight="false" outlineLevel="0" collapsed="false">
      <c r="A1622" s="2" t="n">
        <v>244520</v>
      </c>
      <c r="B1622" s="2" t="s">
        <v>701</v>
      </c>
      <c r="C1622" s="2" t="n">
        <v>2</v>
      </c>
      <c r="D1622" s="2" t="n">
        <v>1</v>
      </c>
      <c r="E1622" s="2" t="n">
        <v>1</v>
      </c>
      <c r="F1622" s="2" t="n">
        <v>43</v>
      </c>
      <c r="G1622" s="2" t="s">
        <v>483</v>
      </c>
      <c r="H1622" s="2" t="str">
        <f aca="false">IFERROR(__xludf.dummyfunction("IF(I1634="""", """", REGEXEXTRACT(I1634, ""Padrao/([^/]+)""))"),"Valentina Figueiredo")</f>
        <v>Valentina Figueiredo</v>
      </c>
    </row>
    <row r="1623" customFormat="false" ht="15.75" hidden="false" customHeight="false" outlineLevel="0" collapsed="false">
      <c r="A1623" s="2" t="n">
        <v>237335</v>
      </c>
      <c r="B1623" s="2" t="s">
        <v>802</v>
      </c>
      <c r="C1623" s="2" t="n">
        <v>2</v>
      </c>
      <c r="D1623" s="2" t="n">
        <v>1</v>
      </c>
      <c r="E1623" s="2" t="n">
        <v>1</v>
      </c>
      <c r="F1623" s="2" t="n">
        <v>41</v>
      </c>
      <c r="G1623" s="2" t="s">
        <v>483</v>
      </c>
      <c r="H1623" s="2" t="str">
        <f aca="false">IFERROR(__xludf.dummyfunction("IF(I1635="""", """", REGEXEXTRACT(I1635, ""Padrao/([^/]+)""))"),"Conjunto Habitacional Silvio Passalacqua")</f>
        <v>Conjunto Habitacional Silvio Passalacqua</v>
      </c>
    </row>
    <row r="1624" customFormat="false" ht="15.75" hidden="false" customHeight="false" outlineLevel="0" collapsed="false">
      <c r="A1624" s="2" t="n">
        <v>236303</v>
      </c>
      <c r="B1624" s="2" t="s">
        <v>1415</v>
      </c>
      <c r="C1624" s="2" t="n">
        <v>1</v>
      </c>
      <c r="D1624" s="2" t="n">
        <v>1</v>
      </c>
      <c r="E1624" s="2" t="n">
        <v>1</v>
      </c>
      <c r="F1624" s="2" t="n">
        <v>49</v>
      </c>
      <c r="G1624" s="2" t="s">
        <v>483</v>
      </c>
      <c r="H1624" s="2" t="str">
        <f aca="false">IFERROR(__xludf.dummyfunction("IF(I1636="""", """", REGEXEXTRACT(I1636, ""Padrao/([^/]+)""))"),"Centro")</f>
        <v>Centro</v>
      </c>
    </row>
    <row r="1625" customFormat="false" ht="15.75" hidden="false" customHeight="false" outlineLevel="0" collapsed="false">
      <c r="A1625" s="2" t="n">
        <v>229613</v>
      </c>
      <c r="B1625" s="2" t="s">
        <v>937</v>
      </c>
      <c r="C1625" s="2" t="n">
        <v>2</v>
      </c>
      <c r="D1625" s="2" t="n">
        <v>1</v>
      </c>
      <c r="E1625" s="2" t="n">
        <v>1</v>
      </c>
      <c r="F1625" s="2" t="n">
        <v>43</v>
      </c>
      <c r="G1625" s="2" t="s">
        <v>483</v>
      </c>
      <c r="H1625" s="2" t="str">
        <f aca="false">IFERROR(__xludf.dummyfunction("IF(I1637="""", """", REGEXEXTRACT(I1637, ""Padrao/([^/]+)""))"),"Chacaras Pedro Correa de Carvalho")</f>
        <v>Chacaras Pedro Correa de Carvalho</v>
      </c>
    </row>
    <row r="1626" customFormat="false" ht="15.75" hidden="false" customHeight="false" outlineLevel="0" collapsed="false">
      <c r="A1626" s="2" t="n">
        <v>229103</v>
      </c>
      <c r="B1626" s="2" t="s">
        <v>1416</v>
      </c>
      <c r="C1626" s="2" t="n">
        <v>2</v>
      </c>
      <c r="D1626" s="2" t="n">
        <v>1</v>
      </c>
      <c r="E1626" s="2" t="n">
        <v>1</v>
      </c>
      <c r="F1626" s="2" t="n">
        <v>60</v>
      </c>
      <c r="G1626" s="2" t="s">
        <v>483</v>
      </c>
      <c r="H1626" s="2" t="str">
        <f aca="false">IFERROR(__xludf.dummyfunction("IF(I1638="""", """", REGEXEXTRACT(I1638, ""Padrao/([^/]+)""))"),"Planalto Verde")</f>
        <v>Planalto Verde</v>
      </c>
    </row>
    <row r="1627" customFormat="false" ht="15.75" hidden="false" customHeight="false" outlineLevel="0" collapsed="false">
      <c r="A1627" s="2" t="n">
        <v>227969</v>
      </c>
      <c r="B1627" s="2" t="s">
        <v>1417</v>
      </c>
      <c r="C1627" s="2" t="n">
        <v>2</v>
      </c>
      <c r="D1627" s="2" t="n">
        <v>1</v>
      </c>
      <c r="E1627" s="2" t="n">
        <v>1</v>
      </c>
      <c r="F1627" s="2" t="n">
        <v>69</v>
      </c>
      <c r="G1627" s="2" t="s">
        <v>483</v>
      </c>
      <c r="H1627" s="2" t="str">
        <f aca="false">IFERROR(__xludf.dummyfunction("IF(I1639="""", """", REGEXEXTRACT(I1639, ""Padrao/([^/]+)""))"),"Ipiranga")</f>
        <v>Ipiranga</v>
      </c>
    </row>
    <row r="1628" customFormat="false" ht="15.75" hidden="false" customHeight="false" outlineLevel="0" collapsed="false">
      <c r="A1628" s="2" t="n">
        <v>226268</v>
      </c>
      <c r="B1628" s="2" t="s">
        <v>1418</v>
      </c>
      <c r="C1628" s="2" t="n">
        <v>2</v>
      </c>
      <c r="D1628" s="2" t="n">
        <v>1</v>
      </c>
      <c r="E1628" s="2" t="n">
        <v>1</v>
      </c>
      <c r="F1628" s="2" t="n">
        <v>45</v>
      </c>
      <c r="G1628" s="2" t="s">
        <v>483</v>
      </c>
      <c r="H1628" s="2" t="str">
        <f aca="false">IFERROR(__xludf.dummyfunction("IF(I1640="""", """", REGEXEXTRACT(I1640, ""Padrao/([^/]+)""))"),"Jardim Manoel Penna")</f>
        <v>Jardim Manoel Penna</v>
      </c>
    </row>
    <row r="1629" customFormat="false" ht="15.75" hidden="false" customHeight="false" outlineLevel="0" collapsed="false">
      <c r="A1629" s="2" t="n">
        <v>225695</v>
      </c>
      <c r="B1629" s="2" t="s">
        <v>1419</v>
      </c>
      <c r="C1629" s="2" t="n">
        <v>2</v>
      </c>
      <c r="D1629" s="2" t="n">
        <v>1</v>
      </c>
      <c r="E1629" s="2" t="n">
        <v>1</v>
      </c>
      <c r="F1629" s="2" t="n">
        <v>42</v>
      </c>
      <c r="G1629" s="2" t="s">
        <v>483</v>
      </c>
      <c r="H1629" s="2" t="str">
        <f aca="false">IFERROR(__xludf.dummyfunction("IF(I1641="""", """", REGEXEXTRACT(I1641, ""Padrao/([^/]+)""))"),"Parque Residencial Lagoinha")</f>
        <v>Parque Residencial Lagoinha</v>
      </c>
    </row>
    <row r="1630" customFormat="false" ht="15.75" hidden="false" customHeight="false" outlineLevel="0" collapsed="false">
      <c r="A1630" s="2" t="n">
        <v>225617</v>
      </c>
      <c r="B1630" s="2" t="s">
        <v>904</v>
      </c>
      <c r="C1630" s="2" t="n">
        <v>2</v>
      </c>
      <c r="D1630" s="2" t="n">
        <v>1</v>
      </c>
      <c r="E1630" s="2" t="n">
        <v>1</v>
      </c>
      <c r="F1630" s="2" t="n">
        <v>40</v>
      </c>
      <c r="G1630" s="2" t="s">
        <v>483</v>
      </c>
      <c r="H1630" s="2" t="str">
        <f aca="false">IFERROR(__xludf.dummyfunction("IF(I1642="""", """", REGEXEXTRACT(I1642, ""Padrao/([^/]+)""))"),"Reserva Real")</f>
        <v>Reserva Real</v>
      </c>
    </row>
    <row r="1631" customFormat="false" ht="15.75" hidden="false" customHeight="false" outlineLevel="0" collapsed="false">
      <c r="A1631" s="2" t="n">
        <v>224924</v>
      </c>
      <c r="B1631" s="2" t="s">
        <v>1420</v>
      </c>
      <c r="C1631" s="2" t="n">
        <v>1</v>
      </c>
      <c r="D1631" s="2" t="n">
        <v>1</v>
      </c>
      <c r="E1631" s="2" t="n">
        <v>1</v>
      </c>
      <c r="F1631" s="2" t="n">
        <v>49</v>
      </c>
      <c r="G1631" s="2" t="s">
        <v>483</v>
      </c>
      <c r="H1631" s="2" t="str">
        <f aca="false">IFERROR(__xludf.dummyfunction("IF(I1643="""", """", REGEXEXTRACT(I1643, ""Padrao/([^/]+)""))"),"Centro")</f>
        <v>Centro</v>
      </c>
    </row>
    <row r="1632" customFormat="false" ht="15.75" hidden="false" customHeight="false" outlineLevel="0" collapsed="false">
      <c r="A1632" s="2" t="n">
        <v>217394</v>
      </c>
      <c r="B1632" s="2" t="s">
        <v>788</v>
      </c>
      <c r="C1632" s="2" t="n">
        <v>2</v>
      </c>
      <c r="D1632" s="2" t="n">
        <v>1</v>
      </c>
      <c r="E1632" s="2" t="n">
        <v>1</v>
      </c>
      <c r="F1632" s="2" t="n">
        <v>42</v>
      </c>
      <c r="G1632" s="2" t="s">
        <v>483</v>
      </c>
      <c r="H1632" s="2" t="str">
        <f aca="false">IFERROR(__xludf.dummyfunction("IF(I1644="""", """", REGEXEXTRACT(I1644, ""Padrao/([^/]+)""))"),"Jardim Jose Wilson Toni")</f>
        <v>Jardim Jose Wilson Toni</v>
      </c>
    </row>
    <row r="1633" customFormat="false" ht="15.75" hidden="false" customHeight="false" outlineLevel="0" collapsed="false">
      <c r="A1633" s="2" t="n">
        <v>213854</v>
      </c>
      <c r="B1633" s="2" t="s">
        <v>1292</v>
      </c>
      <c r="C1633" s="2" t="n">
        <v>2</v>
      </c>
      <c r="D1633" s="2" t="n">
        <v>1</v>
      </c>
      <c r="E1633" s="2" t="n">
        <v>1</v>
      </c>
      <c r="F1633" s="2" t="n">
        <v>40</v>
      </c>
      <c r="G1633" s="2" t="s">
        <v>483</v>
      </c>
      <c r="H1633" s="2" t="str">
        <f aca="false">IFERROR(__xludf.dummyfunction("IF(I1645="""", """", REGEXEXTRACT(I1645, ""Padrao/([^/]+)""))"),"Jardim Cybelli")</f>
        <v>Jardim Cybelli</v>
      </c>
    </row>
    <row r="1634" customFormat="false" ht="15.75" hidden="false" customHeight="false" outlineLevel="0" collapsed="false">
      <c r="A1634" s="2" t="n">
        <v>205148</v>
      </c>
      <c r="B1634" s="2" t="s">
        <v>1421</v>
      </c>
      <c r="C1634" s="2" t="n">
        <v>2</v>
      </c>
      <c r="D1634" s="2" t="n">
        <v>1</v>
      </c>
      <c r="E1634" s="2" t="n">
        <v>1</v>
      </c>
      <c r="F1634" s="2" t="n">
        <v>42</v>
      </c>
      <c r="G1634" s="2" t="s">
        <v>483</v>
      </c>
      <c r="H1634" s="2" t="str">
        <f aca="false">IFERROR(__xludf.dummyfunction("IF(I1646="""", """", REGEXEXTRACT(I1646, ""Padrao/([^/]+)""))"),"Vila Virginia")</f>
        <v>Vila Virginia</v>
      </c>
    </row>
    <row r="1635" customFormat="false" ht="15.75" hidden="false" customHeight="false" outlineLevel="0" collapsed="false">
      <c r="A1635" s="2" t="n">
        <v>195308</v>
      </c>
      <c r="B1635" s="2" t="s">
        <v>330</v>
      </c>
      <c r="C1635" s="2" t="n">
        <v>3</v>
      </c>
      <c r="D1635" s="2" t="n">
        <v>1</v>
      </c>
      <c r="E1635" s="2" t="n">
        <v>1</v>
      </c>
      <c r="F1635" s="2" t="n">
        <v>44</v>
      </c>
      <c r="G1635" s="2" t="s">
        <v>483</v>
      </c>
      <c r="H1635" s="2" t="str">
        <f aca="false">IFERROR(__xludf.dummyfunction("IF(I1647="""", """", REGEXEXTRACT(I1647, ""Padrao/([^/]+)""))"),"Jardim Eugenio Mendes Lopes")</f>
        <v>Jardim Eugenio Mendes Lopes</v>
      </c>
    </row>
    <row r="1636" customFormat="false" ht="15.75" hidden="false" customHeight="false" outlineLevel="0" collapsed="false">
      <c r="A1636" s="2" t="n">
        <v>192653</v>
      </c>
      <c r="B1636" s="2" t="s">
        <v>1422</v>
      </c>
      <c r="C1636" s="2" t="n">
        <v>2</v>
      </c>
      <c r="D1636" s="2" t="n">
        <v>2</v>
      </c>
      <c r="E1636" s="2" t="n">
        <v>1</v>
      </c>
      <c r="F1636" s="2" t="n">
        <v>42</v>
      </c>
      <c r="G1636" s="2" t="s">
        <v>483</v>
      </c>
      <c r="H1636" s="2" t="str">
        <f aca="false">IFERROR(__xludf.dummyfunction("IF(I1648="""", """", REGEXEXTRACT(I1648, ""Padrao/([^/]+)""))"),"Jardim Santa Cecilia")</f>
        <v>Jardim Santa Cecilia</v>
      </c>
    </row>
    <row r="1637" customFormat="false" ht="15.75" hidden="false" customHeight="false" outlineLevel="0" collapsed="false">
      <c r="A1637" s="2" t="n">
        <v>191750</v>
      </c>
      <c r="B1637" s="2" t="s">
        <v>1067</v>
      </c>
      <c r="C1637" s="2" t="n">
        <v>1</v>
      </c>
      <c r="D1637" s="2" t="n">
        <v>1</v>
      </c>
      <c r="E1637" s="2" t="n">
        <v>1</v>
      </c>
      <c r="F1637" s="2" t="n">
        <v>41</v>
      </c>
      <c r="G1637" s="2" t="s">
        <v>483</v>
      </c>
      <c r="H1637" s="2" t="str">
        <f aca="false">IFERROR(__xludf.dummyfunction("IF(I1649="""", """", REGEXEXTRACT(I1649, ""Padrao/([^/]+)""))"),"Jardim Castelo Branco")</f>
        <v>Jardim Castelo Branco</v>
      </c>
    </row>
    <row r="1638" customFormat="false" ht="15.75" hidden="false" customHeight="false" outlineLevel="0" collapsed="false">
      <c r="A1638" s="2" t="n">
        <v>188423</v>
      </c>
      <c r="B1638" s="2" t="s">
        <v>162</v>
      </c>
      <c r="C1638" s="2" t="n">
        <v>2</v>
      </c>
      <c r="D1638" s="2" t="n">
        <v>1</v>
      </c>
      <c r="E1638" s="2" t="n">
        <v>1</v>
      </c>
      <c r="F1638" s="2" t="n">
        <v>69</v>
      </c>
      <c r="G1638" s="2" t="s">
        <v>483</v>
      </c>
      <c r="H1638" s="2" t="str">
        <f aca="false">IFERROR(__xludf.dummyfunction("IF(I1650="""", """", REGEXEXTRACT(I1650, ""Padrao/([^/]+)""))"),"Ipiranga")</f>
        <v>Ipiranga</v>
      </c>
    </row>
    <row r="1639" customFormat="false" ht="15.75" hidden="false" customHeight="false" outlineLevel="0" collapsed="false">
      <c r="A1639" s="2" t="n">
        <v>182564</v>
      </c>
      <c r="B1639" s="2" t="s">
        <v>368</v>
      </c>
      <c r="C1639" s="2" t="n">
        <v>2</v>
      </c>
      <c r="D1639" s="2" t="n">
        <v>1</v>
      </c>
      <c r="E1639" s="2" t="n">
        <v>1</v>
      </c>
      <c r="F1639" s="2" t="n">
        <v>43</v>
      </c>
      <c r="G1639" s="2" t="s">
        <v>483</v>
      </c>
      <c r="H1639" s="2" t="str">
        <f aca="false">IFERROR(__xludf.dummyfunction("IF(I1651="""", """", REGEXEXTRACT(I1651, ""Padrao/([^/]+)""))"),"Jardim Heitor Rigon")</f>
        <v>Jardim Heitor Rigon</v>
      </c>
    </row>
    <row r="1640" customFormat="false" ht="15.75" hidden="false" customHeight="false" outlineLevel="0" collapsed="false">
      <c r="A1640" s="2" t="n">
        <v>182210</v>
      </c>
      <c r="B1640" s="2" t="s">
        <v>1423</v>
      </c>
      <c r="C1640" s="2" t="n">
        <v>1</v>
      </c>
      <c r="D1640" s="2" t="n">
        <v>1</v>
      </c>
      <c r="E1640" s="2" t="n">
        <v>1</v>
      </c>
      <c r="F1640" s="2" t="n">
        <v>46</v>
      </c>
      <c r="G1640" s="2" t="s">
        <v>483</v>
      </c>
      <c r="H1640" s="2" t="str">
        <f aca="false">IFERROR(__xludf.dummyfunction("IF(I1652="""", """", REGEXEXTRACT(I1652, ""Padrao/([^/]+)""))"),"Jardim Paulista")</f>
        <v>Jardim Paulista</v>
      </c>
    </row>
    <row r="1641" customFormat="false" ht="15.75" hidden="false" customHeight="false" outlineLevel="0" collapsed="false">
      <c r="A1641" s="2" t="n">
        <v>165755</v>
      </c>
      <c r="B1641" s="2" t="s">
        <v>1424</v>
      </c>
      <c r="C1641" s="2" t="n">
        <v>2</v>
      </c>
      <c r="D1641" s="2" t="n">
        <v>1</v>
      </c>
      <c r="E1641" s="2" t="n">
        <v>1</v>
      </c>
      <c r="F1641" s="2" t="n">
        <v>45</v>
      </c>
      <c r="G1641" s="2" t="s">
        <v>483</v>
      </c>
      <c r="H1641" s="2" t="str">
        <f aca="false">IFERROR(__xludf.dummyfunction("IF(I1653="""", """", REGEXEXTRACT(I1653, ""Padrao/([^/]+)""))"),"Jardim Maria Goretti")</f>
        <v>Jardim Maria Goretti</v>
      </c>
    </row>
    <row r="1642" customFormat="false" ht="15.75" hidden="false" customHeight="false" outlineLevel="0" collapsed="false">
      <c r="A1642" s="2" t="n">
        <v>165653</v>
      </c>
      <c r="B1642" s="2" t="s">
        <v>1425</v>
      </c>
      <c r="C1642" s="2" t="n">
        <v>2</v>
      </c>
      <c r="D1642" s="2" t="n">
        <v>1</v>
      </c>
      <c r="E1642" s="2" t="n">
        <v>1</v>
      </c>
      <c r="F1642" s="2" t="n">
        <v>42</v>
      </c>
      <c r="G1642" s="2" t="s">
        <v>483</v>
      </c>
      <c r="H1642" s="2" t="str">
        <f aca="false">IFERROR(__xludf.dummyfunction("IF(I1654="""", """", REGEXEXTRACT(I1654, ""Padrao/([^/]+)""))"),"Jardim Santa Cecilia")</f>
        <v>Jardim Santa Cecilia</v>
      </c>
    </row>
    <row r="1643" customFormat="false" ht="15.75" hidden="false" customHeight="false" outlineLevel="0" collapsed="false">
      <c r="A1643" s="2" t="n">
        <v>162974</v>
      </c>
      <c r="B1643" s="2" t="s">
        <v>1426</v>
      </c>
      <c r="C1643" s="2" t="n">
        <v>2</v>
      </c>
      <c r="D1643" s="2" t="n">
        <v>1</v>
      </c>
      <c r="E1643" s="2" t="n">
        <v>1</v>
      </c>
      <c r="F1643" s="2" t="n">
        <v>46</v>
      </c>
      <c r="G1643" s="2" t="s">
        <v>483</v>
      </c>
      <c r="H1643" s="2" t="str">
        <f aca="false">IFERROR(__xludf.dummyfunction("IF(I1655="""", """", REGEXEXTRACT(I1655, ""Padrao/([^/]+)""))"),"City Ribeirao")</f>
        <v>City Ribeirao</v>
      </c>
    </row>
    <row r="1644" customFormat="false" ht="15.75" hidden="false" customHeight="false" outlineLevel="0" collapsed="false">
      <c r="A1644" s="2" t="n">
        <v>162578</v>
      </c>
      <c r="B1644" s="2" t="s">
        <v>1380</v>
      </c>
      <c r="C1644" s="2" t="n">
        <v>1</v>
      </c>
      <c r="D1644" s="2" t="n">
        <v>1</v>
      </c>
      <c r="E1644" s="2" t="n">
        <v>1</v>
      </c>
      <c r="F1644" s="2" t="n">
        <v>37</v>
      </c>
      <c r="G1644" s="2" t="s">
        <v>483</v>
      </c>
      <c r="H1644" s="2" t="str">
        <f aca="false">IFERROR(__xludf.dummyfunction("IF(I1656="""", """", REGEXEXTRACT(I1656, ""Padrao/([^/]+)""))"),"Jardim Iraja")</f>
        <v>Jardim Iraja</v>
      </c>
    </row>
    <row r="1645" customFormat="false" ht="15.75" hidden="false" customHeight="false" outlineLevel="0" collapsed="false">
      <c r="A1645" s="2" t="n">
        <v>149711</v>
      </c>
      <c r="B1645" s="2" t="s">
        <v>386</v>
      </c>
      <c r="C1645" s="2" t="n">
        <v>2</v>
      </c>
      <c r="D1645" s="2" t="n">
        <v>1</v>
      </c>
      <c r="E1645" s="2" t="n">
        <v>1</v>
      </c>
      <c r="F1645" s="2" t="n">
        <v>42</v>
      </c>
      <c r="G1645" s="2" t="s">
        <v>483</v>
      </c>
      <c r="H1645" s="2" t="str">
        <f aca="false">IFERROR(__xludf.dummyfunction("IF(I1657="""", """", REGEXEXTRACT(I1657, ""Padrao/([^/]+)""))"),"Jardim Florestan Fernandes")</f>
        <v>Jardim Florestan Fernandes</v>
      </c>
    </row>
    <row r="1646" customFormat="false" ht="15.75" hidden="false" customHeight="false" outlineLevel="0" collapsed="false">
      <c r="A1646" s="2" t="n">
        <v>147713</v>
      </c>
      <c r="B1646" s="2" t="s">
        <v>1082</v>
      </c>
      <c r="C1646" s="2" t="n">
        <v>2</v>
      </c>
      <c r="D1646" s="2" t="n">
        <v>1</v>
      </c>
      <c r="E1646" s="2" t="n">
        <v>1</v>
      </c>
      <c r="F1646" s="2" t="n">
        <v>41</v>
      </c>
      <c r="G1646" s="2" t="s">
        <v>483</v>
      </c>
      <c r="H1646" s="2" t="str">
        <f aca="false">IFERROR(__xludf.dummyfunction("IF(I1658="""", """", REGEXEXTRACT(I1658, ""Padrao/([^/]+)""))"),"Residencial Jequitiba")</f>
        <v>Residencial Jequitiba</v>
      </c>
    </row>
    <row r="1647" customFormat="false" ht="15.75" hidden="false" customHeight="false" outlineLevel="0" collapsed="false">
      <c r="A1647" s="2" t="n">
        <v>142007</v>
      </c>
      <c r="B1647" s="2" t="s">
        <v>1427</v>
      </c>
      <c r="C1647" s="2" t="n">
        <v>2</v>
      </c>
      <c r="D1647" s="2" t="n">
        <v>1</v>
      </c>
      <c r="E1647" s="2" t="n">
        <v>1</v>
      </c>
      <c r="F1647" s="2" t="n">
        <v>43</v>
      </c>
      <c r="G1647" s="2" t="s">
        <v>483</v>
      </c>
      <c r="H1647" s="2" t="str">
        <f aca="false">IFERROR(__xludf.dummyfunction("IF(I1659="""", """", REGEXEXTRACT(I1659, ""Padrao/([^/]+)""))"),"Jardim Interlagos")</f>
        <v>Jardim Interlagos</v>
      </c>
    </row>
    <row r="1648" customFormat="false" ht="15.75" hidden="false" customHeight="false" outlineLevel="0" collapsed="false">
      <c r="A1648" s="2" t="n">
        <v>140429</v>
      </c>
      <c r="B1648" s="2" t="s">
        <v>1428</v>
      </c>
      <c r="C1648" s="2" t="n">
        <v>2</v>
      </c>
      <c r="D1648" s="2" t="n">
        <v>1</v>
      </c>
      <c r="E1648" s="2" t="n">
        <v>1</v>
      </c>
      <c r="F1648" s="2" t="n">
        <v>41</v>
      </c>
      <c r="G1648" s="2" t="s">
        <v>483</v>
      </c>
      <c r="H1648" s="2" t="str">
        <f aca="false">IFERROR(__xludf.dummyfunction("IF(I1660="""", """", REGEXEXTRACT(I1660, ""Padrao/([^/]+)""))"),"Reserva Real")</f>
        <v>Reserva Real</v>
      </c>
    </row>
    <row r="1649" customFormat="false" ht="15.75" hidden="false" customHeight="false" outlineLevel="0" collapsed="false">
      <c r="A1649" s="2" t="n">
        <v>140309</v>
      </c>
      <c r="B1649" s="2" t="s">
        <v>1429</v>
      </c>
      <c r="C1649" s="2" t="n">
        <v>1</v>
      </c>
      <c r="D1649" s="2" t="n">
        <v>1</v>
      </c>
      <c r="E1649" s="2" t="n">
        <v>1</v>
      </c>
      <c r="F1649" s="2" t="n">
        <v>35</v>
      </c>
      <c r="G1649" s="2" t="s">
        <v>483</v>
      </c>
      <c r="H1649" s="2" t="str">
        <f aca="false">IFERROR(__xludf.dummyfunction("IF(I1661="""", """", REGEXEXTRACT(I1661, ""Padrao/([^/]+)""))"),"Condominio Itamaraty")</f>
        <v>Condominio Itamaraty</v>
      </c>
    </row>
    <row r="1650" customFormat="false" ht="15.75" hidden="false" customHeight="false" outlineLevel="0" collapsed="false">
      <c r="A1650" s="2" t="n">
        <v>125066</v>
      </c>
      <c r="B1650" s="2" t="s">
        <v>1430</v>
      </c>
      <c r="C1650" s="2" t="n">
        <v>1</v>
      </c>
      <c r="D1650" s="2" t="n">
        <v>1</v>
      </c>
      <c r="E1650" s="2" t="n">
        <v>1</v>
      </c>
      <c r="F1650" s="2" t="n">
        <v>44</v>
      </c>
      <c r="G1650" s="2" t="s">
        <v>483</v>
      </c>
      <c r="H1650" s="2" t="str">
        <f aca="false">IFERROR(__xludf.dummyfunction("IF(I1662="""", """", REGEXEXTRACT(I1662, ""Padrao/([^/]+)""))"),"Jardim Paulistano")</f>
        <v>Jardim Paulistano</v>
      </c>
    </row>
    <row r="1651" customFormat="false" ht="15.75" hidden="false" customHeight="false" outlineLevel="0" collapsed="false">
      <c r="A1651" s="2" t="n">
        <v>115805</v>
      </c>
      <c r="B1651" s="2" t="s">
        <v>1101</v>
      </c>
      <c r="C1651" s="2" t="n">
        <v>2</v>
      </c>
      <c r="D1651" s="2" t="n">
        <v>1</v>
      </c>
      <c r="E1651" s="2" t="n">
        <v>1</v>
      </c>
      <c r="F1651" s="2" t="n">
        <v>46</v>
      </c>
      <c r="G1651" s="2" t="s">
        <v>483</v>
      </c>
      <c r="H1651" s="2" t="str">
        <f aca="false">IFERROR(__xludf.dummyfunction("IF(I1663="""", """", REGEXEXTRACT(I1663, ""Padrao/([^/]+)""))"),"Sumarezinho")</f>
        <v>Sumarezinho</v>
      </c>
    </row>
    <row r="1652" customFormat="false" ht="15.75" hidden="false" customHeight="false" outlineLevel="0" collapsed="false">
      <c r="A1652" s="2" t="n">
        <v>74894</v>
      </c>
      <c r="B1652" s="2" t="s">
        <v>162</v>
      </c>
      <c r="C1652" s="2" t="n">
        <v>2</v>
      </c>
      <c r="D1652" s="2" t="n">
        <v>1</v>
      </c>
      <c r="E1652" s="2" t="n">
        <v>1</v>
      </c>
      <c r="F1652" s="2" t="n">
        <v>48</v>
      </c>
      <c r="G1652" s="2" t="s">
        <v>483</v>
      </c>
      <c r="H1652" s="2" t="str">
        <f aca="false">IFERROR(__xludf.dummyfunction("IF(I1664="""", """", REGEXEXTRACT(I1664, ""Padrao/([^/]+)""))"),"Parque Industrial Lagoinha")</f>
        <v>Parque Industrial Lagoinha</v>
      </c>
    </row>
    <row r="1653" customFormat="false" ht="15.75" hidden="false" customHeight="false" outlineLevel="0" collapsed="false">
      <c r="A1653" s="2" t="n">
        <v>68504</v>
      </c>
      <c r="B1653" s="2" t="s">
        <v>1431</v>
      </c>
      <c r="C1653" s="2" t="n">
        <v>1</v>
      </c>
      <c r="D1653" s="2" t="n">
        <v>1</v>
      </c>
      <c r="E1653" s="2" t="n">
        <v>1</v>
      </c>
      <c r="F1653" s="2" t="n">
        <v>40</v>
      </c>
      <c r="G1653" s="2" t="s">
        <v>483</v>
      </c>
      <c r="H1653" s="2" t="str">
        <f aca="false">IFERROR(__xludf.dummyfunction("IF(I1665="""", """", REGEXEXTRACT(I1665, ""Padrao/([^/]+)""))"),"Nova Alianca")</f>
        <v>Nova Alianca</v>
      </c>
    </row>
    <row r="1654" customFormat="false" ht="15.75" hidden="false" customHeight="false" outlineLevel="0" collapsed="false">
      <c r="A1654" s="2" t="n">
        <v>67151</v>
      </c>
      <c r="B1654" s="2" t="s">
        <v>1432</v>
      </c>
      <c r="C1654" s="2" t="n">
        <v>1</v>
      </c>
      <c r="D1654" s="2" t="n">
        <v>1</v>
      </c>
      <c r="E1654" s="2" t="n">
        <v>1</v>
      </c>
      <c r="F1654" s="2" t="n">
        <v>41</v>
      </c>
      <c r="G1654" s="2" t="s">
        <v>483</v>
      </c>
      <c r="H1654" s="2" t="str">
        <f aca="false">IFERROR(__xludf.dummyfunction("IF(I1666="""", """", REGEXEXTRACT(I1666, ""Padrao/([^/]+)""))"),"Vila Amelia")</f>
        <v>Vila Amelia</v>
      </c>
    </row>
    <row r="1655" customFormat="false" ht="15.75" hidden="false" customHeight="false" outlineLevel="0" collapsed="false">
      <c r="A1655" s="2" t="n">
        <v>240923</v>
      </c>
      <c r="B1655" s="2" t="s">
        <v>1433</v>
      </c>
      <c r="C1655" s="2" t="n">
        <v>2</v>
      </c>
      <c r="D1655" s="2" t="n">
        <v>1</v>
      </c>
      <c r="E1655" s="2" t="n">
        <v>1</v>
      </c>
      <c r="F1655" s="2" t="n">
        <v>47</v>
      </c>
      <c r="G1655" s="2" t="s">
        <v>1434</v>
      </c>
      <c r="H1655" s="2" t="str">
        <f aca="false">IFERROR(__xludf.dummyfunction("IF(I1667="""", """", REGEXEXTRACT(I1667, ""Padrao/([^/]+)""))"),"Conjunto Habitacional Jardim das Palmeiras")</f>
        <v>Conjunto Habitacional Jardim das Palmeiras</v>
      </c>
    </row>
    <row r="1656" customFormat="false" ht="15.75" hidden="false" customHeight="false" outlineLevel="0" collapsed="false">
      <c r="A1656" s="2" t="n">
        <v>136295</v>
      </c>
      <c r="B1656" s="2" t="s">
        <v>1435</v>
      </c>
      <c r="C1656" s="2" t="n">
        <v>1</v>
      </c>
      <c r="D1656" s="2" t="n">
        <v>1</v>
      </c>
      <c r="E1656" s="2" t="n">
        <v>1</v>
      </c>
      <c r="F1656" s="2" t="n">
        <v>31</v>
      </c>
      <c r="G1656" s="2" t="s">
        <v>474</v>
      </c>
      <c r="H1656" s="2" t="str">
        <f aca="false">IFERROR(__xludf.dummyfunction("IF(I1668="""", """", REGEXEXTRACT(I1668, ""Padrao/([^/]+)""))"),"Jardim Iraja")</f>
        <v>Jardim Iraja</v>
      </c>
    </row>
    <row r="1657" customFormat="false" ht="15.75" hidden="false" customHeight="false" outlineLevel="0" collapsed="false">
      <c r="A1657" s="2" t="n">
        <v>217238</v>
      </c>
      <c r="B1657" s="2" t="s">
        <v>1436</v>
      </c>
      <c r="C1657" s="2" t="n">
        <v>2</v>
      </c>
      <c r="D1657" s="2" t="n">
        <v>1</v>
      </c>
      <c r="E1657" s="2" t="n">
        <v>1</v>
      </c>
      <c r="F1657" s="2" t="n">
        <v>48</v>
      </c>
      <c r="G1657" s="2" t="s">
        <v>487</v>
      </c>
      <c r="H1657" s="2" t="str">
        <f aca="false">IFERROR(__xludf.dummyfunction("IF(I1669="""", """", REGEXEXTRACT(I1669, ""Padrao/([^/]+)""))"),"Geraldo Correia de Carvalho")</f>
        <v>Geraldo Correia de Carvalho</v>
      </c>
    </row>
    <row r="1658" customFormat="false" ht="15.75" hidden="false" customHeight="false" outlineLevel="0" collapsed="false">
      <c r="A1658" s="2" t="n">
        <v>183398</v>
      </c>
      <c r="B1658" s="2" t="s">
        <v>1437</v>
      </c>
      <c r="C1658" s="2" t="n">
        <v>2</v>
      </c>
      <c r="D1658" s="2" t="n">
        <v>1</v>
      </c>
      <c r="E1658" s="2" t="n">
        <v>1</v>
      </c>
      <c r="F1658" s="2" t="n">
        <v>45</v>
      </c>
      <c r="G1658" s="2" t="s">
        <v>487</v>
      </c>
      <c r="H1658" s="2" t="str">
        <f aca="false">IFERROR(__xludf.dummyfunction("IF(I1670="""", """", REGEXEXTRACT(I1670, ""Padrao/([^/]+)""))"),"Parque dos Lagos")</f>
        <v>Parque dos Lagos</v>
      </c>
    </row>
    <row r="1659" customFormat="false" ht="15.75" hidden="false" customHeight="false" outlineLevel="0" collapsed="false">
      <c r="A1659" s="2" t="n">
        <v>160187</v>
      </c>
      <c r="B1659" s="2" t="s">
        <v>1438</v>
      </c>
      <c r="C1659" s="2" t="n">
        <v>2</v>
      </c>
      <c r="D1659" s="2" t="n">
        <v>1</v>
      </c>
      <c r="E1659" s="2" t="n">
        <v>1</v>
      </c>
      <c r="F1659" s="2" t="n">
        <v>41</v>
      </c>
      <c r="G1659" s="2" t="s">
        <v>487</v>
      </c>
      <c r="H1659" s="2" t="str">
        <f aca="false">IFERROR(__xludf.dummyfunction("IF(I1671="""", """", REGEXEXTRACT(I1671, ""Padrao/([^/]+)""))"),"Residencial Jequitiba")</f>
        <v>Residencial Jequitiba</v>
      </c>
    </row>
    <row r="1660" customFormat="false" ht="15.75" hidden="false" customHeight="false" outlineLevel="0" collapsed="false">
      <c r="A1660" s="2" t="n">
        <v>222743</v>
      </c>
      <c r="B1660" s="2" t="s">
        <v>1439</v>
      </c>
      <c r="C1660" s="2" t="n">
        <v>1</v>
      </c>
      <c r="D1660" s="2" t="n">
        <v>1</v>
      </c>
      <c r="E1660" s="2" t="n">
        <v>1</v>
      </c>
      <c r="F1660" s="2" t="n">
        <v>41</v>
      </c>
      <c r="G1660" s="2" t="s">
        <v>446</v>
      </c>
      <c r="H1660" s="2" t="str">
        <f aca="false">IFERROR(__xludf.dummyfunction("IF(I1672="""", """", REGEXEXTRACT(I1672, ""Padrao/([^/]+)""))"),"Parque Sao Sebastiao")</f>
        <v>Parque Sao Sebastiao</v>
      </c>
    </row>
    <row r="1661" customFormat="false" ht="15.75" hidden="false" customHeight="false" outlineLevel="0" collapsed="false">
      <c r="A1661" s="2" t="n">
        <v>241160</v>
      </c>
      <c r="B1661" s="2" t="s">
        <v>1440</v>
      </c>
      <c r="C1661" s="2" t="n">
        <v>1</v>
      </c>
      <c r="D1661" s="2" t="n">
        <v>1</v>
      </c>
      <c r="E1661" s="2" t="n">
        <v>1</v>
      </c>
      <c r="F1661" s="2" t="n">
        <v>40</v>
      </c>
      <c r="G1661" s="2" t="s">
        <v>1320</v>
      </c>
      <c r="H1661" s="2" t="str">
        <f aca="false">IFERROR(__xludf.dummyfunction("IF(I1673="""", """", REGEXEXTRACT(I1673, ""Padrao/([^/]+)""))"),"Parque dos Bandeirantes")</f>
        <v>Parque dos Bandeirantes</v>
      </c>
    </row>
    <row r="1662" customFormat="false" ht="15.75" hidden="false" customHeight="false" outlineLevel="0" collapsed="false">
      <c r="A1662" s="2" t="n">
        <v>233621</v>
      </c>
      <c r="B1662" s="2" t="s">
        <v>1173</v>
      </c>
      <c r="C1662" s="2" t="n">
        <v>2</v>
      </c>
      <c r="D1662" s="2" t="n">
        <v>1</v>
      </c>
      <c r="E1662" s="2" t="n">
        <v>1</v>
      </c>
      <c r="F1662" s="2" t="n">
        <v>48</v>
      </c>
      <c r="G1662" s="2" t="s">
        <v>489</v>
      </c>
      <c r="H1662" s="2" t="str">
        <f aca="false">IFERROR(__xludf.dummyfunction("IF(I1674="""", """", REGEXEXTRACT(I1674, ""Padrao/([^/]+)""))"),"Jardim das Palmeiras")</f>
        <v>Jardim das Palmeiras</v>
      </c>
    </row>
    <row r="1663" customFormat="false" ht="15.75" hidden="false" customHeight="false" outlineLevel="0" collapsed="false">
      <c r="A1663" s="2" t="n">
        <v>146126</v>
      </c>
      <c r="B1663" s="2" t="s">
        <v>1441</v>
      </c>
      <c r="C1663" s="2" t="n">
        <v>2</v>
      </c>
      <c r="D1663" s="2" t="n">
        <v>1</v>
      </c>
      <c r="E1663" s="2" t="n">
        <v>1</v>
      </c>
      <c r="F1663" s="2" t="n">
        <v>45</v>
      </c>
      <c r="G1663" s="2" t="s">
        <v>489</v>
      </c>
      <c r="H1663" s="2" t="str">
        <f aca="false">IFERROR(__xludf.dummyfunction("IF(I1675="""", """", REGEXEXTRACT(I1675, ""Padrao/([^/]+)""))"),"Jardim Manoel Penna")</f>
        <v>Jardim Manoel Penna</v>
      </c>
    </row>
    <row r="1664" customFormat="false" ht="15.75" hidden="false" customHeight="false" outlineLevel="0" collapsed="false">
      <c r="A1664" s="2" t="n">
        <v>36374</v>
      </c>
      <c r="B1664" s="2" t="s">
        <v>1442</v>
      </c>
      <c r="C1664" s="2" t="n">
        <v>1</v>
      </c>
      <c r="D1664" s="2" t="n">
        <v>1</v>
      </c>
      <c r="E1664" s="2" t="n">
        <v>1</v>
      </c>
      <c r="F1664" s="2" t="n">
        <v>20</v>
      </c>
      <c r="G1664" s="2" t="s">
        <v>489</v>
      </c>
      <c r="H1664" s="2" t="str">
        <f aca="false">IFERROR(__xludf.dummyfunction("IF(I1676="""", """", REGEXEXTRACT(I1676, ""Padrao/([^/]+)""))"),"Vila Ana Maria")</f>
        <v>Vila Ana Maria</v>
      </c>
    </row>
    <row r="1665" customFormat="false" ht="15.75" hidden="false" customHeight="false" outlineLevel="0" collapsed="false">
      <c r="A1665" s="2" t="n">
        <v>145790</v>
      </c>
      <c r="B1665" s="2" t="s">
        <v>1443</v>
      </c>
      <c r="C1665" s="2" t="n">
        <v>2</v>
      </c>
      <c r="D1665" s="2" t="n">
        <v>1</v>
      </c>
      <c r="E1665" s="2" t="n">
        <v>1</v>
      </c>
      <c r="F1665" s="2" t="n">
        <v>63</v>
      </c>
      <c r="G1665" s="2" t="s">
        <v>1444</v>
      </c>
      <c r="H1665" s="2" t="str">
        <f aca="false">IFERROR(__xludf.dummyfunction("IF(I1677="""", """", REGEXEXTRACT(I1677, ""Padrao/([^/]+)""))"),"Recreio Anhanguera")</f>
        <v>Recreio Anhanguera</v>
      </c>
    </row>
    <row r="1666" customFormat="false" ht="15.75" hidden="false" customHeight="false" outlineLevel="0" collapsed="false">
      <c r="A1666" s="2" t="n">
        <v>245294</v>
      </c>
      <c r="B1666" s="2" t="s">
        <v>1445</v>
      </c>
      <c r="C1666" s="2" t="n">
        <v>2</v>
      </c>
      <c r="D1666" s="2" t="n">
        <v>1</v>
      </c>
      <c r="E1666" s="2" t="n">
        <v>1</v>
      </c>
      <c r="F1666" s="2" t="n">
        <v>50</v>
      </c>
      <c r="G1666" s="2" t="s">
        <v>492</v>
      </c>
      <c r="H1666" s="2" t="str">
        <f aca="false">IFERROR(__xludf.dummyfunction("IF(I1678="""", """", REGEXEXTRACT(I1678, ""Padrao/([^/]+)""))"),"Jardim Anhanguera")</f>
        <v>Jardim Anhanguera</v>
      </c>
    </row>
    <row r="1667" customFormat="false" ht="15.75" hidden="false" customHeight="false" outlineLevel="0" collapsed="false">
      <c r="A1667" s="2" t="n">
        <v>244193</v>
      </c>
      <c r="B1667" s="2" t="s">
        <v>1109</v>
      </c>
      <c r="C1667" s="2" t="n">
        <v>2</v>
      </c>
      <c r="D1667" s="2" t="n">
        <v>1</v>
      </c>
      <c r="E1667" s="2" t="n">
        <v>1</v>
      </c>
      <c r="F1667" s="2" t="n">
        <v>47</v>
      </c>
      <c r="G1667" s="2" t="s">
        <v>492</v>
      </c>
      <c r="H1667" s="2" t="str">
        <f aca="false">IFERROR(__xludf.dummyfunction("IF(I1679="""", """", REGEXEXTRACT(I1679, ""Padrao/([^/]+)""))"),"Jardim Paulistano")</f>
        <v>Jardim Paulistano</v>
      </c>
    </row>
    <row r="1668" customFormat="false" ht="15.75" hidden="false" customHeight="false" outlineLevel="0" collapsed="false">
      <c r="A1668" s="2" t="n">
        <v>243215</v>
      </c>
      <c r="B1668" s="2" t="s">
        <v>1446</v>
      </c>
      <c r="C1668" s="2" t="n">
        <v>1</v>
      </c>
      <c r="D1668" s="2" t="n">
        <v>1</v>
      </c>
      <c r="E1668" s="2" t="n">
        <v>1</v>
      </c>
      <c r="F1668" s="2" t="n">
        <v>44</v>
      </c>
      <c r="G1668" s="2" t="s">
        <v>492</v>
      </c>
      <c r="H1668" s="2" t="str">
        <f aca="false">IFERROR(__xludf.dummyfunction("IF(I1680="""", """", REGEXEXTRACT(I1680, ""Padrao/([^/]+)""))"),"Nova Alianca")</f>
        <v>Nova Alianca</v>
      </c>
    </row>
    <row r="1669" customFormat="false" ht="15.75" hidden="false" customHeight="false" outlineLevel="0" collapsed="false">
      <c r="A1669" s="2" t="n">
        <v>234293</v>
      </c>
      <c r="B1669" s="2" t="s">
        <v>1447</v>
      </c>
      <c r="C1669" s="2" t="n">
        <v>1</v>
      </c>
      <c r="D1669" s="2" t="n">
        <v>1</v>
      </c>
      <c r="E1669" s="2" t="n">
        <v>1</v>
      </c>
      <c r="F1669" s="2" t="n">
        <v>42</v>
      </c>
      <c r="G1669" s="2" t="s">
        <v>492</v>
      </c>
      <c r="H1669" s="2" t="str">
        <f aca="false">IFERROR(__xludf.dummyfunction("IF(I1681="""", """", REGEXEXTRACT(I1681, ""Padrao/([^/]+)""))"),"Nova Alianca")</f>
        <v>Nova Alianca</v>
      </c>
    </row>
    <row r="1670" customFormat="false" ht="15.75" hidden="false" customHeight="false" outlineLevel="0" collapsed="false">
      <c r="A1670" s="2" t="n">
        <v>201257</v>
      </c>
      <c r="B1670" s="2" t="s">
        <v>834</v>
      </c>
      <c r="C1670" s="2" t="n">
        <v>1</v>
      </c>
      <c r="D1670" s="2" t="n">
        <v>1</v>
      </c>
      <c r="E1670" s="2" t="n">
        <v>1</v>
      </c>
      <c r="F1670" s="2" t="n">
        <v>41</v>
      </c>
      <c r="G1670" s="2" t="s">
        <v>492</v>
      </c>
      <c r="H1670" s="2" t="str">
        <f aca="false">IFERROR(__xludf.dummyfunction("IF(I1682="""", """", REGEXEXTRACT(I1682, ""Padrao/([^/]+)""))"),"Nova Alianca")</f>
        <v>Nova Alianca</v>
      </c>
    </row>
    <row r="1671" customFormat="false" ht="15.75" hidden="false" customHeight="false" outlineLevel="0" collapsed="false">
      <c r="A1671" s="2" t="n">
        <v>146999</v>
      </c>
      <c r="B1671" s="2" t="s">
        <v>1448</v>
      </c>
      <c r="C1671" s="2" t="n">
        <v>2</v>
      </c>
      <c r="D1671" s="2" t="n">
        <v>1</v>
      </c>
      <c r="E1671" s="2" t="n">
        <v>1</v>
      </c>
      <c r="F1671" s="2" t="n">
        <v>55</v>
      </c>
      <c r="G1671" s="2" t="s">
        <v>492</v>
      </c>
      <c r="H1671" s="2" t="str">
        <f aca="false">IFERROR(__xludf.dummyfunction("IF(I1683="""", """", REGEXEXTRACT(I1683, ""Padrao/([^/]+)""))"),"Ipiranga")</f>
        <v>Ipiranga</v>
      </c>
    </row>
    <row r="1672" customFormat="false" ht="15.75" hidden="false" customHeight="false" outlineLevel="0" collapsed="false">
      <c r="A1672" s="2" t="n">
        <v>129689</v>
      </c>
      <c r="B1672" s="2" t="s">
        <v>1449</v>
      </c>
      <c r="C1672" s="2" t="n">
        <v>2</v>
      </c>
      <c r="D1672" s="2" t="n">
        <v>1</v>
      </c>
      <c r="E1672" s="2" t="n">
        <v>1</v>
      </c>
      <c r="F1672" s="2" t="n">
        <v>45</v>
      </c>
      <c r="G1672" s="2" t="s">
        <v>492</v>
      </c>
      <c r="H1672" s="2" t="str">
        <f aca="false">IFERROR(__xludf.dummyfunction("IF(I1684="""", """", REGEXEXTRACT(I1684, ""Padrao/([^/]+)""))"),"Sumarezinho")</f>
        <v>Sumarezinho</v>
      </c>
    </row>
    <row r="1673" customFormat="false" ht="15.75" hidden="false" customHeight="false" outlineLevel="0" collapsed="false">
      <c r="A1673" s="2" t="n">
        <v>235523</v>
      </c>
      <c r="B1673" s="2" t="s">
        <v>1158</v>
      </c>
      <c r="C1673" s="2" t="n">
        <v>2</v>
      </c>
      <c r="D1673" s="2" t="n">
        <v>1</v>
      </c>
      <c r="E1673" s="2" t="n">
        <v>1</v>
      </c>
      <c r="F1673" s="2" t="n">
        <v>40</v>
      </c>
      <c r="G1673" s="2" t="s">
        <v>474</v>
      </c>
      <c r="H1673" s="2" t="str">
        <f aca="false">IFERROR(__xludf.dummyfunction("IF(I1685="""", """", REGEXEXTRACT(I1685, ""Padrao/([^/]+)""))"),"Recreio das Acacias")</f>
        <v>Recreio das Acacias</v>
      </c>
    </row>
    <row r="1674" customFormat="false" ht="15.75" hidden="false" customHeight="false" outlineLevel="0" collapsed="false">
      <c r="A1674" s="2" t="n">
        <v>155336</v>
      </c>
      <c r="B1674" s="2" t="s">
        <v>1450</v>
      </c>
      <c r="C1674" s="2" t="n">
        <v>1</v>
      </c>
      <c r="D1674" s="2" t="n">
        <v>1</v>
      </c>
      <c r="E1674" s="2" t="n">
        <v>1</v>
      </c>
      <c r="F1674" s="2" t="n">
        <v>69</v>
      </c>
      <c r="G1674" s="2" t="s">
        <v>1451</v>
      </c>
      <c r="H1674" s="2" t="str">
        <f aca="false">IFERROR(__xludf.dummyfunction("IF(I1686="""", """", REGEXEXTRACT(I1686, ""Padrao/([^/]+)""))"),"Centro")</f>
        <v>Centro</v>
      </c>
    </row>
    <row r="1675" customFormat="false" ht="15.75" hidden="false" customHeight="false" outlineLevel="0" collapsed="false">
      <c r="A1675" s="2" t="n">
        <v>206840</v>
      </c>
      <c r="B1675" s="2" t="s">
        <v>1452</v>
      </c>
      <c r="C1675" s="2" t="n">
        <v>2</v>
      </c>
      <c r="D1675" s="2" t="n">
        <v>3</v>
      </c>
      <c r="E1675" s="2" t="n">
        <v>1</v>
      </c>
      <c r="F1675" s="2" t="n">
        <v>105</v>
      </c>
      <c r="G1675" s="2" t="s">
        <v>595</v>
      </c>
      <c r="H1675" s="2" t="str">
        <f aca="false">IFERROR(__xludf.dummyfunction("IF(I1687="""", """", REGEXEXTRACT(I1687, ""Padrao/([^/]+)""))"),"Parque Residencial Lagoinha")</f>
        <v>Parque Residencial Lagoinha</v>
      </c>
    </row>
    <row r="1676" customFormat="false" ht="15.75" hidden="false" customHeight="false" outlineLevel="0" collapsed="false">
      <c r="A1676" s="2" t="n">
        <v>140525</v>
      </c>
      <c r="B1676" s="2" t="s">
        <v>1453</v>
      </c>
      <c r="C1676" s="2" t="n">
        <v>2</v>
      </c>
      <c r="D1676" s="2" t="n">
        <v>1</v>
      </c>
      <c r="E1676" s="2" t="n">
        <v>1</v>
      </c>
      <c r="F1676" s="2" t="n">
        <v>46</v>
      </c>
      <c r="G1676" s="2" t="s">
        <v>1454</v>
      </c>
      <c r="H1676" s="2" t="str">
        <f aca="false">IFERROR(__xludf.dummyfunction("IF(I1688="""", """", REGEXEXTRACT(I1688, ""Padrao/([^/]+)""))"),"Nova Alianca")</f>
        <v>Nova Alianca</v>
      </c>
    </row>
    <row r="1677" customFormat="false" ht="15.75" hidden="false" customHeight="false" outlineLevel="0" collapsed="false">
      <c r="A1677" s="2" t="n">
        <v>218657</v>
      </c>
      <c r="B1677" s="2" t="s">
        <v>1455</v>
      </c>
      <c r="C1677" s="2" t="n">
        <v>2</v>
      </c>
      <c r="D1677" s="2" t="n">
        <v>2</v>
      </c>
      <c r="E1677" s="2" t="n">
        <v>2</v>
      </c>
      <c r="F1677" s="2" t="n">
        <v>57</v>
      </c>
      <c r="G1677" s="2" t="s">
        <v>1156</v>
      </c>
      <c r="H1677" s="2" t="str">
        <f aca="false">IFERROR(__xludf.dummyfunction("IF(I1689="""", """", REGEXEXTRACT(I1689, ""Padrao/([^/]+)""))"),"Planalto Verde")</f>
        <v>Planalto Verde</v>
      </c>
    </row>
    <row r="1678" customFormat="false" ht="15.75" hidden="false" customHeight="false" outlineLevel="0" collapsed="false">
      <c r="A1678" s="2" t="n">
        <v>73130</v>
      </c>
      <c r="B1678" s="2" t="s">
        <v>1456</v>
      </c>
      <c r="C1678" s="2" t="n">
        <v>3</v>
      </c>
      <c r="D1678" s="2" t="n">
        <v>2</v>
      </c>
      <c r="E1678" s="2" t="n">
        <v>1</v>
      </c>
      <c r="F1678" s="2" t="n">
        <v>61</v>
      </c>
      <c r="G1678" s="2" t="s">
        <v>1457</v>
      </c>
      <c r="H1678" s="2" t="str">
        <f aca="false">IFERROR(__xludf.dummyfunction("IF(I1690="""", """", REGEXEXTRACT(I1690, ""Padrao/([^/]+)""))"),"Alto da Boa Vista")</f>
        <v>Alto da Boa Vista</v>
      </c>
    </row>
    <row r="1679" customFormat="false" ht="15.75" hidden="false" customHeight="false" outlineLevel="0" collapsed="false">
      <c r="A1679" s="2" t="n">
        <v>221957</v>
      </c>
      <c r="B1679" s="2" t="s">
        <v>1458</v>
      </c>
      <c r="C1679" s="2" t="n">
        <v>3</v>
      </c>
      <c r="D1679" s="2" t="n">
        <v>2</v>
      </c>
      <c r="E1679" s="2" t="n">
        <v>1</v>
      </c>
      <c r="F1679" s="2" t="n">
        <v>66</v>
      </c>
      <c r="G1679" s="2" t="s">
        <v>549</v>
      </c>
      <c r="H1679" s="2" t="str">
        <f aca="false">IFERROR(__xludf.dummyfunction("IF(I1691="""", """", REGEXEXTRACT(I1691, ""Padrao/([^/]+)""))"),"Parque Industrial Lagoinha")</f>
        <v>Parque Industrial Lagoinha</v>
      </c>
    </row>
    <row r="1680" customFormat="false" ht="15.75" hidden="false" customHeight="false" outlineLevel="0" collapsed="false">
      <c r="A1680" s="2" t="n">
        <v>93758</v>
      </c>
      <c r="B1680" s="2" t="s">
        <v>1459</v>
      </c>
      <c r="C1680" s="2" t="n">
        <v>1</v>
      </c>
      <c r="D1680" s="2" t="n">
        <v>1</v>
      </c>
      <c r="E1680" s="2" t="n">
        <v>1</v>
      </c>
      <c r="F1680" s="2" t="n">
        <v>59</v>
      </c>
      <c r="G1680" s="2" t="s">
        <v>566</v>
      </c>
      <c r="H1680" s="2" t="str">
        <f aca="false">IFERROR(__xludf.dummyfunction("IF(I1692="""", """", REGEXEXTRACT(I1692, ""Padrao/([^/]+)""))"),"Centro")</f>
        <v>Centro</v>
      </c>
    </row>
    <row r="1681" customFormat="false" ht="15.75" hidden="false" customHeight="false" outlineLevel="0" collapsed="false">
      <c r="A1681" s="2" t="n">
        <v>16148</v>
      </c>
      <c r="B1681" s="2" t="s">
        <v>958</v>
      </c>
      <c r="C1681" s="2" t="n">
        <v>3</v>
      </c>
      <c r="D1681" s="2" t="n">
        <v>2</v>
      </c>
      <c r="E1681" s="2" t="n">
        <v>1</v>
      </c>
      <c r="F1681" s="2" t="n">
        <v>66</v>
      </c>
      <c r="G1681" s="2" t="s">
        <v>595</v>
      </c>
      <c r="H1681" s="2" t="str">
        <f aca="false">IFERROR(__xludf.dummyfunction("IF(I1693="""", """", REGEXEXTRACT(I1693, ""Padrao/([^/]+)""))"),"Parque Industrial Lagoinha")</f>
        <v>Parque Industrial Lagoinha</v>
      </c>
    </row>
    <row r="1682" customFormat="false" ht="15.75" hidden="false" customHeight="false" outlineLevel="0" collapsed="false">
      <c r="A1682" s="2" t="n">
        <v>20330</v>
      </c>
      <c r="B1682" s="2" t="s">
        <v>1460</v>
      </c>
      <c r="C1682" s="2" t="n">
        <v>3</v>
      </c>
      <c r="D1682" s="2" t="n">
        <v>1</v>
      </c>
      <c r="E1682" s="2" t="n">
        <v>1</v>
      </c>
      <c r="F1682" s="2" t="n">
        <v>79</v>
      </c>
      <c r="G1682" s="2" t="s">
        <v>1461</v>
      </c>
      <c r="H1682" s="2" t="str">
        <f aca="false">IFERROR(__xludf.dummyfunction("IF(I1694="""", """", REGEXEXTRACT(I1694, ""Padrao/([^/]+)""))"),"Nova Ribeirania")</f>
        <v>Nova Ribeirania</v>
      </c>
    </row>
    <row r="1683" customFormat="false" ht="15.75" hidden="false" customHeight="false" outlineLevel="0" collapsed="false">
      <c r="A1683" s="2" t="n">
        <v>137399</v>
      </c>
      <c r="B1683" s="2" t="s">
        <v>1462</v>
      </c>
      <c r="C1683" s="2" t="n">
        <v>2</v>
      </c>
      <c r="D1683" s="2" t="n">
        <v>2</v>
      </c>
      <c r="E1683" s="2" t="n">
        <v>1</v>
      </c>
      <c r="F1683" s="2" t="n">
        <v>85</v>
      </c>
      <c r="G1683" s="2" t="s">
        <v>609</v>
      </c>
      <c r="H1683" s="2" t="str">
        <f aca="false">IFERROR(__xludf.dummyfunction("IF(I1695="""", """", REGEXEXTRACT(I1695, ""Padrao/([^/]+)""))"),"Jardim Palma Travassos")</f>
        <v>Jardim Palma Travassos</v>
      </c>
    </row>
    <row r="1684" customFormat="false" ht="15.75" hidden="false" customHeight="false" outlineLevel="0" collapsed="false">
      <c r="A1684" s="2" t="n">
        <v>198359</v>
      </c>
      <c r="B1684" s="2" t="s">
        <v>1463</v>
      </c>
      <c r="C1684" s="2" t="n">
        <v>2</v>
      </c>
      <c r="D1684" s="2" t="n">
        <v>1</v>
      </c>
      <c r="E1684" s="2" t="n">
        <v>1</v>
      </c>
      <c r="F1684" s="2" t="n">
        <v>63</v>
      </c>
      <c r="G1684" s="2" t="s">
        <v>626</v>
      </c>
      <c r="H1684" s="2" t="str">
        <f aca="false">IFERROR(__xludf.dummyfunction("IF(I1696="""", """", REGEXEXTRACT(I1696, ""Padrao/([^/]+)""))"),"Campos Eliseos")</f>
        <v>Campos Eliseos</v>
      </c>
    </row>
    <row r="1685" customFormat="false" ht="15.75" hidden="false" customHeight="false" outlineLevel="0" collapsed="false">
      <c r="A1685" s="2" t="n">
        <v>188396</v>
      </c>
      <c r="B1685" s="2" t="s">
        <v>1464</v>
      </c>
      <c r="C1685" s="2" t="n">
        <v>2</v>
      </c>
      <c r="D1685" s="2" t="n">
        <v>1</v>
      </c>
      <c r="E1685" s="2" t="n">
        <v>1</v>
      </c>
      <c r="F1685" s="2" t="n">
        <v>53</v>
      </c>
      <c r="G1685" s="2" t="s">
        <v>626</v>
      </c>
      <c r="H1685" s="2" t="str">
        <f aca="false">IFERROR(__xludf.dummyfunction("IF(I1697="""", """", REGEXEXTRACT(I1697, ""Padrao/([^/]+)""))"),"Nova Alianca")</f>
        <v>Nova Alianca</v>
      </c>
    </row>
    <row r="1686" customFormat="false" ht="15.75" hidden="false" customHeight="false" outlineLevel="0" collapsed="false">
      <c r="A1686" s="2" t="n">
        <v>237806</v>
      </c>
      <c r="B1686" s="2" t="s">
        <v>1465</v>
      </c>
      <c r="C1686" s="2" t="n">
        <v>1</v>
      </c>
      <c r="D1686" s="2" t="n">
        <v>1</v>
      </c>
      <c r="E1686" s="2" t="n">
        <v>1</v>
      </c>
      <c r="F1686" s="2" t="n">
        <v>33</v>
      </c>
      <c r="G1686" s="2" t="s">
        <v>1466</v>
      </c>
      <c r="H1686" s="2" t="str">
        <f aca="false">IFERROR(__xludf.dummyfunction("IF(I1698="""", """", REGEXEXTRACT(I1698, ""Padrao/([^/]+)""))"),"Ribeirania")</f>
        <v>Ribeirania</v>
      </c>
    </row>
    <row r="1687" customFormat="false" ht="15.75" hidden="false" customHeight="false" outlineLevel="0" collapsed="false">
      <c r="A1687" s="2" t="n">
        <v>232793</v>
      </c>
      <c r="B1687" s="2" t="s">
        <v>1467</v>
      </c>
      <c r="C1687" s="2" t="n">
        <v>2</v>
      </c>
      <c r="D1687" s="2" t="n">
        <v>2</v>
      </c>
      <c r="E1687" s="2" t="n">
        <v>1</v>
      </c>
      <c r="F1687" s="2" t="n">
        <v>62</v>
      </c>
      <c r="G1687" s="2" t="s">
        <v>1468</v>
      </c>
      <c r="H1687" s="2" t="str">
        <f aca="false">IFERROR(__xludf.dummyfunction("IF(I1699="""", """", REGEXEXTRACT(I1699, ""Padrao/([^/]+)""))"),"Loteamento Santa Marta")</f>
        <v>Loteamento Santa Marta</v>
      </c>
    </row>
    <row r="1688" customFormat="false" ht="15.75" hidden="false" customHeight="false" outlineLevel="0" collapsed="false">
      <c r="A1688" s="2" t="n">
        <v>188513</v>
      </c>
      <c r="B1688" s="2" t="s">
        <v>617</v>
      </c>
      <c r="C1688" s="2" t="n">
        <v>3</v>
      </c>
      <c r="D1688" s="2" t="n">
        <v>3</v>
      </c>
      <c r="E1688" s="2" t="n">
        <v>1</v>
      </c>
      <c r="F1688" s="2" t="n">
        <v>140</v>
      </c>
      <c r="G1688" s="2" t="s">
        <v>1469</v>
      </c>
      <c r="H1688" s="2" t="str">
        <f aca="false">IFERROR(__xludf.dummyfunction("IF(I1700="""", """", REGEXEXTRACT(I1700, ""Padrao/([^/]+)""))"),"Centro")</f>
        <v>Centro</v>
      </c>
    </row>
    <row r="1689" customFormat="false" ht="15.75" hidden="false" customHeight="false" outlineLevel="0" collapsed="false">
      <c r="A1689" s="2" t="n">
        <v>84929</v>
      </c>
      <c r="B1689" s="2" t="s">
        <v>1470</v>
      </c>
      <c r="C1689" s="2" t="n">
        <v>3</v>
      </c>
      <c r="D1689" s="2" t="n">
        <v>3</v>
      </c>
      <c r="E1689" s="2" t="n">
        <v>2</v>
      </c>
      <c r="F1689" s="2" t="n">
        <v>138</v>
      </c>
      <c r="G1689" s="2" t="s">
        <v>1471</v>
      </c>
      <c r="H1689" s="2" t="str">
        <f aca="false">IFERROR(__xludf.dummyfunction("IF(I1701="""", """", REGEXEXTRACT(I1701, ""Padrao/([^/]+)""))"),"Jardim Sumare")</f>
        <v>Jardim Sumare</v>
      </c>
    </row>
    <row r="1690" customFormat="false" ht="15.75" hidden="false" customHeight="false" outlineLevel="0" collapsed="false">
      <c r="A1690" s="2" t="n">
        <v>205376</v>
      </c>
      <c r="B1690" s="2" t="s">
        <v>1472</v>
      </c>
      <c r="C1690" s="2" t="n">
        <v>4</v>
      </c>
      <c r="D1690" s="2" t="n">
        <v>5</v>
      </c>
      <c r="E1690" s="2" t="n">
        <v>4</v>
      </c>
      <c r="F1690" s="2" t="n">
        <v>281</v>
      </c>
      <c r="G1690" s="2" t="s">
        <v>354</v>
      </c>
      <c r="H1690" s="2" t="str">
        <f aca="false">IFERROR(__xludf.dummyfunction("IF(I1702="""", """", REGEXEXTRACT(I1702, ""Padrao/([^/]+)""))"),"Jardim Iraja")</f>
        <v>Jardim Iraja</v>
      </c>
    </row>
    <row r="1691" customFormat="false" ht="15.75" hidden="false" customHeight="false" outlineLevel="0" collapsed="false">
      <c r="A1691" s="2" t="n">
        <v>223271</v>
      </c>
      <c r="B1691" s="2" t="s">
        <v>1473</v>
      </c>
      <c r="C1691" s="2" t="n">
        <v>3</v>
      </c>
      <c r="D1691" s="2" t="n">
        <v>4</v>
      </c>
      <c r="E1691" s="2" t="n">
        <v>3</v>
      </c>
      <c r="F1691" s="2" t="n">
        <v>180</v>
      </c>
      <c r="G1691" s="2" t="s">
        <v>494</v>
      </c>
      <c r="H1691" s="2" t="str">
        <f aca="false">IFERROR(__xludf.dummyfunction("IF(I1703="""", """", REGEXEXTRACT(I1703, ""Padrao/([^/]+)""))"),"Residencial Alto do Ipe")</f>
        <v>Residencial Alto do Ipe</v>
      </c>
    </row>
    <row r="1692" customFormat="false" ht="15.75" hidden="false" customHeight="false" outlineLevel="0" collapsed="false">
      <c r="A1692" s="2" t="n">
        <v>170465</v>
      </c>
      <c r="B1692" s="2" t="s">
        <v>1474</v>
      </c>
      <c r="C1692" s="2" t="n">
        <v>3</v>
      </c>
      <c r="D1692" s="2" t="n">
        <v>4</v>
      </c>
      <c r="E1692" s="2" t="n">
        <v>4</v>
      </c>
      <c r="F1692" s="2" t="n">
        <v>254</v>
      </c>
      <c r="G1692" s="2" t="s">
        <v>1475</v>
      </c>
      <c r="H1692" s="2" t="str">
        <f aca="false">IFERROR(__xludf.dummyfunction("IF(I1704="""", """", REGEXEXTRACT(I1704, ""Padrao/([^/]+)""))"),"Jardim Olhos DAgua")</f>
        <v>Jardim Olhos DAgua</v>
      </c>
    </row>
    <row r="1693" customFormat="false" ht="15.75" hidden="false" customHeight="false" outlineLevel="0" collapsed="false">
      <c r="A1693" s="2" t="n">
        <v>166778</v>
      </c>
      <c r="B1693" s="2" t="s">
        <v>1476</v>
      </c>
      <c r="C1693" s="2" t="n">
        <v>3</v>
      </c>
      <c r="D1693" s="2" t="n">
        <v>4</v>
      </c>
      <c r="E1693" s="2" t="n">
        <v>4</v>
      </c>
      <c r="F1693" s="2" t="n">
        <v>254</v>
      </c>
      <c r="G1693" s="2" t="s">
        <v>1477</v>
      </c>
      <c r="H1693" s="2" t="str">
        <f aca="false">IFERROR(__xludf.dummyfunction("IF(I1705="""", """", REGEXEXTRACT(I1705, ""Padrao/([^/]+)""))"),"Jardim Olhos DAgua")</f>
        <v>Jardim Olhos DAgua</v>
      </c>
    </row>
    <row r="1694" customFormat="false" ht="15.75" hidden="false" customHeight="false" outlineLevel="0" collapsed="false">
      <c r="A1694" s="2" t="n">
        <v>225128</v>
      </c>
      <c r="B1694" s="2" t="s">
        <v>1478</v>
      </c>
      <c r="C1694" s="2" t="n">
        <v>2</v>
      </c>
      <c r="D1694" s="2" t="n">
        <v>1</v>
      </c>
      <c r="E1694" s="2" t="n">
        <v>1</v>
      </c>
      <c r="F1694" s="2" t="n">
        <v>45</v>
      </c>
      <c r="G1694" s="2" t="s">
        <v>1479</v>
      </c>
      <c r="H1694" s="2" t="str">
        <f aca="false">IFERROR(__xludf.dummyfunction("IF(I1706="""", """", REGEXEXTRACT(I1706, ""Padrao/([^/]+)""))"),"Vila Guiomar")</f>
        <v>Vila Guiomar</v>
      </c>
    </row>
    <row r="1695" customFormat="false" ht="15.75" hidden="false" customHeight="false" outlineLevel="0" collapsed="false">
      <c r="A1695" s="2" t="n">
        <v>196052</v>
      </c>
      <c r="B1695" s="2" t="s">
        <v>1480</v>
      </c>
      <c r="C1695" s="2" t="n">
        <v>1</v>
      </c>
      <c r="D1695" s="2" t="n">
        <v>1</v>
      </c>
      <c r="E1695" s="2" t="n">
        <v>1</v>
      </c>
      <c r="F1695" s="2" t="n">
        <v>50</v>
      </c>
      <c r="G1695" s="2" t="s">
        <v>631</v>
      </c>
      <c r="H1695" s="2" t="str">
        <f aca="false">IFERROR(__xludf.dummyfunction("IF(I1707="""", """", REGEXEXTRACT(I1707, ""Padrao/([^/]+)""))"),"Alto da Boa Vista")</f>
        <v>Alto da Boa Vista</v>
      </c>
    </row>
    <row r="1696" customFormat="false" ht="15.75" hidden="false" customHeight="false" outlineLevel="0" collapsed="false">
      <c r="A1696" s="2" t="n">
        <v>92426</v>
      </c>
      <c r="B1696" s="2" t="s">
        <v>1481</v>
      </c>
      <c r="C1696" s="2" t="n">
        <v>3</v>
      </c>
      <c r="D1696" s="2" t="n">
        <v>3</v>
      </c>
      <c r="E1696" s="2" t="n">
        <v>2</v>
      </c>
      <c r="F1696" s="2" t="n">
        <v>125</v>
      </c>
      <c r="G1696" s="2" t="s">
        <v>1482</v>
      </c>
      <c r="H1696" s="2" t="str">
        <f aca="false">IFERROR(__xludf.dummyfunction("IF(I1708="""", """", REGEXEXTRACT(I1708, ""Padrao/([^/]+)""))"),"Centro")</f>
        <v>Centro</v>
      </c>
    </row>
    <row r="1697" customFormat="false" ht="15.75" hidden="false" customHeight="false" outlineLevel="0" collapsed="false">
      <c r="A1697" s="2" t="n">
        <v>188000</v>
      </c>
      <c r="B1697" s="2" t="s">
        <v>1483</v>
      </c>
      <c r="C1697" s="2" t="n">
        <v>3</v>
      </c>
      <c r="D1697" s="2" t="n">
        <v>5</v>
      </c>
      <c r="E1697" s="2" t="n">
        <v>2</v>
      </c>
      <c r="F1697" s="2" t="n">
        <v>137</v>
      </c>
      <c r="G1697" s="2" t="s">
        <v>191</v>
      </c>
      <c r="H1697" s="2" t="str">
        <f aca="false">IFERROR(__xludf.dummyfunction("IF(I1709="""", """", REGEXEXTRACT(I1709, ""Padrao/([^/]+)""))"),"Jardim Sao Luiz")</f>
        <v>Jardim Sao Luiz</v>
      </c>
    </row>
    <row r="1698" customFormat="false" ht="15.75" hidden="false" customHeight="false" outlineLevel="0" collapsed="false">
      <c r="A1698" s="2" t="n">
        <v>207722</v>
      </c>
      <c r="B1698" s="2" t="s">
        <v>1484</v>
      </c>
      <c r="C1698" s="2" t="n">
        <v>3</v>
      </c>
      <c r="D1698" s="2" t="n">
        <v>5</v>
      </c>
      <c r="E1698" s="2" t="n">
        <v>4</v>
      </c>
      <c r="F1698" s="2" t="n">
        <v>237</v>
      </c>
      <c r="G1698" s="2" t="s">
        <v>1485</v>
      </c>
      <c r="H1698" s="2" t="str">
        <f aca="false">IFERROR(__xludf.dummyfunction("IF(I1710="""", """", REGEXEXTRACT(I1710, ""Padrao/([^/]+)""))"),"Jardim Ilhas do Sul")</f>
        <v>Jardim Ilhas do Sul</v>
      </c>
    </row>
    <row r="1699" customFormat="false" ht="15.75" hidden="false" customHeight="false" outlineLevel="0" collapsed="false">
      <c r="A1699" s="2" t="n">
        <v>206459</v>
      </c>
      <c r="B1699" s="2" t="s">
        <v>1486</v>
      </c>
      <c r="C1699" s="2" t="n">
        <v>3</v>
      </c>
      <c r="D1699" s="2" t="n">
        <v>6</v>
      </c>
      <c r="E1699" s="2" t="n">
        <v>4</v>
      </c>
      <c r="F1699" s="2" t="n">
        <v>237</v>
      </c>
      <c r="G1699" s="2" t="s">
        <v>495</v>
      </c>
      <c r="H1699" s="2" t="str">
        <f aca="false">IFERROR(__xludf.dummyfunction("IF(I1711="""", """", REGEXEXTRACT(I1711, ""Padrao/([^/]+)""))"),"Jardim Ilhas do Sul")</f>
        <v>Jardim Ilhas do Sul</v>
      </c>
    </row>
    <row r="1700" customFormat="false" ht="15.75" hidden="false" customHeight="false" outlineLevel="0" collapsed="false">
      <c r="A1700" s="2" t="n">
        <v>206447</v>
      </c>
      <c r="B1700" s="2" t="s">
        <v>1487</v>
      </c>
      <c r="C1700" s="2" t="n">
        <v>3</v>
      </c>
      <c r="D1700" s="2" t="n">
        <v>6</v>
      </c>
      <c r="E1700" s="2" t="n">
        <v>4</v>
      </c>
      <c r="F1700" s="2" t="n">
        <v>237</v>
      </c>
      <c r="G1700" s="2" t="s">
        <v>495</v>
      </c>
      <c r="H1700" s="2" t="str">
        <f aca="false">IFERROR(__xludf.dummyfunction("IF(I1712="""", """", REGEXEXTRACT(I1712, ""Padrao/([^/]+)""))"),"Jardim Ilhas do Sul")</f>
        <v>Jardim Ilhas do Sul</v>
      </c>
    </row>
    <row r="1701" customFormat="false" ht="15.75" hidden="false" customHeight="false" outlineLevel="0" collapsed="false">
      <c r="A1701" s="2" t="n">
        <v>188045</v>
      </c>
      <c r="B1701" s="2" t="s">
        <v>200</v>
      </c>
      <c r="C1701" s="2" t="n">
        <v>3</v>
      </c>
      <c r="D1701" s="2" t="n">
        <v>4</v>
      </c>
      <c r="E1701" s="2" t="n">
        <v>3</v>
      </c>
      <c r="F1701" s="2" t="n">
        <v>218</v>
      </c>
      <c r="G1701" s="2" t="s">
        <v>1488</v>
      </c>
      <c r="H1701" s="2" t="str">
        <f aca="false">IFERROR(__xludf.dummyfunction("IF(I1713="""", """", REGEXEXTRACT(I1713, ""Padrao/([^/]+)""))"),"Bosque das Juritis")</f>
        <v>Bosque das Juritis</v>
      </c>
    </row>
    <row r="1702" customFormat="false" ht="15.75" hidden="false" customHeight="false" outlineLevel="0" collapsed="false">
      <c r="A1702" s="2" t="n">
        <v>242606</v>
      </c>
      <c r="B1702" s="2" t="s">
        <v>1489</v>
      </c>
      <c r="C1702" s="2" t="n">
        <v>3</v>
      </c>
      <c r="D1702" s="2" t="n">
        <v>4</v>
      </c>
      <c r="E1702" s="2" t="n">
        <v>3</v>
      </c>
      <c r="F1702" s="2" t="n">
        <v>236</v>
      </c>
      <c r="G1702" s="2" t="s">
        <v>1490</v>
      </c>
      <c r="H1702" s="2" t="str">
        <f aca="false">IFERROR(__xludf.dummyfunction("IF(I1714="""", """", REGEXEXTRACT(I1714, ""Padrao/([^/]+)""))"),"Jardim Ilhas do Sul")</f>
        <v>Jardim Ilhas do Sul</v>
      </c>
    </row>
    <row r="1703" customFormat="false" ht="15.75" hidden="false" customHeight="false" outlineLevel="0" collapsed="false">
      <c r="A1703" s="2" t="n">
        <v>193634</v>
      </c>
      <c r="B1703" s="2" t="s">
        <v>1491</v>
      </c>
      <c r="C1703" s="2" t="n">
        <v>3</v>
      </c>
      <c r="D1703" s="2" t="n">
        <v>5</v>
      </c>
      <c r="E1703" s="2" t="n">
        <v>4</v>
      </c>
      <c r="F1703" s="2" t="n">
        <v>281</v>
      </c>
      <c r="G1703" s="2" t="s">
        <v>494</v>
      </c>
      <c r="H1703" s="2" t="str">
        <f aca="false">IFERROR(__xludf.dummyfunction("IF(I1715="""", """", REGEXEXTRACT(I1715, ""Padrao/([^/]+)""))"),"Jardim Iraja")</f>
        <v>Jardim Iraja</v>
      </c>
    </row>
    <row r="1704" customFormat="false" ht="15.75" hidden="false" customHeight="false" outlineLevel="0" collapsed="false">
      <c r="A1704" s="2" t="n">
        <v>213614</v>
      </c>
      <c r="B1704" s="2" t="s">
        <v>1492</v>
      </c>
      <c r="C1704" s="2" t="n">
        <v>4</v>
      </c>
      <c r="D1704" s="2" t="n">
        <v>6</v>
      </c>
      <c r="E1704" s="2" t="n">
        <v>3</v>
      </c>
      <c r="F1704" s="2" t="n">
        <v>237</v>
      </c>
      <c r="G1704" s="2" t="s">
        <v>1493</v>
      </c>
      <c r="H1704" s="2" t="str">
        <f aca="false">IFERROR(__xludf.dummyfunction("IF(I1716="""", """", REGEXEXTRACT(I1716, ""Padrao/([^/]+)""))"),"Jardim Ilhas do Sul")</f>
        <v>Jardim Ilhas do Sul</v>
      </c>
    </row>
    <row r="1705" customFormat="false" ht="15.75" hidden="false" customHeight="false" outlineLevel="0" collapsed="false">
      <c r="A1705" s="2" t="n">
        <v>215762</v>
      </c>
      <c r="B1705" s="2" t="s">
        <v>1494</v>
      </c>
      <c r="C1705" s="2" t="n">
        <v>4</v>
      </c>
      <c r="D1705" s="2" t="n">
        <v>4</v>
      </c>
      <c r="E1705" s="2" t="n">
        <v>2</v>
      </c>
      <c r="F1705" s="2" t="n">
        <v>158</v>
      </c>
      <c r="G1705" s="2" t="s">
        <v>1468</v>
      </c>
      <c r="H1705" s="2" t="str">
        <f aca="false">IFERROR(__xludf.dummyfunction("IF(I1717="""", """", REGEXEXTRACT(I1717, ""Padrao/([^/]+)""))"),"Centro")</f>
        <v>Centro</v>
      </c>
    </row>
    <row r="1706" customFormat="false" ht="15.75" hidden="false" customHeight="false" outlineLevel="0" collapsed="false">
      <c r="A1706" s="2" t="n">
        <v>180332</v>
      </c>
      <c r="B1706" s="2" t="s">
        <v>1495</v>
      </c>
      <c r="C1706" s="2" t="n">
        <v>1</v>
      </c>
      <c r="D1706" s="2" t="n">
        <v>1</v>
      </c>
      <c r="E1706" s="2" t="n">
        <v>1</v>
      </c>
      <c r="F1706" s="2" t="n">
        <v>35</v>
      </c>
      <c r="G1706" s="2" t="s">
        <v>588</v>
      </c>
      <c r="H1706" s="2" t="str">
        <f aca="false">IFERROR(__xludf.dummyfunction("IF(I1718="""", """", REGEXEXTRACT(I1718, ""Padrao/([^/]+)""))"),"Vila Seixas")</f>
        <v>Vila Seixas</v>
      </c>
    </row>
    <row r="1707" customFormat="false" ht="15.75" hidden="false" customHeight="false" outlineLevel="0" collapsed="false">
      <c r="A1707" s="2" t="n">
        <v>123242</v>
      </c>
      <c r="B1707" s="2" t="s">
        <v>1496</v>
      </c>
      <c r="C1707" s="2" t="n">
        <v>1</v>
      </c>
      <c r="D1707" s="2" t="n">
        <v>1</v>
      </c>
      <c r="E1707" s="2" t="n">
        <v>1</v>
      </c>
      <c r="F1707" s="2" t="n">
        <v>46</v>
      </c>
      <c r="G1707" s="2" t="s">
        <v>614</v>
      </c>
      <c r="H1707" s="2" t="str">
        <f aca="false">IFERROR(__xludf.dummyfunction("IF(I1719="""", """", REGEXEXTRACT(I1719, ""Padrao/([^/]+)""))"),"Jardim Botanico")</f>
        <v>Jardim Botanico</v>
      </c>
    </row>
    <row r="1708" customFormat="false" ht="15.75" hidden="false" customHeight="false" outlineLevel="0" collapsed="false">
      <c r="A1708" s="2" t="n">
        <v>224810</v>
      </c>
      <c r="B1708" s="2" t="s">
        <v>1497</v>
      </c>
      <c r="C1708" s="2" t="n">
        <v>2</v>
      </c>
      <c r="D1708" s="2" t="n">
        <v>2</v>
      </c>
      <c r="E1708" s="2" t="n">
        <v>1</v>
      </c>
      <c r="F1708" s="2" t="n">
        <v>60</v>
      </c>
      <c r="G1708" s="2" t="s">
        <v>618</v>
      </c>
      <c r="H1708" s="2" t="str">
        <f aca="false">IFERROR(__xludf.dummyfunction("IF(I1720="""", """", REGEXEXTRACT(I1720, ""Padrao/([^/]+)""))"),"Jardim Paulista")</f>
        <v>Jardim Paulista</v>
      </c>
    </row>
    <row r="1709" customFormat="false" ht="15.75" hidden="false" customHeight="false" outlineLevel="0" collapsed="false">
      <c r="A1709" s="2" t="n">
        <v>163307</v>
      </c>
      <c r="B1709" s="2" t="s">
        <v>1498</v>
      </c>
      <c r="C1709" s="2" t="n">
        <v>1</v>
      </c>
      <c r="D1709" s="2" t="n">
        <v>1</v>
      </c>
      <c r="E1709" s="2" t="n">
        <v>1</v>
      </c>
      <c r="F1709" s="2" t="n">
        <v>32</v>
      </c>
      <c r="G1709" s="2" t="s">
        <v>1499</v>
      </c>
      <c r="H1709" s="2" t="str">
        <f aca="false">IFERROR(__xludf.dummyfunction("IF(I1721="""", """", REGEXEXTRACT(I1721, ""Padrao/([^/]+)""))"),"Nova Alianca")</f>
        <v>Nova Alianca</v>
      </c>
    </row>
    <row r="1710" customFormat="false" ht="15.75" hidden="false" customHeight="false" outlineLevel="0" collapsed="false">
      <c r="A1710" s="2" t="n">
        <v>237506</v>
      </c>
      <c r="B1710" s="2" t="s">
        <v>1500</v>
      </c>
      <c r="C1710" s="2" t="n">
        <v>2</v>
      </c>
      <c r="D1710" s="2" t="n">
        <v>2</v>
      </c>
      <c r="E1710" s="2" t="n">
        <v>1</v>
      </c>
      <c r="F1710" s="2" t="n">
        <v>72</v>
      </c>
      <c r="G1710" s="2" t="s">
        <v>1501</v>
      </c>
      <c r="H1710" s="2" t="str">
        <f aca="false">IFERROR(__xludf.dummyfunction("IF(I1722="""", """", REGEXEXTRACT(I1722, ""Padrao/([^/]+)""))"),"Santa Cruz do Jose Jacques")</f>
        <v>Santa Cruz do Jose Jacques</v>
      </c>
    </row>
    <row r="1711" customFormat="false" ht="15.75" hidden="false" customHeight="false" outlineLevel="0" collapsed="false">
      <c r="A1711" s="2" t="n">
        <v>82364</v>
      </c>
      <c r="B1711" s="2" t="s">
        <v>1502</v>
      </c>
      <c r="C1711" s="2" t="n">
        <v>3</v>
      </c>
      <c r="D1711" s="2" t="n">
        <v>2</v>
      </c>
      <c r="E1711" s="2" t="n">
        <v>1</v>
      </c>
      <c r="F1711" s="2" t="n">
        <v>107</v>
      </c>
      <c r="G1711" s="2" t="s">
        <v>1466</v>
      </c>
      <c r="H1711" s="2" t="str">
        <f aca="false">IFERROR(__xludf.dummyfunction("IF(I1723="""", """", REGEXEXTRACT(I1723, ""Padrao/([^/]+)""))"),"Centro")</f>
        <v>Centro</v>
      </c>
    </row>
    <row r="1712" customFormat="false" ht="15.75" hidden="false" customHeight="false" outlineLevel="0" collapsed="false">
      <c r="A1712" s="2" t="n">
        <v>130658</v>
      </c>
      <c r="B1712" s="2" t="s">
        <v>1503</v>
      </c>
      <c r="C1712" s="2" t="n">
        <v>2</v>
      </c>
      <c r="D1712" s="2" t="n">
        <v>1</v>
      </c>
      <c r="E1712" s="2" t="n">
        <v>1</v>
      </c>
      <c r="F1712" s="2" t="n">
        <v>47</v>
      </c>
      <c r="G1712" s="2" t="s">
        <v>564</v>
      </c>
      <c r="H1712" s="2" t="str">
        <f aca="false">IFERROR(__xludf.dummyfunction("IF(I1724="""", """", REGEXEXTRACT(I1724, ""Padrao/([^/]+)""))"),"Alto do Ipiranga")</f>
        <v>Alto do Ipiranga</v>
      </c>
    </row>
    <row r="1713" customFormat="false" ht="15.75" hidden="false" customHeight="false" outlineLevel="0" collapsed="false">
      <c r="A1713" s="2" t="n">
        <v>221528</v>
      </c>
      <c r="B1713" s="2" t="s">
        <v>1504</v>
      </c>
      <c r="C1713" s="2" t="n">
        <v>3</v>
      </c>
      <c r="D1713" s="2" t="n">
        <v>4</v>
      </c>
      <c r="E1713" s="2" t="n">
        <v>3</v>
      </c>
      <c r="F1713" s="2" t="n">
        <v>140</v>
      </c>
      <c r="G1713" s="2" t="s">
        <v>157</v>
      </c>
      <c r="H1713" s="2" t="str">
        <f aca="false">IFERROR(__xludf.dummyfunction("IF(I1725="""", """", REGEXEXTRACT(I1725, ""Padrao/([^/]+)""))"),"Jardim Botanico")</f>
        <v>Jardim Botanico</v>
      </c>
    </row>
    <row r="1714" customFormat="false" ht="15.75" hidden="false" customHeight="false" outlineLevel="0" collapsed="false">
      <c r="A1714" s="2" t="n">
        <v>219002</v>
      </c>
      <c r="B1714" s="2" t="s">
        <v>1505</v>
      </c>
      <c r="C1714" s="2" t="n">
        <v>4</v>
      </c>
      <c r="D1714" s="2" t="n">
        <v>7</v>
      </c>
      <c r="E1714" s="2" t="n">
        <v>4</v>
      </c>
      <c r="F1714" s="2" t="n">
        <v>292</v>
      </c>
      <c r="G1714" s="2" t="s">
        <v>1506</v>
      </c>
      <c r="H1714" s="2" t="str">
        <f aca="false">IFERROR(__xludf.dummyfunction("IF(I1726="""", """", REGEXEXTRACT(I1726, ""Padrao/([^/]+)""))"),"Jardim Botanico")</f>
        <v>Jardim Botanico</v>
      </c>
    </row>
    <row r="1715" customFormat="false" ht="15.75" hidden="false" customHeight="false" outlineLevel="0" collapsed="false">
      <c r="A1715" s="2" t="n">
        <v>213617</v>
      </c>
      <c r="B1715" s="2" t="s">
        <v>1492</v>
      </c>
      <c r="C1715" s="2" t="n">
        <v>4</v>
      </c>
      <c r="D1715" s="2" t="n">
        <v>6</v>
      </c>
      <c r="E1715" s="2" t="n">
        <v>3</v>
      </c>
      <c r="F1715" s="2" t="n">
        <v>237</v>
      </c>
      <c r="G1715" s="2" t="s">
        <v>1507</v>
      </c>
      <c r="H1715" s="2" t="str">
        <f aca="false">IFERROR(__xludf.dummyfunction("IF(I1727="""", """", REGEXEXTRACT(I1727, ""Padrao/([^/]+)""))"),"Jardim Ilhas do Sul")</f>
        <v>Jardim Ilhas do Sul</v>
      </c>
    </row>
    <row r="1716" customFormat="false" ht="15.75" hidden="false" customHeight="false" outlineLevel="0" collapsed="false">
      <c r="A1716" s="2" t="n">
        <v>237983</v>
      </c>
      <c r="B1716" s="2" t="s">
        <v>1508</v>
      </c>
      <c r="C1716" s="2" t="n">
        <v>2</v>
      </c>
      <c r="D1716" s="2" t="n">
        <v>2</v>
      </c>
      <c r="E1716" s="2" t="n">
        <v>1</v>
      </c>
      <c r="F1716" s="2" t="n">
        <v>140</v>
      </c>
      <c r="G1716" s="2" t="s">
        <v>1509</v>
      </c>
      <c r="H1716" s="2" t="str">
        <f aca="false">IFERROR(__xludf.dummyfunction("IF(I1728="""", """", REGEXEXTRACT(I1728, ""Padrao/([^/]+)""))"),"Nova Alianca")</f>
        <v>Nova Alianca</v>
      </c>
    </row>
    <row r="1717" customFormat="false" ht="15.75" hidden="false" customHeight="false" outlineLevel="0" collapsed="false">
      <c r="A1717" s="2" t="n">
        <v>214931</v>
      </c>
      <c r="B1717" s="2" t="s">
        <v>1510</v>
      </c>
      <c r="C1717" s="2" t="n">
        <v>3</v>
      </c>
      <c r="D1717" s="2" t="n">
        <v>5</v>
      </c>
      <c r="E1717" s="2" t="n">
        <v>4</v>
      </c>
      <c r="F1717" s="2" t="n">
        <v>254</v>
      </c>
      <c r="G1717" s="2" t="s">
        <v>1511</v>
      </c>
      <c r="H1717" s="2" t="str">
        <f aca="false">IFERROR(__xludf.dummyfunction("IF(I1729="""", """", REGEXEXTRACT(I1729, ""Padrao/([^/]+)""))"),"Jardim Olhos DAgua")</f>
        <v>Jardim Olhos DAgua</v>
      </c>
    </row>
    <row r="1718" customFormat="false" ht="15.75" hidden="false" customHeight="false" outlineLevel="0" collapsed="false">
      <c r="A1718" s="2" t="n">
        <v>217385</v>
      </c>
      <c r="B1718" s="2" t="s">
        <v>1512</v>
      </c>
      <c r="C1718" s="2" t="n">
        <v>2</v>
      </c>
      <c r="D1718" s="2" t="n">
        <v>1</v>
      </c>
      <c r="E1718" s="2" t="n">
        <v>1</v>
      </c>
      <c r="F1718" s="2" t="n">
        <v>49</v>
      </c>
      <c r="G1718" s="2" t="s">
        <v>1513</v>
      </c>
      <c r="H1718" s="2" t="str">
        <f aca="false">IFERROR(__xludf.dummyfunction("IF(I1730="""", """", REGEXEXTRACT(I1730, ""Padrao/([^/]+)""))"),"Jardim Novo Mundo")</f>
        <v>Jardim Novo Mundo</v>
      </c>
    </row>
    <row r="1719" customFormat="false" ht="15.75" hidden="false" customHeight="false" outlineLevel="0" collapsed="false">
      <c r="A1719" s="2" t="n">
        <v>243512</v>
      </c>
      <c r="B1719" s="2" t="s">
        <v>1514</v>
      </c>
      <c r="C1719" s="2" t="n">
        <v>1</v>
      </c>
      <c r="D1719" s="2" t="n">
        <v>1</v>
      </c>
      <c r="E1719" s="2" t="n">
        <v>1</v>
      </c>
      <c r="F1719" s="2" t="n">
        <v>39</v>
      </c>
      <c r="G1719" s="2" t="s">
        <v>588</v>
      </c>
      <c r="H1719" s="2" t="str">
        <f aca="false">IFERROR(__xludf.dummyfunction("IF(I1731="""", """", REGEXEXTRACT(I1731, ""Padrao/([^/]+)""))"),"Nova Alianca")</f>
        <v>Nova Alianca</v>
      </c>
    </row>
    <row r="1720" customFormat="false" ht="15.75" hidden="false" customHeight="false" outlineLevel="0" collapsed="false">
      <c r="A1720" s="2" t="n">
        <v>234470</v>
      </c>
      <c r="B1720" s="2" t="s">
        <v>1515</v>
      </c>
      <c r="C1720" s="2" t="n">
        <v>2</v>
      </c>
      <c r="D1720" s="2" t="n">
        <v>1</v>
      </c>
      <c r="E1720" s="2" t="n">
        <v>1</v>
      </c>
      <c r="F1720" s="2" t="n">
        <v>47</v>
      </c>
      <c r="G1720" s="2" t="s">
        <v>1516</v>
      </c>
      <c r="H1720" s="2" t="str">
        <f aca="false">IFERROR(__xludf.dummyfunction("IF(I1732="""", """", REGEXEXTRACT(I1732, ""Padrao/([^/]+)""))"),"Condominio Mirante Sul")</f>
        <v>Condominio Mirante Sul</v>
      </c>
    </row>
    <row r="1721" customFormat="false" ht="15.75" hidden="false" customHeight="false" outlineLevel="0" collapsed="false">
      <c r="A1721" s="2" t="n">
        <v>86879</v>
      </c>
      <c r="B1721" s="2" t="s">
        <v>1517</v>
      </c>
      <c r="C1721" s="2" t="n">
        <v>1</v>
      </c>
      <c r="D1721" s="2" t="n">
        <v>1</v>
      </c>
      <c r="E1721" s="2" t="n">
        <v>1</v>
      </c>
      <c r="F1721" s="2" t="n">
        <v>44</v>
      </c>
      <c r="G1721" s="2" t="s">
        <v>626</v>
      </c>
      <c r="H1721" s="2" t="str">
        <f aca="false">IFERROR(__xludf.dummyfunction("IF(I1733="""", """", REGEXEXTRACT(I1733, ""Padrao/([^/]+)""))"),"Nova Alianca")</f>
        <v>Nova Alianca</v>
      </c>
    </row>
    <row r="1722" customFormat="false" ht="15.75" hidden="false" customHeight="false" outlineLevel="0" collapsed="false">
      <c r="A1722" s="2" t="n">
        <v>43052</v>
      </c>
      <c r="B1722" s="2" t="s">
        <v>1518</v>
      </c>
      <c r="C1722" s="2" t="n">
        <v>3</v>
      </c>
      <c r="D1722" s="2" t="n">
        <v>4</v>
      </c>
      <c r="E1722" s="2" t="n">
        <v>2</v>
      </c>
      <c r="F1722" s="2" t="n">
        <v>124</v>
      </c>
      <c r="G1722" s="2" t="s">
        <v>1519</v>
      </c>
      <c r="H1722" s="2" t="str">
        <f aca="false">IFERROR(__xludf.dummyfunction("IF(I1734="""", """", REGEXEXTRACT(I1734, ""Padrao/([^/]+)""))"),"Centro")</f>
        <v>Centro</v>
      </c>
    </row>
    <row r="1723" customFormat="false" ht="15.75" hidden="false" customHeight="false" outlineLevel="0" collapsed="false">
      <c r="A1723" s="2" t="n">
        <v>234530</v>
      </c>
      <c r="B1723" s="2" t="s">
        <v>1520</v>
      </c>
      <c r="C1723" s="2" t="n">
        <v>3</v>
      </c>
      <c r="D1723" s="2" t="n">
        <v>2</v>
      </c>
      <c r="E1723" s="2" t="n">
        <v>1</v>
      </c>
      <c r="F1723" s="2" t="n">
        <v>82</v>
      </c>
      <c r="G1723" s="2" t="s">
        <v>626</v>
      </c>
      <c r="H1723" s="2" t="str">
        <f aca="false">IFERROR(__xludf.dummyfunction("IF(I1735="""", """", REGEXEXTRACT(I1735, ""Padrao/([^/]+)""))"),"Parque Anhanguera")</f>
        <v>Parque Anhanguera</v>
      </c>
    </row>
    <row r="1724" customFormat="false" ht="15.75" hidden="false" customHeight="false" outlineLevel="0" collapsed="false">
      <c r="A1724" s="2" t="n">
        <v>218366</v>
      </c>
      <c r="B1724" s="2" t="s">
        <v>1521</v>
      </c>
      <c r="C1724" s="2" t="n">
        <v>3</v>
      </c>
      <c r="D1724" s="2" t="n">
        <v>2</v>
      </c>
      <c r="E1724" s="2" t="n">
        <v>1</v>
      </c>
      <c r="F1724" s="2" t="n">
        <v>65</v>
      </c>
      <c r="G1724" s="2" t="s">
        <v>1522</v>
      </c>
      <c r="H1724" s="2" t="str">
        <f aca="false">IFERROR(__xludf.dummyfunction("IF(I1736="""", """", REGEXEXTRACT(I1736, ""Padrao/([^/]+)""))"),"Sumarezinho")</f>
        <v>Sumarezinho</v>
      </c>
    </row>
    <row r="1725" customFormat="false" ht="15.75" hidden="false" customHeight="false" outlineLevel="0" collapsed="false">
      <c r="A1725" s="2" t="n">
        <v>195494</v>
      </c>
      <c r="B1725" s="2" t="s">
        <v>1523</v>
      </c>
      <c r="C1725" s="2" t="n">
        <v>2</v>
      </c>
      <c r="D1725" s="2" t="n">
        <v>1</v>
      </c>
      <c r="E1725" s="2" t="n">
        <v>1</v>
      </c>
      <c r="F1725" s="2" t="n">
        <v>57</v>
      </c>
      <c r="G1725" s="2" t="s">
        <v>1524</v>
      </c>
      <c r="H1725" s="2" t="str">
        <f aca="false">IFERROR(__xludf.dummyfunction("IF(I1737="""", """", REGEXEXTRACT(I1737, ""Padrao/([^/]+)""))"),"Ipiranga")</f>
        <v>Ipiranga</v>
      </c>
    </row>
    <row r="1726" customFormat="false" ht="15.75" hidden="false" customHeight="false" outlineLevel="0" collapsed="false">
      <c r="A1726" s="2" t="n">
        <v>79592</v>
      </c>
      <c r="B1726" s="2" t="s">
        <v>1525</v>
      </c>
      <c r="C1726" s="2" t="n">
        <v>3</v>
      </c>
      <c r="D1726" s="2" t="n">
        <v>2</v>
      </c>
      <c r="E1726" s="2" t="n">
        <v>1</v>
      </c>
      <c r="F1726" s="2" t="n">
        <v>85</v>
      </c>
      <c r="G1726" s="2" t="s">
        <v>626</v>
      </c>
      <c r="H1726" s="2" t="str">
        <f aca="false">IFERROR(__xludf.dummyfunction("IF(I1738="""", """", REGEXEXTRACT(I1738, ""Padrao/([^/]+)""))"),"Jardim Iraja")</f>
        <v>Jardim Iraja</v>
      </c>
    </row>
    <row r="1727" customFormat="false" ht="15.75" hidden="false" customHeight="false" outlineLevel="0" collapsed="false">
      <c r="A1727" s="2" t="n">
        <v>75596</v>
      </c>
      <c r="B1727" s="2" t="s">
        <v>1526</v>
      </c>
      <c r="C1727" s="2" t="n">
        <v>2</v>
      </c>
      <c r="D1727" s="2" t="n">
        <v>2</v>
      </c>
      <c r="E1727" s="2" t="n">
        <v>2</v>
      </c>
      <c r="F1727" s="2" t="n">
        <v>63</v>
      </c>
      <c r="G1727" s="2" t="s">
        <v>1527</v>
      </c>
      <c r="H1727" s="2" t="str">
        <f aca="false">IFERROR(__xludf.dummyfunction("IF(I1739="""", """", REGEXEXTRACT(I1739, ""Padrao/([^/]+)""))"),"Jardim Botanico")</f>
        <v>Jardim Botanico</v>
      </c>
    </row>
    <row r="1728" customFormat="false" ht="15.75" hidden="false" customHeight="false" outlineLevel="0" collapsed="false">
      <c r="A1728" s="2" t="n">
        <v>71054</v>
      </c>
      <c r="B1728" s="2" t="s">
        <v>1528</v>
      </c>
      <c r="C1728" s="2" t="n">
        <v>2</v>
      </c>
      <c r="D1728" s="2" t="n">
        <v>1</v>
      </c>
      <c r="E1728" s="2" t="n">
        <v>2</v>
      </c>
      <c r="F1728" s="2" t="n">
        <v>78</v>
      </c>
      <c r="G1728" s="2" t="s">
        <v>1529</v>
      </c>
      <c r="H1728" s="2" t="str">
        <f aca="false">IFERROR(__xludf.dummyfunction("IF(I1740="""", """", REGEXEXTRACT(I1740, ""Padrao/([^/]+)""))"),"Bonfim Paulista")</f>
        <v>Bonfim Paulista</v>
      </c>
    </row>
    <row r="1729" customFormat="false" ht="15.75" hidden="false" customHeight="false" outlineLevel="0" collapsed="false">
      <c r="A1729" s="2" t="n">
        <v>242255</v>
      </c>
      <c r="B1729" s="2" t="s">
        <v>1530</v>
      </c>
      <c r="C1729" s="2" t="n">
        <v>3</v>
      </c>
      <c r="D1729" s="2" t="n">
        <v>3</v>
      </c>
      <c r="E1729" s="2" t="n">
        <v>2</v>
      </c>
      <c r="F1729" s="2" t="n">
        <v>94</v>
      </c>
      <c r="G1729" s="2" t="s">
        <v>1468</v>
      </c>
      <c r="H1729" s="2" t="str">
        <f aca="false">IFERROR(__xludf.dummyfunction("IF(I1741="""", """", REGEXEXTRACT(I1741, ""Padrao/([^/]+)""))"),"Ribeirania")</f>
        <v>Ribeirania</v>
      </c>
    </row>
    <row r="1730" customFormat="false" ht="15.75" hidden="false" customHeight="false" outlineLevel="0" collapsed="false">
      <c r="A1730" s="2" t="n">
        <v>165449</v>
      </c>
      <c r="B1730" s="2" t="s">
        <v>1531</v>
      </c>
      <c r="C1730" s="2" t="n">
        <v>2</v>
      </c>
      <c r="D1730" s="2" t="n">
        <v>2</v>
      </c>
      <c r="E1730" s="2" t="n">
        <v>1</v>
      </c>
      <c r="F1730" s="2" t="n">
        <v>74</v>
      </c>
      <c r="G1730" s="2" t="s">
        <v>1532</v>
      </c>
      <c r="H1730" s="2" t="str">
        <f aca="false">IFERROR(__xludf.dummyfunction("IF(I1742="""", """", REGEXEXTRACT(I1742, ""Padrao/([^/]+)""))"),"Santa Cruz do Jose Jacques")</f>
        <v>Santa Cruz do Jose Jacques</v>
      </c>
    </row>
    <row r="1731" customFormat="false" ht="15.75" hidden="false" customHeight="false" outlineLevel="0" collapsed="false">
      <c r="A1731" s="2" t="n">
        <v>153947</v>
      </c>
      <c r="B1731" s="2" t="s">
        <v>1533</v>
      </c>
      <c r="C1731" s="2" t="n">
        <v>2</v>
      </c>
      <c r="D1731" s="2" t="n">
        <v>2</v>
      </c>
      <c r="E1731" s="2" t="n">
        <v>1</v>
      </c>
      <c r="F1731" s="2" t="n">
        <v>71</v>
      </c>
      <c r="G1731" s="2" t="s">
        <v>1534</v>
      </c>
      <c r="H1731" s="2" t="str">
        <f aca="false">IFERROR(__xludf.dummyfunction("IF(I1743="""", """", REGEXEXTRACT(I1743, ""Padrao/([^/]+)""))"),"Jardim Botanico")</f>
        <v>Jardim Botanico</v>
      </c>
    </row>
    <row r="1732" customFormat="false" ht="15.75" hidden="false" customHeight="false" outlineLevel="0" collapsed="false">
      <c r="A1732" s="2" t="n">
        <v>223586</v>
      </c>
      <c r="B1732" s="2" t="s">
        <v>822</v>
      </c>
      <c r="C1732" s="2" t="n">
        <v>4</v>
      </c>
      <c r="D1732" s="2" t="n">
        <v>6</v>
      </c>
      <c r="E1732" s="2" t="n">
        <v>4</v>
      </c>
      <c r="F1732" s="2" t="n">
        <v>298</v>
      </c>
      <c r="G1732" s="2" t="s">
        <v>1535</v>
      </c>
      <c r="H1732" s="2" t="str">
        <f aca="false">IFERROR(__xludf.dummyfunction("IF(I1744="""", """", REGEXEXTRACT(I1744, ""Padrao/([^/]+)""))"),"Jardim Olhos DAgua")</f>
        <v>Jardim Olhos DAgua</v>
      </c>
    </row>
    <row r="1733" customFormat="false" ht="15.75" hidden="false" customHeight="false" outlineLevel="0" collapsed="false">
      <c r="A1733" s="2" t="n">
        <v>163142</v>
      </c>
      <c r="B1733" s="2" t="s">
        <v>1536</v>
      </c>
      <c r="C1733" s="2" t="n">
        <v>4</v>
      </c>
      <c r="D1733" s="2" t="n">
        <v>5</v>
      </c>
      <c r="E1733" s="2" t="n">
        <v>4</v>
      </c>
      <c r="F1733" s="2" t="n">
        <v>298</v>
      </c>
      <c r="G1733" s="2" t="s">
        <v>1537</v>
      </c>
      <c r="H1733" s="2" t="str">
        <f aca="false">IFERROR(__xludf.dummyfunction("IF(I1745="""", """", REGEXEXTRACT(I1745, ""Padrao/([^/]+)""))"),"Jardim Olhos DAgua")</f>
        <v>Jardim Olhos DAgua</v>
      </c>
    </row>
    <row r="1734" customFormat="false" ht="15.75" hidden="false" customHeight="false" outlineLevel="0" collapsed="false">
      <c r="A1734" s="2" t="n">
        <v>212678</v>
      </c>
      <c r="B1734" s="2" t="s">
        <v>1538</v>
      </c>
      <c r="C1734" s="2" t="n">
        <v>2</v>
      </c>
      <c r="D1734" s="2" t="n">
        <v>1</v>
      </c>
      <c r="E1734" s="2" t="n">
        <v>1</v>
      </c>
      <c r="F1734" s="2" t="n">
        <v>51</v>
      </c>
      <c r="G1734" s="2" t="s">
        <v>1516</v>
      </c>
      <c r="H1734" s="2" t="str">
        <f aca="false">IFERROR(__xludf.dummyfunction("IF(I1746="""", """", REGEXEXTRACT(I1746, ""Padrao/([^/]+)""))"),"Jardim Novo Mundo")</f>
        <v>Jardim Novo Mundo</v>
      </c>
    </row>
    <row r="1735" customFormat="false" ht="15.75" hidden="false" customHeight="false" outlineLevel="0" collapsed="false">
      <c r="A1735" s="2" t="n">
        <v>242162</v>
      </c>
      <c r="B1735" s="2" t="s">
        <v>321</v>
      </c>
      <c r="C1735" s="2" t="n">
        <v>3</v>
      </c>
      <c r="D1735" s="2" t="n">
        <v>6</v>
      </c>
      <c r="E1735" s="2" t="n">
        <v>4</v>
      </c>
      <c r="F1735" s="2" t="n">
        <v>227</v>
      </c>
      <c r="G1735" s="2" t="s">
        <v>1539</v>
      </c>
      <c r="H1735" s="2" t="str">
        <f aca="false">IFERROR(__xludf.dummyfunction("IF(I1747="""", """", REGEXEXTRACT(I1747, ""Padrao/([^/]+)""))"),"Jardim Ilhas do Sul")</f>
        <v>Jardim Ilhas do Sul</v>
      </c>
    </row>
    <row r="1736" customFormat="false" ht="15.75" hidden="false" customHeight="false" outlineLevel="0" collapsed="false">
      <c r="A1736" s="2" t="n">
        <v>206003</v>
      </c>
      <c r="B1736" s="2" t="s">
        <v>1540</v>
      </c>
      <c r="C1736" s="2" t="n">
        <v>1</v>
      </c>
      <c r="D1736" s="2" t="n">
        <v>1</v>
      </c>
      <c r="E1736" s="2" t="n">
        <v>1</v>
      </c>
      <c r="F1736" s="2" t="n">
        <v>44</v>
      </c>
      <c r="G1736" s="2" t="s">
        <v>502</v>
      </c>
      <c r="H1736" s="2" t="str">
        <f aca="false">IFERROR(__xludf.dummyfunction("IF(I1748="""", """", REGEXEXTRACT(I1748, ""Padrao/([^/]+)""))"),"Centro")</f>
        <v>Centro</v>
      </c>
    </row>
    <row r="1737" customFormat="false" ht="15.75" hidden="false" customHeight="false" outlineLevel="0" collapsed="false">
      <c r="A1737" s="2" t="n">
        <v>237737</v>
      </c>
      <c r="B1737" s="2" t="s">
        <v>641</v>
      </c>
      <c r="C1737" s="2" t="n">
        <v>2</v>
      </c>
      <c r="D1737" s="2" t="n">
        <v>1</v>
      </c>
      <c r="E1737" s="2" t="n">
        <v>1</v>
      </c>
      <c r="F1737" s="2" t="n">
        <v>48</v>
      </c>
      <c r="G1737" s="2" t="s">
        <v>626</v>
      </c>
      <c r="H1737" s="2" t="str">
        <f aca="false">IFERROR(__xludf.dummyfunction("IF(I1749="""", """", REGEXEXTRACT(I1749, ""Padrao/([^/]+)""))"),"Quinta da Primavera")</f>
        <v>Quinta da Primavera</v>
      </c>
    </row>
    <row r="1738" customFormat="false" ht="15.75" hidden="false" customHeight="false" outlineLevel="0" collapsed="false">
      <c r="A1738" s="2" t="n">
        <v>212069</v>
      </c>
      <c r="B1738" s="2" t="s">
        <v>1541</v>
      </c>
      <c r="C1738" s="2" t="n">
        <v>2</v>
      </c>
      <c r="D1738" s="2" t="n">
        <v>2</v>
      </c>
      <c r="E1738" s="2" t="n">
        <v>1</v>
      </c>
      <c r="F1738" s="2" t="n">
        <v>72</v>
      </c>
      <c r="G1738" s="2" t="s">
        <v>626</v>
      </c>
      <c r="H1738" s="2" t="str">
        <f aca="false">IFERROR(__xludf.dummyfunction("IF(I1750="""", """", REGEXEXTRACT(I1750, ""Padrao/([^/]+)""))"),"Parque dos Bandeirantes")</f>
        <v>Parque dos Bandeirantes</v>
      </c>
    </row>
    <row r="1739" customFormat="false" ht="15.75" hidden="false" customHeight="false" outlineLevel="0" collapsed="false">
      <c r="A1739" s="2" t="n">
        <v>177920</v>
      </c>
      <c r="B1739" s="2" t="s">
        <v>1542</v>
      </c>
      <c r="C1739" s="2" t="n">
        <v>1</v>
      </c>
      <c r="D1739" s="2" t="n">
        <v>1</v>
      </c>
      <c r="E1739" s="2" t="n">
        <v>1</v>
      </c>
      <c r="F1739" s="2" t="n">
        <v>46</v>
      </c>
      <c r="G1739" s="2" t="s">
        <v>626</v>
      </c>
      <c r="H1739" s="2" t="str">
        <f aca="false">IFERROR(__xludf.dummyfunction("IF(I1751="""", """", REGEXEXTRACT(I1751, ""Padrao/([^/]+)""))"),"Jardim Botanico")</f>
        <v>Jardim Botanico</v>
      </c>
    </row>
    <row r="1740" customFormat="false" ht="15.75" hidden="false" customHeight="false" outlineLevel="0" collapsed="false">
      <c r="A1740" s="2" t="n">
        <v>240563</v>
      </c>
      <c r="B1740" s="2" t="s">
        <v>1543</v>
      </c>
      <c r="C1740" s="2" t="n">
        <v>4</v>
      </c>
      <c r="D1740" s="2" t="n">
        <v>2</v>
      </c>
      <c r="E1740" s="2" t="n">
        <v>1</v>
      </c>
      <c r="F1740" s="2" t="n">
        <v>168</v>
      </c>
      <c r="G1740" s="2" t="s">
        <v>626</v>
      </c>
      <c r="H1740" s="2" t="str">
        <f aca="false">IFERROR(__xludf.dummyfunction("IF(I1752="""", """", REGEXEXTRACT(I1752, ""Padrao/([^/]+)""))"),"Centro")</f>
        <v>Centro</v>
      </c>
    </row>
    <row r="1741" customFormat="false" ht="15.75" hidden="false" customHeight="false" outlineLevel="0" collapsed="false">
      <c r="A1741" s="2" t="n">
        <v>243830</v>
      </c>
      <c r="B1741" s="2" t="s">
        <v>1544</v>
      </c>
      <c r="C1741" s="2" t="n">
        <v>2</v>
      </c>
      <c r="D1741" s="2" t="n">
        <v>1</v>
      </c>
      <c r="E1741" s="2" t="n">
        <v>1</v>
      </c>
      <c r="F1741" s="2" t="n">
        <v>55</v>
      </c>
      <c r="G1741" s="2" t="s">
        <v>1466</v>
      </c>
      <c r="H1741" s="2" t="str">
        <f aca="false">IFERROR(__xludf.dummyfunction("IF(I1753="""", """", REGEXEXTRACT(I1753, ""Padrao/([^/]+)""))"),"Iguatemi")</f>
        <v>Iguatemi</v>
      </c>
    </row>
    <row r="1742" customFormat="false" ht="15.75" hidden="false" customHeight="false" outlineLevel="0" collapsed="false">
      <c r="A1742" s="2" t="n">
        <v>243578</v>
      </c>
      <c r="B1742" s="2" t="s">
        <v>1545</v>
      </c>
      <c r="C1742" s="2" t="n">
        <v>1</v>
      </c>
      <c r="D1742" s="2" t="n">
        <v>1</v>
      </c>
      <c r="E1742" s="2" t="n">
        <v>1</v>
      </c>
      <c r="F1742" s="2" t="n">
        <v>31</v>
      </c>
      <c r="G1742" s="2" t="s">
        <v>636</v>
      </c>
      <c r="H1742" s="2" t="str">
        <f aca="false">IFERROR(__xludf.dummyfunction("IF(I1754="""", """", REGEXEXTRACT(I1754, ""Padrao/([^/]+)""))"),"Ribeirania")</f>
        <v>Ribeirania</v>
      </c>
    </row>
    <row r="1743" customFormat="false" ht="15.75" hidden="false" customHeight="false" outlineLevel="0" collapsed="false">
      <c r="A1743" s="2" t="n">
        <v>227117</v>
      </c>
      <c r="B1743" s="2" t="s">
        <v>1546</v>
      </c>
      <c r="C1743" s="2" t="n">
        <v>2</v>
      </c>
      <c r="D1743" s="2" t="n">
        <v>1</v>
      </c>
      <c r="E1743" s="2" t="n">
        <v>1</v>
      </c>
      <c r="F1743" s="2" t="n">
        <v>45</v>
      </c>
      <c r="G1743" s="2" t="s">
        <v>1499</v>
      </c>
      <c r="H1743" s="2" t="str">
        <f aca="false">IFERROR(__xludf.dummyfunction("IF(I1755="""", """", REGEXEXTRACT(I1755, ""Padrao/([^/]+)""))"),"Quinta da Primavera")</f>
        <v>Quinta da Primavera</v>
      </c>
    </row>
    <row r="1744" customFormat="false" ht="15.75" hidden="false" customHeight="false" outlineLevel="0" collapsed="false">
      <c r="A1744" s="2" t="n">
        <v>90617</v>
      </c>
      <c r="B1744" s="2" t="s">
        <v>1547</v>
      </c>
      <c r="C1744" s="2" t="n">
        <v>3</v>
      </c>
      <c r="D1744" s="2" t="n">
        <v>2</v>
      </c>
      <c r="E1744" s="2" t="n">
        <v>1</v>
      </c>
      <c r="F1744" s="2" t="n">
        <v>113</v>
      </c>
      <c r="G1744" s="2" t="s">
        <v>639</v>
      </c>
      <c r="H1744" s="2" t="str">
        <f aca="false">IFERROR(__xludf.dummyfunction("IF(I1756="""", """", REGEXEXTRACT(I1756, ""Padrao/([^/]+)""))"),"Centro")</f>
        <v>Centro</v>
      </c>
    </row>
    <row r="1745" customFormat="false" ht="15.75" hidden="false" customHeight="false" outlineLevel="0" collapsed="false">
      <c r="A1745" s="2" t="n">
        <v>216896</v>
      </c>
      <c r="B1745" s="2" t="s">
        <v>1548</v>
      </c>
      <c r="C1745" s="2" t="n">
        <v>3</v>
      </c>
      <c r="D1745" s="2" t="n">
        <v>2</v>
      </c>
      <c r="E1745" s="2" t="n">
        <v>2</v>
      </c>
      <c r="F1745" s="2" t="n">
        <v>80</v>
      </c>
      <c r="G1745" s="2" t="s">
        <v>1501</v>
      </c>
      <c r="H1745" s="2" t="str">
        <f aca="false">IFERROR(__xludf.dummyfunction("IF(I1757="""", """", REGEXEXTRACT(I1757, ""Padrao/([^/]+)""))"),"Vila Tiberio")</f>
        <v>Vila Tiberio</v>
      </c>
    </row>
    <row r="1746" customFormat="false" ht="15.75" hidden="false" customHeight="false" outlineLevel="0" collapsed="false">
      <c r="A1746" s="2" t="n">
        <v>242894</v>
      </c>
      <c r="B1746" s="2" t="s">
        <v>1549</v>
      </c>
      <c r="C1746" s="2" t="n">
        <v>2</v>
      </c>
      <c r="D1746" s="2" t="n">
        <v>2</v>
      </c>
      <c r="E1746" s="2" t="n">
        <v>1</v>
      </c>
      <c r="F1746" s="2" t="n">
        <v>71</v>
      </c>
      <c r="G1746" s="2" t="s">
        <v>648</v>
      </c>
      <c r="H1746" s="2" t="str">
        <f aca="false">IFERROR(__xludf.dummyfunction("IF(I1758="""", """", REGEXEXTRACT(I1758, ""Padrao/([^/]+)""))"),"Bonfim Paulista")</f>
        <v>Bonfim Paulista</v>
      </c>
    </row>
    <row r="1747" customFormat="false" ht="15.75" hidden="false" customHeight="false" outlineLevel="0" collapsed="false">
      <c r="A1747" s="2" t="n">
        <v>242309</v>
      </c>
      <c r="B1747" s="2" t="s">
        <v>1550</v>
      </c>
      <c r="C1747" s="2" t="n">
        <v>3</v>
      </c>
      <c r="D1747" s="2" t="n">
        <v>3</v>
      </c>
      <c r="E1747" s="2" t="n">
        <v>1</v>
      </c>
      <c r="F1747" s="2" t="n">
        <v>111</v>
      </c>
      <c r="G1747" s="2" t="s">
        <v>1551</v>
      </c>
      <c r="H1747" s="2" t="str">
        <f aca="false">IFERROR(__xludf.dummyfunction("IF(I1759="""", """", REGEXEXTRACT(I1759, ""Padrao/([^/]+)""))"),"Alto da Boa Vista")</f>
        <v>Alto da Boa Vista</v>
      </c>
    </row>
    <row r="1748" customFormat="false" ht="15.75" hidden="false" customHeight="false" outlineLevel="0" collapsed="false">
      <c r="A1748" s="2" t="n">
        <v>242180</v>
      </c>
      <c r="B1748" s="2" t="s">
        <v>1552</v>
      </c>
      <c r="C1748" s="2" t="n">
        <v>2</v>
      </c>
      <c r="D1748" s="2" t="n">
        <v>2</v>
      </c>
      <c r="E1748" s="2" t="n">
        <v>2</v>
      </c>
      <c r="F1748" s="2" t="n">
        <v>75</v>
      </c>
      <c r="G1748" s="2" t="s">
        <v>1553</v>
      </c>
      <c r="H1748" s="2" t="str">
        <f aca="false">IFERROR(__xludf.dummyfunction("IF(I1760="""", """", REGEXEXTRACT(I1760, ""Padrao/([^/]+)""))"),"Nova Alianca")</f>
        <v>Nova Alianca</v>
      </c>
    </row>
    <row r="1749" customFormat="false" ht="15.75" hidden="false" customHeight="false" outlineLevel="0" collapsed="false">
      <c r="A1749" s="2" t="n">
        <v>237302</v>
      </c>
      <c r="B1749" s="2" t="s">
        <v>1554</v>
      </c>
      <c r="C1749" s="2" t="n">
        <v>3</v>
      </c>
      <c r="D1749" s="2" t="n">
        <v>3</v>
      </c>
      <c r="E1749" s="2" t="n">
        <v>2</v>
      </c>
      <c r="F1749" s="2" t="n">
        <v>102</v>
      </c>
      <c r="G1749" s="2" t="s">
        <v>649</v>
      </c>
      <c r="H1749" s="2" t="str">
        <f aca="false">IFERROR(__xludf.dummyfunction("IF(I1761="""", """", REGEXEXTRACT(I1761, ""Padrao/([^/]+)""))"),"Vila Ana Maria")</f>
        <v>Vila Ana Maria</v>
      </c>
    </row>
    <row r="1750" customFormat="false" ht="15.75" hidden="false" customHeight="false" outlineLevel="0" collapsed="false">
      <c r="A1750" s="2" t="n">
        <v>226496</v>
      </c>
      <c r="B1750" s="2" t="s">
        <v>1555</v>
      </c>
      <c r="C1750" s="2" t="n">
        <v>2</v>
      </c>
      <c r="D1750" s="2" t="n">
        <v>2</v>
      </c>
      <c r="E1750" s="2" t="n">
        <v>2</v>
      </c>
      <c r="F1750" s="2" t="n">
        <v>82</v>
      </c>
      <c r="G1750" s="2" t="s">
        <v>1556</v>
      </c>
      <c r="H1750" s="2" t="str">
        <f aca="false">IFERROR(__xludf.dummyfunction("IF(I1762="""", """", REGEXEXTRACT(I1762, ""Padrao/([^/]+)""))"),"Jardim Nova Alianca Sul")</f>
        <v>Jardim Nova Alianca Sul</v>
      </c>
    </row>
    <row r="1751" customFormat="false" ht="15.75" hidden="false" customHeight="false" outlineLevel="0" collapsed="false">
      <c r="A1751" s="2" t="n">
        <v>219242</v>
      </c>
      <c r="B1751" s="2" t="s">
        <v>1557</v>
      </c>
      <c r="C1751" s="2" t="n">
        <v>2</v>
      </c>
      <c r="D1751" s="2" t="n">
        <v>2</v>
      </c>
      <c r="E1751" s="2" t="n">
        <v>1</v>
      </c>
      <c r="F1751" s="2" t="n">
        <v>53</v>
      </c>
      <c r="G1751" s="2" t="s">
        <v>1556</v>
      </c>
      <c r="H1751" s="2" t="str">
        <f aca="false">IFERROR(__xludf.dummyfunction("IF(I1763="""", """", REGEXEXTRACT(I1763, ""Padrao/([^/]+)""))"),"Nova Alianca")</f>
        <v>Nova Alianca</v>
      </c>
    </row>
    <row r="1752" customFormat="false" ht="15.75" hidden="false" customHeight="false" outlineLevel="0" collapsed="false">
      <c r="A1752" s="2" t="n">
        <v>150653</v>
      </c>
      <c r="B1752" s="2" t="s">
        <v>1558</v>
      </c>
      <c r="C1752" s="2" t="n">
        <v>3</v>
      </c>
      <c r="D1752" s="2" t="n">
        <v>3</v>
      </c>
      <c r="E1752" s="2" t="n">
        <v>1</v>
      </c>
      <c r="F1752" s="2" t="n">
        <v>134</v>
      </c>
      <c r="G1752" s="2" t="s">
        <v>1559</v>
      </c>
      <c r="H1752" s="2" t="str">
        <f aca="false">IFERROR(__xludf.dummyfunction("IF(I1764="""", """", REGEXEXTRACT(I1764, ""Padrao/([^/]+)""))"),"Jardim Sumare")</f>
        <v>Jardim Sumare</v>
      </c>
    </row>
    <row r="1753" customFormat="false" ht="15.75" hidden="false" customHeight="false" outlineLevel="0" collapsed="false">
      <c r="A1753" s="2" t="n">
        <v>235760</v>
      </c>
      <c r="B1753" s="2" t="s">
        <v>1560</v>
      </c>
      <c r="C1753" s="2" t="n">
        <v>3</v>
      </c>
      <c r="D1753" s="2" t="n">
        <v>3</v>
      </c>
      <c r="E1753" s="2" t="n">
        <v>2</v>
      </c>
      <c r="F1753" s="2" t="n">
        <v>212</v>
      </c>
      <c r="G1753" s="2" t="s">
        <v>1561</v>
      </c>
      <c r="H1753" s="2" t="str">
        <f aca="false">IFERROR(__xludf.dummyfunction("IF(I1765="""", """", REGEXEXTRACT(I1765, ""Padrao/([^/]+)""))"),"Centro")</f>
        <v>Centro</v>
      </c>
    </row>
    <row r="1754" customFormat="false" ht="15.75" hidden="false" customHeight="false" outlineLevel="0" collapsed="false">
      <c r="A1754" s="2" t="n">
        <v>240140</v>
      </c>
      <c r="B1754" s="2" t="s">
        <v>1562</v>
      </c>
      <c r="C1754" s="2" t="n">
        <v>3</v>
      </c>
      <c r="D1754" s="2" t="n">
        <v>5</v>
      </c>
      <c r="E1754" s="2" t="n">
        <v>3</v>
      </c>
      <c r="F1754" s="2" t="n">
        <v>239</v>
      </c>
      <c r="G1754" s="2" t="s">
        <v>501</v>
      </c>
      <c r="H1754" s="2" t="str">
        <f aca="false">IFERROR(__xludf.dummyfunction("IF(I1766="""", """", REGEXEXTRACT(I1766, ""Padrao/([^/]+)""))"),"Jardim Canada")</f>
        <v>Jardim Canada</v>
      </c>
    </row>
    <row r="1755" customFormat="false" ht="15.75" hidden="false" customHeight="false" outlineLevel="0" collapsed="false">
      <c r="A1755" s="2" t="n">
        <v>208265</v>
      </c>
      <c r="B1755" s="2" t="s">
        <v>1510</v>
      </c>
      <c r="C1755" s="2" t="n">
        <v>3</v>
      </c>
      <c r="D1755" s="2" t="n">
        <v>5</v>
      </c>
      <c r="E1755" s="2" t="n">
        <v>4</v>
      </c>
      <c r="F1755" s="2" t="n">
        <v>254</v>
      </c>
      <c r="G1755" s="2" t="s">
        <v>501</v>
      </c>
      <c r="H1755" s="2" t="str">
        <f aca="false">IFERROR(__xludf.dummyfunction("IF(I1767="""", """", REGEXEXTRACT(I1767, ""Padrao/([^/]+)""))"),"Jardim Olhos DAgua")</f>
        <v>Jardim Olhos DAgua</v>
      </c>
    </row>
    <row r="1756" customFormat="false" ht="15.75" hidden="false" customHeight="false" outlineLevel="0" collapsed="false">
      <c r="A1756" s="2" t="n">
        <v>215585</v>
      </c>
      <c r="B1756" s="2" t="s">
        <v>1563</v>
      </c>
      <c r="C1756" s="2" t="n">
        <v>4</v>
      </c>
      <c r="D1756" s="2" t="n">
        <v>4</v>
      </c>
      <c r="E1756" s="2" t="n">
        <v>3</v>
      </c>
      <c r="F1756" s="2" t="n">
        <v>367</v>
      </c>
      <c r="G1756" s="2" t="s">
        <v>1564</v>
      </c>
      <c r="H1756" s="2" t="str">
        <f aca="false">IFERROR(__xludf.dummyfunction("IF(I1768="""", """", REGEXEXTRACT(I1768, ""Padrao/([^/]+)""))"),"Jardim Olhos DAgua")</f>
        <v>Jardim Olhos DAgua</v>
      </c>
    </row>
    <row r="1757" customFormat="false" ht="15.75" hidden="false" customHeight="false" outlineLevel="0" collapsed="false">
      <c r="A1757" s="2" t="n">
        <v>243635</v>
      </c>
      <c r="B1757" s="2" t="s">
        <v>1565</v>
      </c>
      <c r="C1757" s="2" t="n">
        <v>1</v>
      </c>
      <c r="D1757" s="2" t="n">
        <v>2</v>
      </c>
      <c r="E1757" s="2" t="n">
        <v>1</v>
      </c>
      <c r="F1757" s="2" t="n">
        <v>54</v>
      </c>
      <c r="G1757" s="2" t="s">
        <v>639</v>
      </c>
      <c r="H1757" s="2" t="str">
        <f aca="false">IFERROR(__xludf.dummyfunction("IF(I1769="""", """", REGEXEXTRACT(I1769, ""Padrao/([^/]+)""))"),"Jardim Sao Luiz")</f>
        <v>Jardim Sao Luiz</v>
      </c>
    </row>
    <row r="1758" customFormat="false" ht="15.75" hidden="false" customHeight="false" outlineLevel="0" collapsed="false">
      <c r="A1758" s="2" t="n">
        <v>129623</v>
      </c>
      <c r="B1758" s="2" t="s">
        <v>1566</v>
      </c>
      <c r="C1758" s="2" t="n">
        <v>4</v>
      </c>
      <c r="D1758" s="2" t="n">
        <v>6</v>
      </c>
      <c r="E1758" s="2" t="n">
        <v>2</v>
      </c>
      <c r="F1758" s="2" t="n">
        <v>152</v>
      </c>
      <c r="G1758" s="2" t="s">
        <v>649</v>
      </c>
      <c r="H1758" s="2" t="str">
        <f aca="false">IFERROR(__xludf.dummyfunction("IF(I1770="""", """", REGEXEXTRACT(I1770, ""Padrao/([^/]+)""))"),"Centro")</f>
        <v>Centro</v>
      </c>
    </row>
    <row r="1759" customFormat="false" ht="15.75" hidden="false" customHeight="false" outlineLevel="0" collapsed="false">
      <c r="A1759" s="2" t="n">
        <v>128363</v>
      </c>
      <c r="B1759" s="2" t="s">
        <v>1567</v>
      </c>
      <c r="C1759" s="2" t="n">
        <v>4</v>
      </c>
      <c r="D1759" s="2" t="n">
        <v>6</v>
      </c>
      <c r="E1759" s="2" t="n">
        <v>2</v>
      </c>
      <c r="F1759" s="2" t="n">
        <v>310</v>
      </c>
      <c r="G1759" s="2" t="s">
        <v>1568</v>
      </c>
      <c r="H1759" s="2" t="str">
        <f aca="false">IFERROR(__xludf.dummyfunction("IF(I1771="""", """", REGEXEXTRACT(I1771, ""Padrao/([^/]+)""))"),"Jardim Botanico")</f>
        <v>Jardim Botanico</v>
      </c>
    </row>
    <row r="1760" customFormat="false" ht="15.75" hidden="false" customHeight="false" outlineLevel="0" collapsed="false">
      <c r="A1760" s="2" t="n">
        <v>239999</v>
      </c>
      <c r="B1760" s="2" t="s">
        <v>1569</v>
      </c>
      <c r="C1760" s="2" t="n">
        <v>2</v>
      </c>
      <c r="D1760" s="2" t="n">
        <v>2</v>
      </c>
      <c r="E1760" s="2" t="n">
        <v>2</v>
      </c>
      <c r="F1760" s="2" t="n">
        <v>83</v>
      </c>
      <c r="G1760" s="2" t="s">
        <v>1534</v>
      </c>
      <c r="H1760" s="2" t="str">
        <f aca="false">IFERROR(__xludf.dummyfunction("IF(I1772="""", """", REGEXEXTRACT(I1772, ""Padrao/([^/]+)""))"),"Nova Alianca")</f>
        <v>Nova Alianca</v>
      </c>
    </row>
    <row r="1761" customFormat="false" ht="15.75" hidden="false" customHeight="false" outlineLevel="0" collapsed="false">
      <c r="A1761" s="2" t="n">
        <v>244847</v>
      </c>
      <c r="B1761" s="2" t="s">
        <v>1570</v>
      </c>
      <c r="C1761" s="2" t="n">
        <v>2</v>
      </c>
      <c r="D1761" s="2" t="n">
        <v>1</v>
      </c>
      <c r="E1761" s="2" t="n">
        <v>1</v>
      </c>
      <c r="F1761" s="2" t="n">
        <v>49</v>
      </c>
      <c r="G1761" s="2" t="s">
        <v>1571</v>
      </c>
      <c r="H1761" s="2" t="str">
        <f aca="false">IFERROR(__xludf.dummyfunction("IF(I1773="""", """", REGEXEXTRACT(I1773, ""Padrao/([^/]+)""))"),"Setor Central")</f>
        <v>Setor Central</v>
      </c>
    </row>
    <row r="1762" customFormat="false" ht="15.75" hidden="false" customHeight="false" outlineLevel="0" collapsed="false">
      <c r="A1762" s="2" t="n">
        <v>173078</v>
      </c>
      <c r="B1762" s="2" t="s">
        <v>1572</v>
      </c>
      <c r="C1762" s="2" t="n">
        <v>2</v>
      </c>
      <c r="D1762" s="2" t="n">
        <v>2</v>
      </c>
      <c r="E1762" s="2" t="n">
        <v>1</v>
      </c>
      <c r="F1762" s="2" t="n">
        <v>59</v>
      </c>
      <c r="G1762" s="2" t="s">
        <v>1573</v>
      </c>
      <c r="H1762" s="2" t="str">
        <f aca="false">IFERROR(__xludf.dummyfunction("IF(I1774="""", """", REGEXEXTRACT(I1774, ""Padrao/([^/]+)""))"),"Ribeirania")</f>
        <v>Ribeirania</v>
      </c>
    </row>
    <row r="1763" customFormat="false" ht="15.75" hidden="false" customHeight="false" outlineLevel="0" collapsed="false">
      <c r="A1763" s="2" t="n">
        <v>124070</v>
      </c>
      <c r="B1763" s="2" t="s">
        <v>1574</v>
      </c>
      <c r="C1763" s="2" t="n">
        <v>3</v>
      </c>
      <c r="D1763" s="2" t="n">
        <v>3</v>
      </c>
      <c r="E1763" s="2" t="n">
        <v>2</v>
      </c>
      <c r="F1763" s="2" t="n">
        <v>112</v>
      </c>
      <c r="G1763" s="2" t="s">
        <v>1575</v>
      </c>
      <c r="H1763" s="2" t="str">
        <f aca="false">IFERROR(__xludf.dummyfunction("IF(I1775="""", """", REGEXEXTRACT(I1775, ""Padrao/([^/]+)""))"),"Nova Alianca")</f>
        <v>Nova Alianca</v>
      </c>
    </row>
    <row r="1764" customFormat="false" ht="15.75" hidden="false" customHeight="false" outlineLevel="0" collapsed="false">
      <c r="A1764" s="2" t="n">
        <v>200123</v>
      </c>
      <c r="B1764" s="2" t="s">
        <v>605</v>
      </c>
      <c r="C1764" s="2" t="n">
        <v>2</v>
      </c>
      <c r="D1764" s="2" t="n">
        <v>1</v>
      </c>
      <c r="E1764" s="2" t="n">
        <v>1</v>
      </c>
      <c r="F1764" s="2" t="n">
        <v>120</v>
      </c>
      <c r="G1764" s="2" t="s">
        <v>1519</v>
      </c>
      <c r="H1764" s="2" t="str">
        <f aca="false">IFERROR(__xludf.dummyfunction("IF(I1776="""", """", REGEXEXTRACT(I1776, ""Padrao/([^/]+)""))"),"Campos Eliseos")</f>
        <v>Campos Eliseos</v>
      </c>
    </row>
    <row r="1765" customFormat="false" ht="15.75" hidden="false" customHeight="false" outlineLevel="0" collapsed="false">
      <c r="A1765" s="2" t="n">
        <v>167954</v>
      </c>
      <c r="B1765" s="2" t="s">
        <v>1576</v>
      </c>
      <c r="C1765" s="2" t="n">
        <v>2</v>
      </c>
      <c r="D1765" s="2" t="n">
        <v>1</v>
      </c>
      <c r="E1765" s="2" t="n">
        <v>1</v>
      </c>
      <c r="F1765" s="2" t="n">
        <v>55</v>
      </c>
      <c r="G1765" s="2" t="s">
        <v>1577</v>
      </c>
      <c r="H1765" s="2" t="str">
        <f aca="false">IFERROR(__xludf.dummyfunction("IF(I1777="""", """", REGEXEXTRACT(I1777, ""Padrao/([^/]+)""))"),"Iguatemi")</f>
        <v>Iguatemi</v>
      </c>
    </row>
    <row r="1766" customFormat="false" ht="15.75" hidden="false" customHeight="false" outlineLevel="0" collapsed="false">
      <c r="A1766" s="2" t="n">
        <v>232718</v>
      </c>
      <c r="B1766" s="2" t="s">
        <v>1578</v>
      </c>
      <c r="C1766" s="2" t="n">
        <v>2</v>
      </c>
      <c r="D1766" s="2" t="n">
        <v>2</v>
      </c>
      <c r="E1766" s="2" t="n">
        <v>1</v>
      </c>
      <c r="F1766" s="2" t="n">
        <v>70</v>
      </c>
      <c r="G1766" s="2" t="s">
        <v>648</v>
      </c>
      <c r="H1766" s="2" t="str">
        <f aca="false">IFERROR(__xludf.dummyfunction("IF(I1778="""", """", REGEXEXTRACT(I1778, ""Padrao/([^/]+)""))"),"Vila Ana Maria")</f>
        <v>Vila Ana Maria</v>
      </c>
    </row>
    <row r="1767" customFormat="false" ht="15.75" hidden="false" customHeight="false" outlineLevel="0" collapsed="false">
      <c r="A1767" s="2" t="n">
        <v>128366</v>
      </c>
      <c r="B1767" s="2" t="s">
        <v>162</v>
      </c>
      <c r="C1767" s="2" t="n">
        <v>4</v>
      </c>
      <c r="D1767" s="2" t="n">
        <v>6</v>
      </c>
      <c r="E1767" s="2" t="n">
        <v>2</v>
      </c>
      <c r="F1767" s="2" t="n">
        <v>310</v>
      </c>
      <c r="G1767" s="2" t="s">
        <v>1579</v>
      </c>
      <c r="H1767" s="2" t="str">
        <f aca="false">IFERROR(__xludf.dummyfunction("IF(I1779="""", """", REGEXEXTRACT(I1779, ""Padrao/([^/]+)""))"),"Jardim Botanico")</f>
        <v>Jardim Botanico</v>
      </c>
    </row>
    <row r="1768" customFormat="false" ht="15.75" hidden="false" customHeight="false" outlineLevel="0" collapsed="false">
      <c r="A1768" s="2" t="n">
        <v>116216</v>
      </c>
      <c r="B1768" s="2" t="s">
        <v>1580</v>
      </c>
      <c r="C1768" s="2" t="n">
        <v>2</v>
      </c>
      <c r="D1768" s="2" t="n">
        <v>2</v>
      </c>
      <c r="E1768" s="2" t="n">
        <v>2</v>
      </c>
      <c r="F1768" s="2" t="n">
        <v>83</v>
      </c>
      <c r="G1768" s="2" t="s">
        <v>1581</v>
      </c>
      <c r="H1768" s="2" t="str">
        <f aca="false">IFERROR(__xludf.dummyfunction("IF(I1780="""", """", REGEXEXTRACT(I1780, ""Padrao/([^/]+)""))"),"Vila Seixas")</f>
        <v>Vila Seixas</v>
      </c>
    </row>
    <row r="1769" customFormat="false" ht="15.75" hidden="false" customHeight="false" outlineLevel="0" collapsed="false">
      <c r="A1769" s="2" t="n">
        <v>164522</v>
      </c>
      <c r="B1769" s="2" t="s">
        <v>1582</v>
      </c>
      <c r="C1769" s="2" t="n">
        <v>2</v>
      </c>
      <c r="D1769" s="2" t="n">
        <v>2</v>
      </c>
      <c r="E1769" s="2" t="n">
        <v>1</v>
      </c>
      <c r="F1769" s="2" t="n">
        <v>64</v>
      </c>
      <c r="G1769" s="2" t="s">
        <v>1501</v>
      </c>
      <c r="H1769" s="2" t="str">
        <f aca="false">IFERROR(__xludf.dummyfunction("IF(I1781="""", """", REGEXEXTRACT(I1781, ""Padrao/([^/]+)""))"),"Vila Monte Alegre")</f>
        <v>Vila Monte Alegre</v>
      </c>
    </row>
    <row r="1770" customFormat="false" ht="15.75" hidden="false" customHeight="false" outlineLevel="0" collapsed="false">
      <c r="A1770" s="2" t="n">
        <v>234983</v>
      </c>
      <c r="B1770" s="2" t="s">
        <v>1583</v>
      </c>
      <c r="C1770" s="2" t="n">
        <v>3</v>
      </c>
      <c r="D1770" s="2" t="n">
        <v>3</v>
      </c>
      <c r="E1770" s="2" t="n">
        <v>2</v>
      </c>
      <c r="F1770" s="2" t="n">
        <v>109</v>
      </c>
      <c r="G1770" s="2" t="s">
        <v>1534</v>
      </c>
      <c r="H1770" s="2" t="str">
        <f aca="false">IFERROR(__xludf.dummyfunction("IF(I1782="""", """", REGEXEXTRACT(I1782, ""Padrao/([^/]+)""))"),"Parque dos Bandeirantes")</f>
        <v>Parque dos Bandeirantes</v>
      </c>
    </row>
    <row r="1771" customFormat="false" ht="15.75" hidden="false" customHeight="false" outlineLevel="0" collapsed="false">
      <c r="A1771" s="2" t="n">
        <v>220121</v>
      </c>
      <c r="B1771" s="2" t="s">
        <v>1584</v>
      </c>
      <c r="C1771" s="2" t="n">
        <v>3</v>
      </c>
      <c r="D1771" s="2" t="n">
        <v>3</v>
      </c>
      <c r="E1771" s="2" t="n">
        <v>1</v>
      </c>
      <c r="F1771" s="2" t="n">
        <v>134</v>
      </c>
      <c r="G1771" s="2" t="s">
        <v>648</v>
      </c>
      <c r="H1771" s="2" t="str">
        <f aca="false">IFERROR(__xludf.dummyfunction("IF(I1783="""", """", REGEXEXTRACT(I1783, ""Padrao/([^/]+)""))"),"Jardim Sumare")</f>
        <v>Jardim Sumare</v>
      </c>
    </row>
    <row r="1772" customFormat="false" ht="15.75" hidden="false" customHeight="false" outlineLevel="0" collapsed="false">
      <c r="A1772" s="2" t="n">
        <v>226295</v>
      </c>
      <c r="B1772" s="2" t="s">
        <v>1585</v>
      </c>
      <c r="C1772" s="2" t="n">
        <v>1</v>
      </c>
      <c r="D1772" s="2" t="n">
        <v>1</v>
      </c>
      <c r="E1772" s="2" t="n">
        <v>1</v>
      </c>
      <c r="F1772" s="2" t="n">
        <v>35</v>
      </c>
      <c r="G1772" s="2" t="s">
        <v>1581</v>
      </c>
      <c r="H1772" s="2" t="str">
        <f aca="false">IFERROR(__xludf.dummyfunction("IF(I1784="""", """", REGEXEXTRACT(I1784, ""Padrao/([^/]+)""))"),"Jardim Botanico")</f>
        <v>Jardim Botanico</v>
      </c>
    </row>
    <row r="1773" customFormat="false" ht="15.75" hidden="false" customHeight="false" outlineLevel="0" collapsed="false">
      <c r="A1773" s="2" t="n">
        <v>216410</v>
      </c>
      <c r="B1773" s="2" t="s">
        <v>1586</v>
      </c>
      <c r="C1773" s="2" t="n">
        <v>2</v>
      </c>
      <c r="D1773" s="2" t="n">
        <v>2</v>
      </c>
      <c r="E1773" s="2" t="n">
        <v>1</v>
      </c>
      <c r="F1773" s="2" t="n">
        <v>77</v>
      </c>
      <c r="G1773" s="2" t="s">
        <v>1556</v>
      </c>
      <c r="H1773" s="2" t="str">
        <f aca="false">IFERROR(__xludf.dummyfunction("IF(I1785="""", """", REGEXEXTRACT(I1785, ""Padrao/([^/]+)""))"),"Jardim Nova Alianca Sul")</f>
        <v>Jardim Nova Alianca Sul</v>
      </c>
    </row>
    <row r="1774" customFormat="false" ht="15.75" hidden="false" customHeight="false" outlineLevel="0" collapsed="false">
      <c r="A1774" s="2" t="n">
        <v>133595</v>
      </c>
      <c r="B1774" s="2" t="s">
        <v>1587</v>
      </c>
      <c r="C1774" s="2" t="n">
        <v>2</v>
      </c>
      <c r="D1774" s="2" t="n">
        <v>2</v>
      </c>
      <c r="E1774" s="2" t="n">
        <v>1</v>
      </c>
      <c r="F1774" s="2" t="n">
        <v>92</v>
      </c>
      <c r="G1774" s="2" t="s">
        <v>1559</v>
      </c>
      <c r="H1774" s="2" t="str">
        <f aca="false">IFERROR(__xludf.dummyfunction("IF(I1786="""", """", REGEXEXTRACT(I1786, ""Padrao/([^/]+)""))"),"Jardim Botanico")</f>
        <v>Jardim Botanico</v>
      </c>
    </row>
    <row r="1775" customFormat="false" ht="15.75" hidden="false" customHeight="false" outlineLevel="0" collapsed="false">
      <c r="A1775" s="2" t="n">
        <v>85190</v>
      </c>
      <c r="B1775" s="2" t="s">
        <v>1588</v>
      </c>
      <c r="C1775" s="2" t="n">
        <v>2</v>
      </c>
      <c r="D1775" s="2" t="n">
        <v>1</v>
      </c>
      <c r="E1775" s="2" t="n">
        <v>1</v>
      </c>
      <c r="F1775" s="2" t="n">
        <v>56</v>
      </c>
      <c r="G1775" s="2" t="s">
        <v>1559</v>
      </c>
      <c r="H1775" s="2" t="str">
        <f aca="false">IFERROR(__xludf.dummyfunction("IF(I1787="""", """", REGEXEXTRACT(I1787, ""Padrao/([^/]+)""))"),"Bosque das Juritis")</f>
        <v>Bosque das Juritis</v>
      </c>
    </row>
    <row r="1776" customFormat="false" ht="15.75" hidden="false" customHeight="false" outlineLevel="0" collapsed="false">
      <c r="A1776" s="2" t="n">
        <v>88367</v>
      </c>
      <c r="B1776" s="2" t="s">
        <v>1589</v>
      </c>
      <c r="C1776" s="2" t="n">
        <v>3</v>
      </c>
      <c r="D1776" s="2" t="n">
        <v>2</v>
      </c>
      <c r="E1776" s="2" t="n">
        <v>2</v>
      </c>
      <c r="F1776" s="2" t="n">
        <v>75</v>
      </c>
      <c r="G1776" s="2" t="s">
        <v>1590</v>
      </c>
      <c r="H1776" s="2" t="str">
        <f aca="false">IFERROR(__xludf.dummyfunction("IF(I1788="""", """", REGEXEXTRACT(I1788, ""Padrao/([^/]+)""))"),"Jardim Botanico")</f>
        <v>Jardim Botanico</v>
      </c>
    </row>
    <row r="1777" customFormat="false" ht="15.75" hidden="false" customHeight="false" outlineLevel="0" collapsed="false">
      <c r="A1777" s="2" t="n">
        <v>196724</v>
      </c>
      <c r="B1777" s="2" t="s">
        <v>1591</v>
      </c>
      <c r="C1777" s="2" t="n">
        <v>4</v>
      </c>
      <c r="D1777" s="2" t="n">
        <v>5</v>
      </c>
      <c r="E1777" s="2" t="n">
        <v>3</v>
      </c>
      <c r="F1777" s="2" t="n">
        <v>283</v>
      </c>
      <c r="G1777" s="2" t="s">
        <v>1592</v>
      </c>
      <c r="H1777" s="2" t="str">
        <f aca="false">IFERROR(__xludf.dummyfunction("IF(I1789="""", """", REGEXEXTRACT(I1789, ""Padrao/([^/]+)""))"),"Jardim Ilhas do Sul")</f>
        <v>Jardim Ilhas do Sul</v>
      </c>
    </row>
    <row r="1778" customFormat="false" ht="15.75" hidden="false" customHeight="false" outlineLevel="0" collapsed="false">
      <c r="A1778" s="2" t="n">
        <v>167957</v>
      </c>
      <c r="B1778" s="2" t="s">
        <v>1576</v>
      </c>
      <c r="C1778" s="2" t="n">
        <v>2</v>
      </c>
      <c r="D1778" s="2" t="n">
        <v>1</v>
      </c>
      <c r="E1778" s="2" t="n">
        <v>1</v>
      </c>
      <c r="F1778" s="2" t="n">
        <v>55</v>
      </c>
      <c r="G1778" s="2" t="s">
        <v>1593</v>
      </c>
      <c r="H1778" s="2" t="str">
        <f aca="false">IFERROR(__xludf.dummyfunction("IF(I1790="""", """", REGEXEXTRACT(I1790, ""Padrao/([^/]+)""))"),"Iguatemi")</f>
        <v>Iguatemi</v>
      </c>
    </row>
    <row r="1779" customFormat="false" ht="15.75" hidden="false" customHeight="false" outlineLevel="0" collapsed="false">
      <c r="A1779" s="2" t="n">
        <v>235046</v>
      </c>
      <c r="B1779" s="2" t="s">
        <v>1594</v>
      </c>
      <c r="C1779" s="2" t="n">
        <v>3</v>
      </c>
      <c r="D1779" s="2" t="n">
        <v>3</v>
      </c>
      <c r="E1779" s="2" t="n">
        <v>2</v>
      </c>
      <c r="F1779" s="2" t="n">
        <v>104</v>
      </c>
      <c r="G1779" s="2" t="s">
        <v>1595</v>
      </c>
      <c r="H1779" s="2" t="str">
        <f aca="false">IFERROR(__xludf.dummyfunction("IF(I1791="""", """", REGEXEXTRACT(I1791, ""Padrao/([^/]+)""))"),"Bosque das Juritis")</f>
        <v>Bosque das Juritis</v>
      </c>
    </row>
    <row r="1780" customFormat="false" ht="15.75" hidden="false" customHeight="false" outlineLevel="0" collapsed="false">
      <c r="A1780" s="2" t="n">
        <v>163235</v>
      </c>
      <c r="B1780" s="2" t="s">
        <v>1596</v>
      </c>
      <c r="C1780" s="2" t="n">
        <v>1</v>
      </c>
      <c r="D1780" s="2" t="n">
        <v>1</v>
      </c>
      <c r="E1780" s="2" t="n">
        <v>1</v>
      </c>
      <c r="F1780" s="2" t="n">
        <v>34</v>
      </c>
      <c r="G1780" s="2" t="s">
        <v>474</v>
      </c>
      <c r="H1780" s="2" t="str">
        <f aca="false">IFERROR(__xludf.dummyfunction("IF(I1792="""", """", REGEXEXTRACT(I1792, ""Padrao/([^/]+)""))"),"Centro")</f>
        <v>Centro</v>
      </c>
    </row>
    <row r="1781" customFormat="false" ht="15.75" hidden="false" customHeight="false" outlineLevel="0" collapsed="false">
      <c r="A1781" s="2" t="n">
        <v>229586</v>
      </c>
      <c r="B1781" s="2" t="s">
        <v>1597</v>
      </c>
      <c r="C1781" s="2" t="n">
        <v>4</v>
      </c>
      <c r="D1781" s="2" t="n">
        <v>7</v>
      </c>
      <c r="E1781" s="2" t="n">
        <v>5</v>
      </c>
      <c r="F1781" s="2" t="n">
        <v>376</v>
      </c>
      <c r="G1781" s="2" t="s">
        <v>1598</v>
      </c>
      <c r="H1781" s="2" t="str">
        <f aca="false">IFERROR(__xludf.dummyfunction("IF(I1793="""", """", REGEXEXTRACT(I1793, ""Padrao/([^/]+)""))"),"Jardim Ilhas do Sul")</f>
        <v>Jardim Ilhas do Sul</v>
      </c>
    </row>
    <row r="1782" customFormat="false" ht="15.75" hidden="false" customHeight="false" outlineLevel="0" collapsed="false">
      <c r="A1782" s="2" t="n">
        <v>241874</v>
      </c>
      <c r="B1782" s="2" t="s">
        <v>1599</v>
      </c>
      <c r="C1782" s="2" t="n">
        <v>3</v>
      </c>
      <c r="D1782" s="2" t="n">
        <v>5</v>
      </c>
      <c r="E1782" s="2" t="n">
        <v>3</v>
      </c>
      <c r="F1782" s="2" t="n">
        <v>191</v>
      </c>
      <c r="G1782" s="2" t="s">
        <v>1600</v>
      </c>
      <c r="H1782" s="2" t="str">
        <f aca="false">IFERROR(__xludf.dummyfunction("IF(I1794="""", """", REGEXEXTRACT(I1794, ""Padrao/([^/]+)""))"),"Vila do Golf")</f>
        <v>Vila do Golf</v>
      </c>
    </row>
    <row r="1783" customFormat="false" ht="15.75" hidden="false" customHeight="false" outlineLevel="0" collapsed="false">
      <c r="A1783" s="2" t="n">
        <v>213509</v>
      </c>
      <c r="B1783" s="2" t="s">
        <v>1601</v>
      </c>
      <c r="C1783" s="2" t="n">
        <v>4</v>
      </c>
      <c r="D1783" s="2" t="n">
        <v>5</v>
      </c>
      <c r="E1783" s="2" t="n">
        <v>4</v>
      </c>
      <c r="F1783" s="2" t="n">
        <v>298</v>
      </c>
      <c r="G1783" s="2" t="s">
        <v>1600</v>
      </c>
      <c r="H1783" s="2" t="str">
        <f aca="false">IFERROR(__xludf.dummyfunction("IF(I1795="""", """", REGEXEXTRACT(I1795, ""Padrao/([^/]+)""))"),"Jardim Olhos DAgua")</f>
        <v>Jardim Olhos DAgua</v>
      </c>
    </row>
    <row r="1784" customFormat="false" ht="15.75" hidden="false" customHeight="false" outlineLevel="0" collapsed="false">
      <c r="A1784" s="2" t="n">
        <v>234233</v>
      </c>
      <c r="B1784" s="2" t="s">
        <v>1602</v>
      </c>
      <c r="C1784" s="2" t="n">
        <v>3</v>
      </c>
      <c r="D1784" s="2" t="n">
        <v>5</v>
      </c>
      <c r="E1784" s="2" t="n">
        <v>4</v>
      </c>
      <c r="F1784" s="2" t="n">
        <v>345</v>
      </c>
      <c r="G1784" s="2" t="s">
        <v>1603</v>
      </c>
      <c r="H1784" s="2" t="str">
        <f aca="false">IFERROR(__xludf.dummyfunction("IF(I1796="""", """", REGEXEXTRACT(I1796, ""Padrao/([^/]+)""))"),"Residencial Morro do Ipe")</f>
        <v>Residencial Morro do Ipe</v>
      </c>
    </row>
    <row r="1785" customFormat="false" ht="15.75" hidden="false" customHeight="false" outlineLevel="0" collapsed="false">
      <c r="A1785" s="2" t="n">
        <v>217487</v>
      </c>
      <c r="B1785" s="2" t="s">
        <v>1185</v>
      </c>
      <c r="C1785" s="2" t="n">
        <v>2</v>
      </c>
      <c r="D1785" s="2" t="n">
        <v>1</v>
      </c>
      <c r="E1785" s="2" t="n">
        <v>1</v>
      </c>
      <c r="F1785" s="2" t="n">
        <v>40</v>
      </c>
      <c r="G1785" s="2" t="s">
        <v>425</v>
      </c>
      <c r="H1785" s="2" t="str">
        <f aca="false">IFERROR(__xludf.dummyfunction("IF(I1797="""", """", REGEXEXTRACT(I1797, ""Padrao/([^/]+)""))"),"Jardim Cybelli")</f>
        <v>Jardim Cybelli</v>
      </c>
    </row>
    <row r="1786" customFormat="false" ht="15.75" hidden="false" customHeight="false" outlineLevel="0" collapsed="false">
      <c r="A1786" s="2" t="n">
        <v>57191</v>
      </c>
      <c r="B1786" s="2" t="s">
        <v>1604</v>
      </c>
      <c r="C1786" s="2" t="n">
        <v>3</v>
      </c>
      <c r="D1786" s="2" t="n">
        <v>1</v>
      </c>
      <c r="E1786" s="2" t="n">
        <v>1</v>
      </c>
      <c r="F1786" s="2" t="n">
        <v>53</v>
      </c>
      <c r="G1786" s="2" t="s">
        <v>435</v>
      </c>
      <c r="H1786" s="2" t="str">
        <f aca="false">IFERROR(__xludf.dummyfunction("IF(I1798="""", """", REGEXEXTRACT(I1798, ""Padrao/([^/]+)""))"),"Jardim Paulistano")</f>
        <v>Jardim Paulistano</v>
      </c>
    </row>
    <row r="1787" customFormat="false" ht="15.75" hidden="false" customHeight="false" outlineLevel="0" collapsed="false">
      <c r="A1787" s="2" t="n">
        <v>179207</v>
      </c>
      <c r="B1787" s="2" t="s">
        <v>1420</v>
      </c>
      <c r="C1787" s="2" t="n">
        <v>1</v>
      </c>
      <c r="D1787" s="2" t="n">
        <v>1</v>
      </c>
      <c r="E1787" s="2" t="n">
        <v>1</v>
      </c>
      <c r="F1787" s="2" t="n">
        <v>49</v>
      </c>
      <c r="G1787" s="2" t="s">
        <v>446</v>
      </c>
      <c r="H1787" s="2" t="str">
        <f aca="false">IFERROR(__xludf.dummyfunction("IF(I1799="""", """", REGEXEXTRACT(I1799, ""Padrao/([^/]+)""))"),"Centro")</f>
        <v>Centro</v>
      </c>
    </row>
    <row r="1788" customFormat="false" ht="15.75" hidden="false" customHeight="false" outlineLevel="0" collapsed="false">
      <c r="A1788" s="2" t="n">
        <v>85556</v>
      </c>
      <c r="B1788" s="2" t="s">
        <v>162</v>
      </c>
      <c r="C1788" s="2" t="n">
        <v>1</v>
      </c>
      <c r="D1788" s="2" t="n">
        <v>1</v>
      </c>
      <c r="E1788" s="2" t="n">
        <v>1</v>
      </c>
      <c r="F1788" s="2" t="n">
        <v>64</v>
      </c>
      <c r="G1788" s="2" t="s">
        <v>446</v>
      </c>
      <c r="H1788" s="2" t="str">
        <f aca="false">IFERROR(__xludf.dummyfunction("IF(I1800="""", """", REGEXEXTRACT(I1800, ""Padrao/([^/]+)""))"),"Centro")</f>
        <v>Centro</v>
      </c>
    </row>
    <row r="1789" customFormat="false" ht="15.75" hidden="false" customHeight="false" outlineLevel="0" collapsed="false">
      <c r="A1789" s="2" t="n">
        <v>228110</v>
      </c>
      <c r="B1789" s="2" t="s">
        <v>1605</v>
      </c>
      <c r="C1789" s="2" t="n">
        <v>2</v>
      </c>
      <c r="D1789" s="2" t="n">
        <v>1</v>
      </c>
      <c r="E1789" s="2" t="n">
        <v>1</v>
      </c>
      <c r="F1789" s="2" t="n">
        <v>57</v>
      </c>
      <c r="G1789" s="2" t="s">
        <v>459</v>
      </c>
      <c r="H1789" s="2" t="str">
        <f aca="false">IFERROR(__xludf.dummyfunction("IF(I1801="""", """", REGEXEXTRACT(I1801, ""Padrao/([^/]+)""))"),"Jardim Paulista")</f>
        <v>Jardim Paulista</v>
      </c>
    </row>
    <row r="1790" customFormat="false" ht="15.75" hidden="false" customHeight="false" outlineLevel="0" collapsed="false">
      <c r="A1790" s="2" t="n">
        <v>184787</v>
      </c>
      <c r="B1790" s="2" t="s">
        <v>1606</v>
      </c>
      <c r="C1790" s="2" t="n">
        <v>2</v>
      </c>
      <c r="D1790" s="2" t="n">
        <v>1</v>
      </c>
      <c r="E1790" s="2" t="n">
        <v>1</v>
      </c>
      <c r="F1790" s="2" t="n">
        <v>48</v>
      </c>
      <c r="G1790" s="2" t="s">
        <v>464</v>
      </c>
      <c r="H1790" s="2" t="str">
        <f aca="false">IFERROR(__xludf.dummyfunction("IF(I1802="""", """", REGEXEXTRACT(I1802, ""Padrao/([^/]+)""))"),"Jardim Sao Fernando")</f>
        <v>Jardim Sao Fernando</v>
      </c>
    </row>
    <row r="1791" customFormat="false" ht="15.75" hidden="false" customHeight="false" outlineLevel="0" collapsed="false">
      <c r="A1791" s="2" t="n">
        <v>95033</v>
      </c>
      <c r="B1791" s="2" t="s">
        <v>1607</v>
      </c>
      <c r="C1791" s="2" t="n">
        <v>2</v>
      </c>
      <c r="D1791" s="2" t="n">
        <v>1</v>
      </c>
      <c r="E1791" s="2" t="n">
        <v>1</v>
      </c>
      <c r="F1791" s="2" t="n">
        <v>47</v>
      </c>
      <c r="G1791" s="2" t="s">
        <v>464</v>
      </c>
      <c r="H1791" s="2" t="str">
        <f aca="false">IFERROR(__xludf.dummyfunction("IF(I1803="""", """", REGEXEXTRACT(I1803, ""Padrao/([^/]+)""))"),"Parque Sao Sebastiao")</f>
        <v>Parque Sao Sebastiao</v>
      </c>
    </row>
    <row r="1792" customFormat="false" ht="15.75" hidden="false" customHeight="false" outlineLevel="0" collapsed="false">
      <c r="A1792" s="2" t="n">
        <v>220082</v>
      </c>
      <c r="B1792" s="2" t="s">
        <v>1043</v>
      </c>
      <c r="C1792" s="2" t="n">
        <v>2</v>
      </c>
      <c r="D1792" s="2" t="n">
        <v>1</v>
      </c>
      <c r="E1792" s="2" t="n">
        <v>1</v>
      </c>
      <c r="F1792" s="2" t="n">
        <v>43</v>
      </c>
      <c r="G1792" s="2" t="s">
        <v>472</v>
      </c>
      <c r="H1792" s="2" t="str">
        <f aca="false">IFERROR(__xludf.dummyfunction("IF(I1804="""", """", REGEXEXTRACT(I1804, ""Padrao/([^/]+)""))"),"Loteamento Santa Marta")</f>
        <v>Loteamento Santa Marta</v>
      </c>
    </row>
    <row r="1793" customFormat="false" ht="15.75" hidden="false" customHeight="false" outlineLevel="0" collapsed="false">
      <c r="A1793" s="2" t="n">
        <v>214004</v>
      </c>
      <c r="B1793" s="2" t="s">
        <v>1608</v>
      </c>
      <c r="C1793" s="2" t="n">
        <v>2</v>
      </c>
      <c r="D1793" s="2" t="n">
        <v>1</v>
      </c>
      <c r="E1793" s="2" t="n">
        <v>1</v>
      </c>
      <c r="F1793" s="2" t="n">
        <v>42</v>
      </c>
      <c r="G1793" s="2" t="s">
        <v>472</v>
      </c>
      <c r="H1793" s="2" t="str">
        <f aca="false">IFERROR(__xludf.dummyfunction("IF(I1805="""", """", REGEXEXTRACT(I1805, ""Padrao/([^/]+)""))"),"Quintino Facci II")</f>
        <v>Quintino Facci II</v>
      </c>
    </row>
    <row r="1794" customFormat="false" ht="15.75" hidden="false" customHeight="false" outlineLevel="0" collapsed="false">
      <c r="A1794" s="2" t="n">
        <v>208001</v>
      </c>
      <c r="B1794" s="2" t="s">
        <v>1609</v>
      </c>
      <c r="C1794" s="2" t="n">
        <v>1</v>
      </c>
      <c r="D1794" s="2" t="n">
        <v>1</v>
      </c>
      <c r="E1794" s="2" t="n">
        <v>1</v>
      </c>
      <c r="F1794" s="2" t="n">
        <v>34</v>
      </c>
      <c r="G1794" s="2" t="s">
        <v>472</v>
      </c>
      <c r="H1794" s="2" t="str">
        <f aca="false">IFERROR(__xludf.dummyfunction("IF(I1806="""", """", REGEXEXTRACT(I1806, ""Padrao/([^/]+)""))"),"Residencial Greenville")</f>
        <v>Residencial Greenville</v>
      </c>
    </row>
    <row r="1795" customFormat="false" ht="15.75" hidden="false" customHeight="false" outlineLevel="0" collapsed="false">
      <c r="A1795" s="2" t="n">
        <v>206876</v>
      </c>
      <c r="B1795" s="2" t="s">
        <v>1610</v>
      </c>
      <c r="C1795" s="2" t="n">
        <v>2</v>
      </c>
      <c r="D1795" s="2" t="n">
        <v>1</v>
      </c>
      <c r="E1795" s="2" t="n">
        <v>1</v>
      </c>
      <c r="F1795" s="2" t="n">
        <v>43</v>
      </c>
      <c r="G1795" s="2" t="s">
        <v>472</v>
      </c>
      <c r="H1795" s="2" t="str">
        <f aca="false">IFERROR(__xludf.dummyfunction("IF(I1807="""", """", REGEXEXTRACT(I1807, ""Padrao/([^/]+)""))"),"Loteamento Santa Marta")</f>
        <v>Loteamento Santa Marta</v>
      </c>
    </row>
    <row r="1796" customFormat="false" ht="15.75" hidden="false" customHeight="false" outlineLevel="0" collapsed="false">
      <c r="A1796" s="2" t="n">
        <v>191351</v>
      </c>
      <c r="B1796" s="2" t="s">
        <v>1373</v>
      </c>
      <c r="C1796" s="2" t="n">
        <v>3</v>
      </c>
      <c r="D1796" s="2" t="n">
        <v>1</v>
      </c>
      <c r="E1796" s="2" t="n">
        <v>1</v>
      </c>
      <c r="F1796" s="2" t="n">
        <v>81</v>
      </c>
      <c r="G1796" s="2" t="s">
        <v>472</v>
      </c>
      <c r="H1796" s="2" t="str">
        <f aca="false">IFERROR(__xludf.dummyfunction("IF(I1808="""", """", REGEXEXTRACT(I1808, ""Padrao/([^/]+)""))"),"Jardim Paulistano")</f>
        <v>Jardim Paulistano</v>
      </c>
    </row>
    <row r="1797" customFormat="false" ht="15.75" hidden="false" customHeight="false" outlineLevel="0" collapsed="false">
      <c r="A1797" s="2" t="n">
        <v>117512</v>
      </c>
      <c r="B1797" s="2" t="s">
        <v>162</v>
      </c>
      <c r="C1797" s="2" t="n">
        <v>2</v>
      </c>
      <c r="D1797" s="2" t="n">
        <v>1</v>
      </c>
      <c r="E1797" s="2" t="n">
        <v>1</v>
      </c>
      <c r="F1797" s="2" t="n">
        <v>43</v>
      </c>
      <c r="G1797" s="2" t="s">
        <v>472</v>
      </c>
      <c r="H1797" s="2" t="str">
        <f aca="false">IFERROR(__xludf.dummyfunction("IF(I1809="""", """", REGEXEXTRACT(I1809, ""Padrao/([^/]+)""))"),"Vila Virginia")</f>
        <v>Vila Virginia</v>
      </c>
    </row>
    <row r="1798" customFormat="false" ht="15.75" hidden="false" customHeight="false" outlineLevel="0" collapsed="false">
      <c r="A1798" s="2" t="n">
        <v>84194</v>
      </c>
      <c r="B1798" s="2" t="s">
        <v>162</v>
      </c>
      <c r="C1798" s="2" t="n">
        <v>2</v>
      </c>
      <c r="D1798" s="2" t="n">
        <v>2</v>
      </c>
      <c r="E1798" s="2" t="n">
        <v>1</v>
      </c>
      <c r="F1798" s="2" t="n">
        <v>55</v>
      </c>
      <c r="G1798" s="2" t="s">
        <v>472</v>
      </c>
      <c r="H1798" s="2" t="str">
        <f aca="false">IFERROR(__xludf.dummyfunction("IF(I1810="""", """", REGEXEXTRACT(I1810, ""Padrao/([^/]+)""))"),"Jardim Zara")</f>
        <v>Jardim Zara</v>
      </c>
    </row>
    <row r="1799" customFormat="false" ht="15.75" hidden="false" customHeight="false" outlineLevel="0" collapsed="false">
      <c r="A1799" s="2" t="n">
        <v>148223</v>
      </c>
      <c r="B1799" s="2" t="s">
        <v>1082</v>
      </c>
      <c r="C1799" s="2" t="n">
        <v>2</v>
      </c>
      <c r="D1799" s="2" t="n">
        <v>1</v>
      </c>
      <c r="E1799" s="2" t="n">
        <v>1</v>
      </c>
      <c r="F1799" s="2" t="n">
        <v>41</v>
      </c>
      <c r="G1799" s="2" t="s">
        <v>474</v>
      </c>
      <c r="H1799" s="2" t="str">
        <f aca="false">IFERROR(__xludf.dummyfunction("IF(I1811="""", """", REGEXEXTRACT(I1811, ""Padrao/([^/]+)""))"),"Residencial Jequitiba")</f>
        <v>Residencial Jequitiba</v>
      </c>
    </row>
    <row r="1800" customFormat="false" ht="15.75" hidden="false" customHeight="false" outlineLevel="0" collapsed="false">
      <c r="A1800" s="2" t="n">
        <v>73982</v>
      </c>
      <c r="B1800" s="2" t="s">
        <v>440</v>
      </c>
      <c r="C1800" s="2" t="n">
        <v>1</v>
      </c>
      <c r="D1800" s="2" t="n">
        <v>1</v>
      </c>
      <c r="E1800" s="2" t="n">
        <v>1</v>
      </c>
      <c r="F1800" s="2" t="n">
        <v>43</v>
      </c>
      <c r="G1800" s="2" t="s">
        <v>474</v>
      </c>
      <c r="H1800" s="2" t="str">
        <f aca="false">IFERROR(__xludf.dummyfunction("IF(I1812="""", """", REGEXEXTRACT(I1812, ""Padrao/([^/]+)""))"),"Vila Seixas")</f>
        <v>Vila Seixas</v>
      </c>
    </row>
    <row r="1801" customFormat="false" ht="15.75" hidden="false" customHeight="false" outlineLevel="0" collapsed="false">
      <c r="A1801" s="2" t="n">
        <v>66830</v>
      </c>
      <c r="B1801" s="2" t="s">
        <v>1611</v>
      </c>
      <c r="C1801" s="2" t="n">
        <v>2</v>
      </c>
      <c r="D1801" s="2" t="n">
        <v>2</v>
      </c>
      <c r="E1801" s="2" t="n">
        <v>1</v>
      </c>
      <c r="F1801" s="2" t="n">
        <v>46</v>
      </c>
      <c r="G1801" s="2" t="s">
        <v>474</v>
      </c>
      <c r="H1801" s="2" t="str">
        <f aca="false">IFERROR(__xludf.dummyfunction("IF(I1813="""", """", REGEXEXTRACT(I1813, ""Padrao/([^/]+)""))"),"Vila Amelia")</f>
        <v>Vila Amelia</v>
      </c>
    </row>
    <row r="1802" customFormat="false" ht="15.75" hidden="false" customHeight="false" outlineLevel="0" collapsed="false">
      <c r="A1802" s="2" t="n">
        <v>150608</v>
      </c>
      <c r="B1802" s="2" t="s">
        <v>1612</v>
      </c>
      <c r="C1802" s="2" t="n">
        <v>2</v>
      </c>
      <c r="D1802" s="2" t="n">
        <v>1</v>
      </c>
      <c r="E1802" s="2" t="n">
        <v>1</v>
      </c>
      <c r="F1802" s="2" t="n">
        <v>47</v>
      </c>
      <c r="G1802" s="2" t="s">
        <v>479</v>
      </c>
      <c r="H1802" s="2" t="str">
        <f aca="false">IFERROR(__xludf.dummyfunction("IF(I1814="""", """", REGEXEXTRACT(I1814, ""Padrao/([^/]+)""))"),"Residencial Greenville")</f>
        <v>Residencial Greenville</v>
      </c>
    </row>
    <row r="1803" customFormat="false" ht="15.75" hidden="false" customHeight="false" outlineLevel="0" collapsed="false">
      <c r="A1803" s="2" t="n">
        <v>138116</v>
      </c>
      <c r="B1803" s="2" t="s">
        <v>1613</v>
      </c>
      <c r="C1803" s="2" t="n">
        <v>1</v>
      </c>
      <c r="D1803" s="2" t="n">
        <v>1</v>
      </c>
      <c r="E1803" s="2" t="n">
        <v>1</v>
      </c>
      <c r="F1803" s="2" t="n">
        <v>42</v>
      </c>
      <c r="G1803" s="2" t="s">
        <v>479</v>
      </c>
      <c r="H1803" s="2" t="str">
        <f aca="false">IFERROR(__xludf.dummyfunction("IF(I1815="""", """", REGEXEXTRACT(I1815, ""Padrao/([^/]+)""))"),"Jardim Manoel Penna")</f>
        <v>Jardim Manoel Penna</v>
      </c>
    </row>
    <row r="1804" customFormat="false" ht="15.75" hidden="false" customHeight="false" outlineLevel="0" collapsed="false">
      <c r="A1804" s="2" t="n">
        <v>176783</v>
      </c>
      <c r="B1804" s="2" t="s">
        <v>1614</v>
      </c>
      <c r="C1804" s="2" t="n">
        <v>2</v>
      </c>
      <c r="D1804" s="2" t="n">
        <v>1</v>
      </c>
      <c r="E1804" s="2" t="n">
        <v>1</v>
      </c>
      <c r="F1804" s="2" t="n">
        <v>46</v>
      </c>
      <c r="G1804" s="2" t="s">
        <v>1400</v>
      </c>
      <c r="H1804" s="2" t="str">
        <f aca="false">IFERROR(__xludf.dummyfunction("IF(I1816="""", """", REGEXEXTRACT(I1816, ""Padrao/([^/]+)""))"),"Campos Eliseos")</f>
        <v>Campos Eliseos</v>
      </c>
    </row>
    <row r="1805" customFormat="false" ht="15.75" hidden="false" customHeight="false" outlineLevel="0" collapsed="false">
      <c r="A1805" s="2" t="n">
        <v>226400</v>
      </c>
      <c r="B1805" s="2" t="s">
        <v>1255</v>
      </c>
      <c r="C1805" s="2" t="n">
        <v>2</v>
      </c>
      <c r="D1805" s="2" t="n">
        <v>1</v>
      </c>
      <c r="E1805" s="2" t="n">
        <v>1</v>
      </c>
      <c r="F1805" s="2" t="n">
        <v>44</v>
      </c>
      <c r="G1805" s="2" t="s">
        <v>483</v>
      </c>
      <c r="H1805" s="2" t="str">
        <f aca="false">IFERROR(__xludf.dummyfunction("IF(I1817="""", """", REGEXEXTRACT(I1817, ""Padrao/([^/]+)""))"),"Residencial Greenville")</f>
        <v>Residencial Greenville</v>
      </c>
    </row>
    <row r="1806" customFormat="false" ht="15.75" hidden="false" customHeight="false" outlineLevel="0" collapsed="false">
      <c r="A1806" s="2" t="n">
        <v>209888</v>
      </c>
      <c r="B1806" s="2" t="s">
        <v>1615</v>
      </c>
      <c r="C1806" s="2" t="n">
        <v>2</v>
      </c>
      <c r="D1806" s="2" t="n">
        <v>1</v>
      </c>
      <c r="E1806" s="2" t="n">
        <v>1</v>
      </c>
      <c r="F1806" s="2" t="n">
        <v>43</v>
      </c>
      <c r="G1806" s="2" t="s">
        <v>483</v>
      </c>
      <c r="H1806" s="2" t="str">
        <f aca="false">IFERROR(__xludf.dummyfunction("IF(I1818="""", """", REGEXEXTRACT(I1818, ""Padrao/([^/]+)""))"),"Residencial Parque dos Servidores")</f>
        <v>Residencial Parque dos Servidores</v>
      </c>
    </row>
    <row r="1807" customFormat="false" ht="15.75" hidden="false" customHeight="false" outlineLevel="0" collapsed="false">
      <c r="A1807" s="2" t="n">
        <v>187766</v>
      </c>
      <c r="B1807" s="2" t="s">
        <v>1616</v>
      </c>
      <c r="C1807" s="2" t="n">
        <v>1</v>
      </c>
      <c r="D1807" s="2" t="n">
        <v>1</v>
      </c>
      <c r="E1807" s="2" t="n">
        <v>1</v>
      </c>
      <c r="F1807" s="2" t="n">
        <v>40</v>
      </c>
      <c r="G1807" s="2" t="s">
        <v>483</v>
      </c>
      <c r="H1807" s="2" t="str">
        <f aca="false">IFERROR(__xludf.dummyfunction("IF(I1819="""", """", REGEXEXTRACT(I1819, ""Padrao/([^/]+)""))"),"Vila Ana Maria")</f>
        <v>Vila Ana Maria</v>
      </c>
    </row>
    <row r="1808" customFormat="false" ht="15.75" hidden="false" customHeight="false" outlineLevel="0" collapsed="false">
      <c r="A1808" s="2" t="n">
        <v>174041</v>
      </c>
      <c r="B1808" s="2" t="s">
        <v>958</v>
      </c>
      <c r="C1808" s="2" t="n">
        <v>2</v>
      </c>
      <c r="D1808" s="2" t="n">
        <v>1</v>
      </c>
      <c r="E1808" s="2" t="n">
        <v>1</v>
      </c>
      <c r="F1808" s="2" t="n">
        <v>42</v>
      </c>
      <c r="G1808" s="2" t="s">
        <v>483</v>
      </c>
      <c r="H1808" s="2" t="str">
        <f aca="false">IFERROR(__xludf.dummyfunction("IF(I1820="""", """", REGEXEXTRACT(I1820, ""Padrao/([^/]+)""))"),"Parque Industrial Lagoinha")</f>
        <v>Parque Industrial Lagoinha</v>
      </c>
    </row>
    <row r="1809" customFormat="false" ht="15.75" hidden="false" customHeight="false" outlineLevel="0" collapsed="false">
      <c r="A1809" s="2" t="n">
        <v>159461</v>
      </c>
      <c r="B1809" s="2" t="s">
        <v>1617</v>
      </c>
      <c r="C1809" s="2" t="n">
        <v>2</v>
      </c>
      <c r="D1809" s="2" t="n">
        <v>1</v>
      </c>
      <c r="E1809" s="2" t="n">
        <v>1</v>
      </c>
      <c r="F1809" s="2" t="n">
        <v>40</v>
      </c>
      <c r="G1809" s="2" t="s">
        <v>483</v>
      </c>
      <c r="H1809" s="2" t="str">
        <f aca="false">IFERROR(__xludf.dummyfunction("IF(I1821="""", """", REGEXEXTRACT(I1821, ""Padrao/([^/]+)""))"),"Jardim Castelo Branco")</f>
        <v>Jardim Castelo Branco</v>
      </c>
    </row>
    <row r="1810" customFormat="false" ht="15.75" hidden="false" customHeight="false" outlineLevel="0" collapsed="false">
      <c r="A1810" s="2" t="n">
        <v>14498</v>
      </c>
      <c r="B1810" s="2" t="s">
        <v>1618</v>
      </c>
      <c r="C1810" s="2" t="n">
        <v>1</v>
      </c>
      <c r="D1810" s="2" t="n">
        <v>1</v>
      </c>
      <c r="E1810" s="2" t="n">
        <v>1</v>
      </c>
      <c r="F1810" s="2" t="n">
        <v>38</v>
      </c>
      <c r="G1810" s="2" t="s">
        <v>483</v>
      </c>
      <c r="H1810" s="2" t="str">
        <f aca="false">IFERROR(__xludf.dummyfunction("IF(I1822="""", """", REGEXEXTRACT(I1822, ""Padrao/([^/]+)""))"),"Jardim Iraja")</f>
        <v>Jardim Iraja</v>
      </c>
    </row>
    <row r="1811" customFormat="false" ht="15.75" hidden="false" customHeight="false" outlineLevel="0" collapsed="false">
      <c r="A1811" s="2" t="n">
        <v>241826</v>
      </c>
      <c r="B1811" s="2" t="s">
        <v>1186</v>
      </c>
      <c r="C1811" s="2" t="n">
        <v>2</v>
      </c>
      <c r="D1811" s="2" t="n">
        <v>1</v>
      </c>
      <c r="E1811" s="2" t="n">
        <v>1</v>
      </c>
      <c r="F1811" s="2" t="n">
        <v>46</v>
      </c>
      <c r="G1811" s="2" t="s">
        <v>502</v>
      </c>
      <c r="H1811" s="2" t="str">
        <f aca="false">IFERROR(__xludf.dummyfunction("IF(I1823="""", """", REGEXEXTRACT(I1823, ""Padrao/([^/]+)""))"),"Ipiranga")</f>
        <v>Ipiranga</v>
      </c>
    </row>
    <row r="1812" customFormat="false" ht="15.75" hidden="false" customHeight="false" outlineLevel="0" collapsed="false">
      <c r="A1812" s="2" t="n">
        <v>240545</v>
      </c>
      <c r="B1812" s="2" t="s">
        <v>1619</v>
      </c>
      <c r="C1812" s="2" t="n">
        <v>2</v>
      </c>
      <c r="D1812" s="2" t="n">
        <v>1</v>
      </c>
      <c r="E1812" s="2" t="n">
        <v>1</v>
      </c>
      <c r="F1812" s="2" t="n">
        <v>48</v>
      </c>
      <c r="G1812" s="2" t="s">
        <v>502</v>
      </c>
      <c r="H1812" s="2" t="str">
        <f aca="false">IFERROR(__xludf.dummyfunction("IF(I1824="""", """", REGEXEXTRACT(I1824, ""Padrao/([^/]+)""))"),"Jardim Sao Fernando")</f>
        <v>Jardim Sao Fernando</v>
      </c>
    </row>
    <row r="1813" customFormat="false" ht="15.75" hidden="false" customHeight="false" outlineLevel="0" collapsed="false">
      <c r="A1813" s="2" t="n">
        <v>239555</v>
      </c>
      <c r="B1813" s="2" t="s">
        <v>1620</v>
      </c>
      <c r="C1813" s="2" t="n">
        <v>2</v>
      </c>
      <c r="D1813" s="2" t="n">
        <v>1</v>
      </c>
      <c r="E1813" s="2" t="n">
        <v>1</v>
      </c>
      <c r="F1813" s="2" t="n">
        <v>69</v>
      </c>
      <c r="G1813" s="2" t="s">
        <v>502</v>
      </c>
      <c r="H1813" s="2" t="str">
        <f aca="false">IFERROR(__xludf.dummyfunction("IF(I1825="""", """", REGEXEXTRACT(I1825, ""Padrao/([^/]+)""))"),"Ipiranga")</f>
        <v>Ipiranga</v>
      </c>
    </row>
    <row r="1814" customFormat="false" ht="15.75" hidden="false" customHeight="false" outlineLevel="0" collapsed="false">
      <c r="A1814" s="2" t="n">
        <v>239024</v>
      </c>
      <c r="B1814" s="2" t="s">
        <v>1621</v>
      </c>
      <c r="C1814" s="2" t="n">
        <v>2</v>
      </c>
      <c r="D1814" s="2" t="n">
        <v>1</v>
      </c>
      <c r="E1814" s="2" t="n">
        <v>1</v>
      </c>
      <c r="F1814" s="2" t="n">
        <v>65</v>
      </c>
      <c r="G1814" s="2" t="s">
        <v>502</v>
      </c>
      <c r="H1814" s="2" t="str">
        <f aca="false">IFERROR(__xludf.dummyfunction("IF(I1826="""", """", REGEXEXTRACT(I1826, ""Padrao/([^/]+)""))"),"Vila Seixas")</f>
        <v>Vila Seixas</v>
      </c>
    </row>
    <row r="1815" customFormat="false" ht="15.75" hidden="false" customHeight="false" outlineLevel="0" collapsed="false">
      <c r="A1815" s="2" t="n">
        <v>238991</v>
      </c>
      <c r="B1815" s="2" t="s">
        <v>1622</v>
      </c>
      <c r="C1815" s="2" t="n">
        <v>1</v>
      </c>
      <c r="D1815" s="2" t="n">
        <v>1</v>
      </c>
      <c r="E1815" s="2" t="n">
        <v>1</v>
      </c>
      <c r="F1815" s="2" t="n">
        <v>40</v>
      </c>
      <c r="G1815" s="2" t="s">
        <v>502</v>
      </c>
      <c r="H1815" s="2" t="str">
        <f aca="false">IFERROR(__xludf.dummyfunction("IF(I1827="""", """", REGEXEXTRACT(I1827, ""Padrao/([^/]+)""))"),"Jardim California")</f>
        <v>Jardim California</v>
      </c>
    </row>
    <row r="1816" customFormat="false" ht="15.75" hidden="false" customHeight="false" outlineLevel="0" collapsed="false">
      <c r="A1816" s="2" t="n">
        <v>238898</v>
      </c>
      <c r="B1816" s="2" t="s">
        <v>454</v>
      </c>
      <c r="C1816" s="2" t="n">
        <v>2</v>
      </c>
      <c r="D1816" s="2" t="n">
        <v>1</v>
      </c>
      <c r="E1816" s="2" t="n">
        <v>1</v>
      </c>
      <c r="F1816" s="2" t="n">
        <v>41</v>
      </c>
      <c r="G1816" s="2" t="s">
        <v>502</v>
      </c>
      <c r="H1816" s="2" t="str">
        <f aca="false">IFERROR(__xludf.dummyfunction("IF(I1828="""", """", REGEXEXTRACT(I1828, ""Padrao/([^/]+)""))"),"Reserva Real")</f>
        <v>Reserva Real</v>
      </c>
    </row>
    <row r="1817" customFormat="false" ht="15.75" hidden="false" customHeight="false" outlineLevel="0" collapsed="false">
      <c r="A1817" s="2" t="n">
        <v>236405</v>
      </c>
      <c r="B1817" s="2" t="s">
        <v>1623</v>
      </c>
      <c r="C1817" s="2" t="n">
        <v>2</v>
      </c>
      <c r="D1817" s="2" t="n">
        <v>1</v>
      </c>
      <c r="E1817" s="2" t="n">
        <v>1</v>
      </c>
      <c r="F1817" s="2" t="n">
        <v>43</v>
      </c>
      <c r="G1817" s="2" t="s">
        <v>502</v>
      </c>
      <c r="H1817" s="2" t="str">
        <f aca="false">IFERROR(__xludf.dummyfunction("IF(I1829="""", """", REGEXEXTRACT(I1829, ""Padrao/([^/]+)""))"),"Residencial Parque dos Servidores")</f>
        <v>Residencial Parque dos Servidores</v>
      </c>
    </row>
    <row r="1818" customFormat="false" ht="15.75" hidden="false" customHeight="false" outlineLevel="0" collapsed="false">
      <c r="A1818" s="2" t="n">
        <v>233123</v>
      </c>
      <c r="B1818" s="2" t="s">
        <v>904</v>
      </c>
      <c r="C1818" s="2" t="n">
        <v>2</v>
      </c>
      <c r="D1818" s="2" t="n">
        <v>1</v>
      </c>
      <c r="E1818" s="2" t="n">
        <v>1</v>
      </c>
      <c r="F1818" s="2" t="n">
        <v>40</v>
      </c>
      <c r="G1818" s="2" t="s">
        <v>502</v>
      </c>
      <c r="H1818" s="2" t="str">
        <f aca="false">IFERROR(__xludf.dummyfunction("IF(I1830="""", """", REGEXEXTRACT(I1830, ""Padrao/([^/]+)""))"),"Reserva Real")</f>
        <v>Reserva Real</v>
      </c>
    </row>
    <row r="1819" customFormat="false" ht="15.75" hidden="false" customHeight="false" outlineLevel="0" collapsed="false">
      <c r="A1819" s="2" t="n">
        <v>232796</v>
      </c>
      <c r="B1819" s="2" t="s">
        <v>415</v>
      </c>
      <c r="C1819" s="2" t="n">
        <v>2</v>
      </c>
      <c r="D1819" s="2" t="n">
        <v>1</v>
      </c>
      <c r="E1819" s="2" t="n">
        <v>1</v>
      </c>
      <c r="F1819" s="2" t="n">
        <v>43</v>
      </c>
      <c r="G1819" s="2" t="s">
        <v>502</v>
      </c>
      <c r="H1819" s="2" t="str">
        <f aca="false">IFERROR(__xludf.dummyfunction("IF(I1831="""", """", REGEXEXTRACT(I1831, ""Padrao/([^/]+)""))"),"Jardim Heitor Rigon")</f>
        <v>Jardim Heitor Rigon</v>
      </c>
    </row>
    <row r="1820" customFormat="false" ht="15.75" hidden="false" customHeight="false" outlineLevel="0" collapsed="false">
      <c r="A1820" s="2" t="n">
        <v>232049</v>
      </c>
      <c r="B1820" s="2" t="s">
        <v>768</v>
      </c>
      <c r="C1820" s="2" t="n">
        <v>2</v>
      </c>
      <c r="D1820" s="2" t="n">
        <v>1</v>
      </c>
      <c r="E1820" s="2" t="n">
        <v>1</v>
      </c>
      <c r="F1820" s="2" t="n">
        <v>40</v>
      </c>
      <c r="G1820" s="2" t="s">
        <v>502</v>
      </c>
      <c r="H1820" s="2" t="str">
        <f aca="false">IFERROR(__xludf.dummyfunction("IF(I1832="""", """", REGEXEXTRACT(I1832, ""Padrao/([^/]+)""))"),"Parque dos Pinus")</f>
        <v>Parque dos Pinus</v>
      </c>
    </row>
    <row r="1821" customFormat="false" ht="15.75" hidden="false" customHeight="false" outlineLevel="0" collapsed="false">
      <c r="A1821" s="2" t="n">
        <v>231143</v>
      </c>
      <c r="B1821" s="2" t="s">
        <v>1624</v>
      </c>
      <c r="C1821" s="2" t="n">
        <v>2</v>
      </c>
      <c r="D1821" s="2" t="n">
        <v>1</v>
      </c>
      <c r="E1821" s="2" t="n">
        <v>1</v>
      </c>
      <c r="F1821" s="2" t="n">
        <v>47</v>
      </c>
      <c r="G1821" s="2" t="s">
        <v>502</v>
      </c>
      <c r="H1821" s="2" t="str">
        <f aca="false">IFERROR(__xludf.dummyfunction("IF(I1833="""", """", REGEXEXTRACT(I1833, ""Padrao/([^/]+)""))"),"Reserva Sul Condominio")</f>
        <v>Reserva Sul Condominio</v>
      </c>
    </row>
    <row r="1822" customFormat="false" ht="15.75" hidden="false" customHeight="false" outlineLevel="0" collapsed="false">
      <c r="A1822" s="2" t="n">
        <v>229679</v>
      </c>
      <c r="B1822" s="2" t="s">
        <v>1000</v>
      </c>
      <c r="C1822" s="2" t="n">
        <v>2</v>
      </c>
      <c r="D1822" s="2" t="n">
        <v>1</v>
      </c>
      <c r="E1822" s="2" t="n">
        <v>1</v>
      </c>
      <c r="F1822" s="2" t="n">
        <v>46</v>
      </c>
      <c r="G1822" s="2" t="s">
        <v>502</v>
      </c>
      <c r="H1822" s="2" t="str">
        <f aca="false">IFERROR(__xludf.dummyfunction("IF(I1834="""", """", REGEXEXTRACT(I1834, ""Padrao/([^/]+)""))"),"Ipiranga")</f>
        <v>Ipiranga</v>
      </c>
    </row>
    <row r="1823" customFormat="false" ht="15.75" hidden="false" customHeight="false" outlineLevel="0" collapsed="false">
      <c r="A1823" s="2" t="n">
        <v>228179</v>
      </c>
      <c r="B1823" s="2" t="s">
        <v>1625</v>
      </c>
      <c r="C1823" s="2" t="n">
        <v>2</v>
      </c>
      <c r="D1823" s="2" t="n">
        <v>1</v>
      </c>
      <c r="E1823" s="2" t="n">
        <v>1</v>
      </c>
      <c r="F1823" s="2" t="n">
        <v>46</v>
      </c>
      <c r="G1823" s="2" t="s">
        <v>502</v>
      </c>
      <c r="H1823" s="2" t="str">
        <f aca="false">IFERROR(__xludf.dummyfunction("IF(I1835="""", """", REGEXEXTRACT(I1835, ""Padrao/([^/]+)""))"),"Parque Industrial Lagoinha")</f>
        <v>Parque Industrial Lagoinha</v>
      </c>
    </row>
    <row r="1824" customFormat="false" ht="15.75" hidden="false" customHeight="false" outlineLevel="0" collapsed="false">
      <c r="A1824" s="2" t="n">
        <v>227963</v>
      </c>
      <c r="B1824" s="2" t="s">
        <v>1626</v>
      </c>
      <c r="C1824" s="2" t="n">
        <v>2</v>
      </c>
      <c r="D1824" s="2" t="n">
        <v>1</v>
      </c>
      <c r="E1824" s="2" t="n">
        <v>1</v>
      </c>
      <c r="F1824" s="2" t="n">
        <v>42</v>
      </c>
      <c r="G1824" s="2" t="s">
        <v>502</v>
      </c>
      <c r="H1824" s="2" t="str">
        <f aca="false">IFERROR(__xludf.dummyfunction("IF(I1836="""", """", REGEXEXTRACT(I1836, ""Padrao/([^/]+)""))"),"Vila Virginia")</f>
        <v>Vila Virginia</v>
      </c>
    </row>
    <row r="1825" customFormat="false" ht="15.75" hidden="false" customHeight="false" outlineLevel="0" collapsed="false">
      <c r="A1825" s="2" t="n">
        <v>225248</v>
      </c>
      <c r="B1825" s="2" t="s">
        <v>1627</v>
      </c>
      <c r="C1825" s="2" t="n">
        <v>2</v>
      </c>
      <c r="D1825" s="2" t="n">
        <v>1</v>
      </c>
      <c r="E1825" s="2" t="n">
        <v>1</v>
      </c>
      <c r="F1825" s="2" t="n">
        <v>40</v>
      </c>
      <c r="G1825" s="2" t="s">
        <v>502</v>
      </c>
      <c r="H1825" s="2" t="str">
        <f aca="false">IFERROR(__xludf.dummyfunction("IF(I1837="""", """", REGEXEXTRACT(I1837, ""Padrao/([^/]+)""))"),"Jardim Ouro Branco")</f>
        <v>Jardim Ouro Branco</v>
      </c>
    </row>
    <row r="1826" customFormat="false" ht="15.75" hidden="false" customHeight="false" outlineLevel="0" collapsed="false">
      <c r="A1826" s="2" t="n">
        <v>224726</v>
      </c>
      <c r="B1826" s="2" t="s">
        <v>1628</v>
      </c>
      <c r="C1826" s="2" t="n">
        <v>2</v>
      </c>
      <c r="D1826" s="2" t="n">
        <v>1</v>
      </c>
      <c r="E1826" s="2" t="n">
        <v>1</v>
      </c>
      <c r="F1826" s="2" t="n">
        <v>42</v>
      </c>
      <c r="G1826" s="2" t="s">
        <v>502</v>
      </c>
      <c r="H1826" s="2" t="str">
        <f aca="false">IFERROR(__xludf.dummyfunction("IF(I1838="""", """", REGEXEXTRACT(I1838, ""Padrao/([^/]+)""))"),"Nova Alianca")</f>
        <v>Nova Alianca</v>
      </c>
    </row>
    <row r="1827" customFormat="false" ht="15.75" hidden="false" customHeight="false" outlineLevel="0" collapsed="false">
      <c r="A1827" s="2" t="n">
        <v>222530</v>
      </c>
      <c r="B1827" s="2" t="s">
        <v>1629</v>
      </c>
      <c r="C1827" s="2" t="n">
        <v>2</v>
      </c>
      <c r="D1827" s="2" t="n">
        <v>1</v>
      </c>
      <c r="E1827" s="2" t="n">
        <v>1</v>
      </c>
      <c r="F1827" s="2" t="n">
        <v>40</v>
      </c>
      <c r="G1827" s="2" t="s">
        <v>502</v>
      </c>
      <c r="H1827" s="2" t="str">
        <f aca="false">IFERROR(__xludf.dummyfunction("IF(I1839="""", """", REGEXEXTRACT(I1839, ""Padrao/([^/]+)""))"),"Bonfim Paulista")</f>
        <v>Bonfim Paulista</v>
      </c>
    </row>
    <row r="1828" customFormat="false" ht="15.75" hidden="false" customHeight="false" outlineLevel="0" collapsed="false">
      <c r="A1828" s="2" t="n">
        <v>221756</v>
      </c>
      <c r="B1828" s="2" t="s">
        <v>1068</v>
      </c>
      <c r="C1828" s="2" t="n">
        <v>2</v>
      </c>
      <c r="D1828" s="2" t="n">
        <v>1</v>
      </c>
      <c r="E1828" s="2" t="n">
        <v>1</v>
      </c>
      <c r="F1828" s="2" t="n">
        <v>42</v>
      </c>
      <c r="G1828" s="2" t="s">
        <v>502</v>
      </c>
      <c r="H1828" s="2" t="str">
        <f aca="false">IFERROR(__xludf.dummyfunction("IF(I1840="""", """", REGEXEXTRACT(I1840, ""Padrao/([^/]+)""))"),"Jardim Santa Cecilia")</f>
        <v>Jardim Santa Cecilia</v>
      </c>
    </row>
    <row r="1829" customFormat="false" ht="15.75" hidden="false" customHeight="false" outlineLevel="0" collapsed="false">
      <c r="A1829" s="2" t="n">
        <v>218546</v>
      </c>
      <c r="B1829" s="2" t="s">
        <v>733</v>
      </c>
      <c r="C1829" s="2" t="n">
        <v>2</v>
      </c>
      <c r="D1829" s="2" t="n">
        <v>1</v>
      </c>
      <c r="E1829" s="2" t="n">
        <v>1</v>
      </c>
      <c r="F1829" s="2" t="n">
        <v>48</v>
      </c>
      <c r="G1829" s="2" t="s">
        <v>502</v>
      </c>
      <c r="H1829" s="2" t="str">
        <f aca="false">IFERROR(__xludf.dummyfunction("IF(I1841="""", """", REGEXEXTRACT(I1841, ""Padrao/([^/]+)""))"),"Ipiranga")</f>
        <v>Ipiranga</v>
      </c>
    </row>
    <row r="1830" customFormat="false" ht="15.75" hidden="false" customHeight="false" outlineLevel="0" collapsed="false">
      <c r="A1830" s="2" t="n">
        <v>216200</v>
      </c>
      <c r="B1830" s="2" t="s">
        <v>454</v>
      </c>
      <c r="C1830" s="2" t="n">
        <v>2</v>
      </c>
      <c r="D1830" s="2" t="n">
        <v>1</v>
      </c>
      <c r="E1830" s="2" t="n">
        <v>1</v>
      </c>
      <c r="F1830" s="2" t="n">
        <v>41</v>
      </c>
      <c r="G1830" s="2" t="s">
        <v>502</v>
      </c>
      <c r="H1830" s="2" t="str">
        <f aca="false">IFERROR(__xludf.dummyfunction("IF(I1842="""", """", REGEXEXTRACT(I1842, ""Padrao/([^/]+)""))"),"Reserva Real")</f>
        <v>Reserva Real</v>
      </c>
    </row>
    <row r="1831" customFormat="false" ht="15.75" hidden="false" customHeight="false" outlineLevel="0" collapsed="false">
      <c r="A1831" s="2" t="n">
        <v>215561</v>
      </c>
      <c r="B1831" s="2" t="s">
        <v>706</v>
      </c>
      <c r="C1831" s="2" t="n">
        <v>2</v>
      </c>
      <c r="D1831" s="2" t="n">
        <v>1</v>
      </c>
      <c r="E1831" s="2" t="n">
        <v>1</v>
      </c>
      <c r="F1831" s="2" t="n">
        <v>55</v>
      </c>
      <c r="G1831" s="2" t="s">
        <v>502</v>
      </c>
      <c r="H1831" s="2" t="str">
        <f aca="false">IFERROR(__xludf.dummyfunction("IF(I1843="""", """", REGEXEXTRACT(I1843, ""Padrao/([^/]+)""))"),"Vila Virginia")</f>
        <v>Vila Virginia</v>
      </c>
    </row>
    <row r="1832" customFormat="false" ht="15.75" hidden="false" customHeight="false" outlineLevel="0" collapsed="false">
      <c r="A1832" s="2" t="n">
        <v>215204</v>
      </c>
      <c r="B1832" s="2" t="s">
        <v>1630</v>
      </c>
      <c r="C1832" s="2" t="n">
        <v>3</v>
      </c>
      <c r="D1832" s="2" t="n">
        <v>1</v>
      </c>
      <c r="E1832" s="2" t="n">
        <v>1</v>
      </c>
      <c r="F1832" s="2" t="n">
        <v>80</v>
      </c>
      <c r="G1832" s="2" t="s">
        <v>502</v>
      </c>
      <c r="H1832" s="2" t="str">
        <f aca="false">IFERROR(__xludf.dummyfunction("IF(I1844="""", """", REGEXEXTRACT(I1844, ""Padrao/([^/]+)""))"),"Campos Eliseos")</f>
        <v>Campos Eliseos</v>
      </c>
    </row>
    <row r="1833" customFormat="false" ht="15.75" hidden="false" customHeight="false" outlineLevel="0" collapsed="false">
      <c r="A1833" s="2" t="n">
        <v>211157</v>
      </c>
      <c r="B1833" s="2" t="s">
        <v>1631</v>
      </c>
      <c r="C1833" s="2" t="n">
        <v>2</v>
      </c>
      <c r="D1833" s="2" t="n">
        <v>1</v>
      </c>
      <c r="E1833" s="2" t="n">
        <v>1</v>
      </c>
      <c r="F1833" s="2" t="n">
        <v>42</v>
      </c>
      <c r="G1833" s="2" t="s">
        <v>502</v>
      </c>
      <c r="H1833" s="2" t="str">
        <f aca="false">IFERROR(__xludf.dummyfunction("IF(I1845="""", """", REGEXEXTRACT(I1845, ""Padrao/([^/]+)""))"),"Quintino Facci II")</f>
        <v>Quintino Facci II</v>
      </c>
    </row>
    <row r="1834" customFormat="false" ht="15.75" hidden="false" customHeight="false" outlineLevel="0" collapsed="false">
      <c r="A1834" s="2" t="n">
        <v>210887</v>
      </c>
      <c r="B1834" s="2" t="s">
        <v>469</v>
      </c>
      <c r="C1834" s="2" t="n">
        <v>2</v>
      </c>
      <c r="D1834" s="2" t="n">
        <v>1</v>
      </c>
      <c r="E1834" s="2" t="n">
        <v>1</v>
      </c>
      <c r="F1834" s="2" t="n">
        <v>43</v>
      </c>
      <c r="G1834" s="2" t="s">
        <v>502</v>
      </c>
      <c r="H1834" s="2" t="str">
        <f aca="false">IFERROR(__xludf.dummyfunction("IF(I1846="""", """", REGEXEXTRACT(I1846, ""Padrao/([^/]+)""))"),"Valentina Figueiredo")</f>
        <v>Valentina Figueiredo</v>
      </c>
    </row>
    <row r="1835" customFormat="false" ht="15.75" hidden="false" customHeight="false" outlineLevel="0" collapsed="false">
      <c r="A1835" s="2" t="n">
        <v>208622</v>
      </c>
      <c r="B1835" s="2" t="s">
        <v>1632</v>
      </c>
      <c r="C1835" s="2" t="n">
        <v>2</v>
      </c>
      <c r="D1835" s="2" t="n">
        <v>1</v>
      </c>
      <c r="E1835" s="2" t="n">
        <v>1</v>
      </c>
      <c r="F1835" s="2" t="n">
        <v>42</v>
      </c>
      <c r="G1835" s="2" t="s">
        <v>502</v>
      </c>
      <c r="H1835" s="2" t="str">
        <f aca="false">IFERROR(__xludf.dummyfunction("IF(I1847="""", """", REGEXEXTRACT(I1847, ""Padrao/([^/]+)""))"),"Parque Industrial Lagoinha")</f>
        <v>Parque Industrial Lagoinha</v>
      </c>
    </row>
    <row r="1836" customFormat="false" ht="15.75" hidden="false" customHeight="false" outlineLevel="0" collapsed="false">
      <c r="A1836" s="2" t="n">
        <v>206564</v>
      </c>
      <c r="B1836" s="2" t="s">
        <v>1184</v>
      </c>
      <c r="C1836" s="2" t="n">
        <v>2</v>
      </c>
      <c r="D1836" s="2" t="n">
        <v>1</v>
      </c>
      <c r="E1836" s="2" t="n">
        <v>1</v>
      </c>
      <c r="F1836" s="2" t="n">
        <v>42</v>
      </c>
      <c r="G1836" s="2" t="s">
        <v>502</v>
      </c>
      <c r="H1836" s="2" t="str">
        <f aca="false">IFERROR(__xludf.dummyfunction("IF(I1848="""", """", REGEXEXTRACT(I1848, ""Padrao/([^/]+)""))"),"Jardim Itau")</f>
        <v>Jardim Itau</v>
      </c>
    </row>
    <row r="1837" customFormat="false" ht="15.75" hidden="false" customHeight="false" outlineLevel="0" collapsed="false">
      <c r="A1837" s="2" t="n">
        <v>206054</v>
      </c>
      <c r="B1837" s="2" t="s">
        <v>1633</v>
      </c>
      <c r="C1837" s="2" t="n">
        <v>2</v>
      </c>
      <c r="D1837" s="2" t="n">
        <v>1</v>
      </c>
      <c r="E1837" s="2" t="n">
        <v>1</v>
      </c>
      <c r="F1837" s="2" t="n">
        <v>44</v>
      </c>
      <c r="G1837" s="2" t="s">
        <v>502</v>
      </c>
      <c r="H1837" s="2" t="str">
        <f aca="false">IFERROR(__xludf.dummyfunction("IF(I1849="""", """", REGEXEXTRACT(I1849, ""Padrao/([^/]+)""))"),"Ipiranga")</f>
        <v>Ipiranga</v>
      </c>
    </row>
    <row r="1838" customFormat="false" ht="15.75" hidden="false" customHeight="false" outlineLevel="0" collapsed="false">
      <c r="A1838" s="2" t="n">
        <v>204005</v>
      </c>
      <c r="B1838" s="2" t="s">
        <v>1634</v>
      </c>
      <c r="C1838" s="2" t="n">
        <v>2</v>
      </c>
      <c r="D1838" s="2" t="n">
        <v>1</v>
      </c>
      <c r="E1838" s="2" t="n">
        <v>1</v>
      </c>
      <c r="F1838" s="2" t="n">
        <v>44</v>
      </c>
      <c r="G1838" s="2" t="s">
        <v>502</v>
      </c>
      <c r="H1838" s="2" t="str">
        <f aca="false">IFERROR(__xludf.dummyfunction("IF(I1850="""", """", REGEXEXTRACT(I1850, ""Padrao/([^/]+)""))"),"Residencial Greenville")</f>
        <v>Residencial Greenville</v>
      </c>
    </row>
    <row r="1839" customFormat="false" ht="15.75" hidden="false" customHeight="false" outlineLevel="0" collapsed="false">
      <c r="A1839" s="2" t="n">
        <v>201470</v>
      </c>
      <c r="B1839" s="2" t="s">
        <v>857</v>
      </c>
      <c r="C1839" s="2" t="n">
        <v>2</v>
      </c>
      <c r="D1839" s="2" t="n">
        <v>1</v>
      </c>
      <c r="E1839" s="2" t="n">
        <v>1</v>
      </c>
      <c r="F1839" s="2" t="n">
        <v>56</v>
      </c>
      <c r="G1839" s="2" t="s">
        <v>502</v>
      </c>
      <c r="H1839" s="2" t="str">
        <f aca="false">IFERROR(__xludf.dummyfunction("IF(I1851="""", """", REGEXEXTRACT(I1851, ""Padrao/([^/]+)""))"),"Chacaras Pedro Correa de Carvalho")</f>
        <v>Chacaras Pedro Correa de Carvalho</v>
      </c>
    </row>
    <row r="1840" customFormat="false" ht="15.75" hidden="false" customHeight="false" outlineLevel="0" collapsed="false">
      <c r="A1840" s="2" t="n">
        <v>200183</v>
      </c>
      <c r="B1840" s="2" t="s">
        <v>1635</v>
      </c>
      <c r="C1840" s="2" t="n">
        <v>2</v>
      </c>
      <c r="D1840" s="2" t="n">
        <v>1</v>
      </c>
      <c r="E1840" s="2" t="n">
        <v>1</v>
      </c>
      <c r="F1840" s="2" t="n">
        <v>63</v>
      </c>
      <c r="G1840" s="2" t="s">
        <v>502</v>
      </c>
      <c r="H1840" s="2" t="str">
        <f aca="false">IFERROR(__xludf.dummyfunction("IF(I1852="""", """", REGEXEXTRACT(I1852, ""Padrao/([^/]+)""))"),"Jardim Interlagos")</f>
        <v>Jardim Interlagos</v>
      </c>
    </row>
    <row r="1841" customFormat="false" ht="15.75" hidden="false" customHeight="false" outlineLevel="0" collapsed="false">
      <c r="A1841" s="2" t="n">
        <v>198668</v>
      </c>
      <c r="B1841" s="2" t="s">
        <v>848</v>
      </c>
      <c r="C1841" s="2" t="n">
        <v>2</v>
      </c>
      <c r="D1841" s="2" t="n">
        <v>1</v>
      </c>
      <c r="E1841" s="2" t="n">
        <v>1</v>
      </c>
      <c r="F1841" s="2" t="n">
        <v>46</v>
      </c>
      <c r="G1841" s="2" t="s">
        <v>502</v>
      </c>
      <c r="H1841" s="2" t="str">
        <f aca="false">IFERROR(__xludf.dummyfunction("IF(I1853="""", """", REGEXEXTRACT(I1853, ""Padrao/([^/]+)""))"),"Jardim Florestan Fernandes")</f>
        <v>Jardim Florestan Fernandes</v>
      </c>
    </row>
    <row r="1842" customFormat="false" ht="15.75" hidden="false" customHeight="false" outlineLevel="0" collapsed="false">
      <c r="A1842" s="2" t="n">
        <v>198431</v>
      </c>
      <c r="B1842" s="2" t="s">
        <v>1305</v>
      </c>
      <c r="C1842" s="2" t="n">
        <v>2</v>
      </c>
      <c r="D1842" s="2" t="n">
        <v>1</v>
      </c>
      <c r="E1842" s="2" t="n">
        <v>1</v>
      </c>
      <c r="F1842" s="2" t="n">
        <v>46</v>
      </c>
      <c r="G1842" s="2" t="s">
        <v>502</v>
      </c>
      <c r="H1842" s="2" t="str">
        <f aca="false">IFERROR(__xludf.dummyfunction("IF(I1854="""", """", REGEXEXTRACT(I1854, ""Padrao/([^/]+)""))"),"Sumarezinho")</f>
        <v>Sumarezinho</v>
      </c>
    </row>
    <row r="1843" customFormat="false" ht="15.75" hidden="false" customHeight="false" outlineLevel="0" collapsed="false">
      <c r="A1843" s="2" t="n">
        <v>196043</v>
      </c>
      <c r="B1843" s="2" t="s">
        <v>1636</v>
      </c>
      <c r="C1843" s="2" t="n">
        <v>2</v>
      </c>
      <c r="D1843" s="2" t="n">
        <v>1</v>
      </c>
      <c r="E1843" s="2" t="n">
        <v>1</v>
      </c>
      <c r="F1843" s="2" t="n">
        <v>43</v>
      </c>
      <c r="G1843" s="2" t="s">
        <v>502</v>
      </c>
      <c r="H1843" s="2" t="str">
        <f aca="false">IFERROR(__xludf.dummyfunction("IF(I1855="""", """", REGEXEXTRACT(I1855, ""Padrao/([^/]+)""))"),"Adelino Simioni")</f>
        <v>Adelino Simioni</v>
      </c>
    </row>
    <row r="1844" customFormat="false" ht="15.75" hidden="false" customHeight="false" outlineLevel="0" collapsed="false">
      <c r="A1844" s="2" t="n">
        <v>193268</v>
      </c>
      <c r="B1844" s="2" t="s">
        <v>1127</v>
      </c>
      <c r="C1844" s="2" t="n">
        <v>2</v>
      </c>
      <c r="D1844" s="2" t="n">
        <v>1</v>
      </c>
      <c r="E1844" s="2" t="n">
        <v>1</v>
      </c>
      <c r="F1844" s="2" t="n">
        <v>42</v>
      </c>
      <c r="G1844" s="2" t="s">
        <v>502</v>
      </c>
      <c r="H1844" s="2" t="str">
        <f aca="false">IFERROR(__xludf.dummyfunction("IF(I1856="""", """", REGEXEXTRACT(I1856, ""Padrao/([^/]+)""))"),"Jardim Cybelli")</f>
        <v>Jardim Cybelli</v>
      </c>
    </row>
    <row r="1845" customFormat="false" ht="15.75" hidden="false" customHeight="false" outlineLevel="0" collapsed="false">
      <c r="A1845" s="2" t="n">
        <v>193244</v>
      </c>
      <c r="B1845" s="2" t="s">
        <v>1637</v>
      </c>
      <c r="C1845" s="2" t="n">
        <v>2</v>
      </c>
      <c r="D1845" s="2" t="n">
        <v>1</v>
      </c>
      <c r="E1845" s="2" t="n">
        <v>1</v>
      </c>
      <c r="F1845" s="2" t="n">
        <v>40</v>
      </c>
      <c r="G1845" s="2" t="s">
        <v>502</v>
      </c>
      <c r="H1845" s="2" t="str">
        <f aca="false">IFERROR(__xludf.dummyfunction("IF(I1857="""", """", REGEXEXTRACT(I1857, ""Padrao/([^/]+)""))"),"Reserva Real")</f>
        <v>Reserva Real</v>
      </c>
    </row>
    <row r="1846" customFormat="false" ht="15.75" hidden="false" customHeight="false" outlineLevel="0" collapsed="false">
      <c r="A1846" s="2" t="n">
        <v>192611</v>
      </c>
      <c r="B1846" s="2" t="s">
        <v>1638</v>
      </c>
      <c r="C1846" s="2" t="n">
        <v>2</v>
      </c>
      <c r="D1846" s="2" t="n">
        <v>1</v>
      </c>
      <c r="E1846" s="2" t="n">
        <v>1</v>
      </c>
      <c r="F1846" s="2" t="n">
        <v>43</v>
      </c>
      <c r="G1846" s="2" t="s">
        <v>502</v>
      </c>
      <c r="H1846" s="2" t="str">
        <f aca="false">IFERROR(__xludf.dummyfunction("IF(I1858="""", """", REGEXEXTRACT(I1858, ""Padrao/([^/]+)""))"),"Chacaras Pedro Correa de Carvalho")</f>
        <v>Chacaras Pedro Correa de Carvalho</v>
      </c>
    </row>
    <row r="1847" customFormat="false" ht="15.75" hidden="false" customHeight="false" outlineLevel="0" collapsed="false">
      <c r="A1847" s="2" t="n">
        <v>192026</v>
      </c>
      <c r="B1847" s="2" t="s">
        <v>1185</v>
      </c>
      <c r="C1847" s="2" t="n">
        <v>2</v>
      </c>
      <c r="D1847" s="2" t="n">
        <v>1</v>
      </c>
      <c r="E1847" s="2" t="n">
        <v>1</v>
      </c>
      <c r="F1847" s="2" t="n">
        <v>40</v>
      </c>
      <c r="G1847" s="2" t="s">
        <v>502</v>
      </c>
      <c r="H1847" s="2" t="str">
        <f aca="false">IFERROR(__xludf.dummyfunction("IF(I1859="""", """", REGEXEXTRACT(I1859, ""Padrao/([^/]+)""))"),"Jardim Cybelli")</f>
        <v>Jardim Cybelli</v>
      </c>
    </row>
    <row r="1848" customFormat="false" ht="15.75" hidden="false" customHeight="false" outlineLevel="0" collapsed="false">
      <c r="A1848" s="2" t="n">
        <v>191567</v>
      </c>
      <c r="B1848" s="2" t="s">
        <v>1639</v>
      </c>
      <c r="C1848" s="2" t="n">
        <v>2</v>
      </c>
      <c r="D1848" s="2" t="n">
        <v>1</v>
      </c>
      <c r="E1848" s="2" t="n">
        <v>1</v>
      </c>
      <c r="F1848" s="2" t="n">
        <v>41</v>
      </c>
      <c r="G1848" s="2" t="s">
        <v>502</v>
      </c>
      <c r="H1848" s="2" t="str">
        <f aca="false">IFERROR(__xludf.dummyfunction("IF(I1860="""", """", REGEXEXTRACT(I1860, ""Padrao/([^/]+)""))"),"Conjunto Habitacional Silvio Passalacqua")</f>
        <v>Conjunto Habitacional Silvio Passalacqua</v>
      </c>
    </row>
    <row r="1849" customFormat="false" ht="15.75" hidden="false" customHeight="false" outlineLevel="0" collapsed="false">
      <c r="A1849" s="2" t="n">
        <v>190805</v>
      </c>
      <c r="B1849" s="2" t="s">
        <v>1640</v>
      </c>
      <c r="C1849" s="2" t="n">
        <v>3</v>
      </c>
      <c r="D1849" s="2" t="n">
        <v>2</v>
      </c>
      <c r="E1849" s="2" t="n">
        <v>1</v>
      </c>
      <c r="F1849" s="2" t="n">
        <v>59</v>
      </c>
      <c r="G1849" s="2" t="s">
        <v>502</v>
      </c>
      <c r="H1849" s="2" t="str">
        <f aca="false">IFERROR(__xludf.dummyfunction("IF(I1861="""", """", REGEXEXTRACT(I1861, ""Padrao/([^/]+)""))"),"Campos Eliseos")</f>
        <v>Campos Eliseos</v>
      </c>
    </row>
    <row r="1850" customFormat="false" ht="15.75" hidden="false" customHeight="false" outlineLevel="0" collapsed="false">
      <c r="A1850" s="2" t="n">
        <v>188138</v>
      </c>
      <c r="B1850" s="2" t="s">
        <v>1641</v>
      </c>
      <c r="C1850" s="2" t="n">
        <v>1</v>
      </c>
      <c r="D1850" s="2" t="n">
        <v>1</v>
      </c>
      <c r="E1850" s="2" t="n">
        <v>1</v>
      </c>
      <c r="F1850" s="2" t="n">
        <v>32</v>
      </c>
      <c r="G1850" s="2" t="s">
        <v>502</v>
      </c>
      <c r="H1850" s="2" t="str">
        <f aca="false">IFERROR(__xludf.dummyfunction("IF(I1862="""", """", REGEXEXTRACT(I1862, ""Padrao/([^/]+)""))"),"Vila Ana Maria")</f>
        <v>Vila Ana Maria</v>
      </c>
    </row>
    <row r="1851" customFormat="false" ht="15.75" hidden="false" customHeight="false" outlineLevel="0" collapsed="false">
      <c r="A1851" s="2" t="n">
        <v>187940</v>
      </c>
      <c r="B1851" s="2" t="s">
        <v>1642</v>
      </c>
      <c r="C1851" s="2" t="n">
        <v>3</v>
      </c>
      <c r="D1851" s="2" t="n">
        <v>1</v>
      </c>
      <c r="E1851" s="2" t="n">
        <v>1</v>
      </c>
      <c r="F1851" s="2" t="n">
        <v>80</v>
      </c>
      <c r="G1851" s="2" t="s">
        <v>502</v>
      </c>
      <c r="H1851" s="2" t="str">
        <f aca="false">IFERROR(__xludf.dummyfunction("IF(I1863="""", """", REGEXEXTRACT(I1863, ""Padrao/([^/]+)""))"),"Campos Eliseos")</f>
        <v>Campos Eliseos</v>
      </c>
    </row>
    <row r="1852" customFormat="false" ht="15.75" hidden="false" customHeight="false" outlineLevel="0" collapsed="false">
      <c r="A1852" s="2" t="n">
        <v>187616</v>
      </c>
      <c r="B1852" s="2" t="s">
        <v>1643</v>
      </c>
      <c r="C1852" s="2" t="n">
        <v>2</v>
      </c>
      <c r="D1852" s="2" t="n">
        <v>1</v>
      </c>
      <c r="E1852" s="2" t="n">
        <v>1</v>
      </c>
      <c r="F1852" s="2" t="n">
        <v>46</v>
      </c>
      <c r="G1852" s="2" t="s">
        <v>502</v>
      </c>
      <c r="H1852" s="2" t="str">
        <f aca="false">IFERROR(__xludf.dummyfunction("IF(I1864="""", """", REGEXEXTRACT(I1864, ""Padrao/([^/]+)""))"),"Reserva Sul Condominio")</f>
        <v>Reserva Sul Condominio</v>
      </c>
    </row>
    <row r="1853" customFormat="false" ht="15.75" hidden="false" customHeight="false" outlineLevel="0" collapsed="false">
      <c r="A1853" s="2" t="n">
        <v>187016</v>
      </c>
      <c r="B1853" s="2" t="s">
        <v>1644</v>
      </c>
      <c r="C1853" s="2" t="n">
        <v>2</v>
      </c>
      <c r="D1853" s="2" t="n">
        <v>1</v>
      </c>
      <c r="E1853" s="2" t="n">
        <v>1</v>
      </c>
      <c r="F1853" s="2" t="n">
        <v>49</v>
      </c>
      <c r="G1853" s="2" t="s">
        <v>502</v>
      </c>
      <c r="H1853" s="2" t="str">
        <f aca="false">IFERROR(__xludf.dummyfunction("IF(I1865="""", """", REGEXEXTRACT(I1865, ""Padrao/([^/]+)""))"),"Parque dos Lagos")</f>
        <v>Parque dos Lagos</v>
      </c>
    </row>
    <row r="1854" customFormat="false" ht="15.75" hidden="false" customHeight="false" outlineLevel="0" collapsed="false">
      <c r="A1854" s="2" t="n">
        <v>185129</v>
      </c>
      <c r="B1854" s="2" t="s">
        <v>1645</v>
      </c>
      <c r="C1854" s="2" t="n">
        <v>2</v>
      </c>
      <c r="D1854" s="2" t="n">
        <v>1</v>
      </c>
      <c r="E1854" s="2" t="n">
        <v>1</v>
      </c>
      <c r="F1854" s="2" t="n">
        <v>83</v>
      </c>
      <c r="G1854" s="2" t="s">
        <v>502</v>
      </c>
      <c r="H1854" s="2" t="str">
        <f aca="false">IFERROR(__xludf.dummyfunction("IF(I1866="""", """", REGEXEXTRACT(I1866, ""Padrao/([^/]+)""))"),"Sumarezinho")</f>
        <v>Sumarezinho</v>
      </c>
    </row>
    <row r="1855" customFormat="false" ht="15.75" hidden="false" customHeight="false" outlineLevel="0" collapsed="false">
      <c r="A1855" s="2" t="n">
        <v>182639</v>
      </c>
      <c r="B1855" s="2" t="s">
        <v>872</v>
      </c>
      <c r="C1855" s="2" t="n">
        <v>2</v>
      </c>
      <c r="D1855" s="2" t="n">
        <v>1</v>
      </c>
      <c r="E1855" s="2" t="n">
        <v>1</v>
      </c>
      <c r="F1855" s="2" t="n">
        <v>42</v>
      </c>
      <c r="G1855" s="2" t="s">
        <v>502</v>
      </c>
      <c r="H1855" s="2" t="str">
        <f aca="false">IFERROR(__xludf.dummyfunction("IF(I1867="""", """", REGEXEXTRACT(I1867, ""Padrao/([^/]+)""))"),"Planalto Verde")</f>
        <v>Planalto Verde</v>
      </c>
    </row>
    <row r="1856" customFormat="false" ht="15.75" hidden="false" customHeight="false" outlineLevel="0" collapsed="false">
      <c r="A1856" s="2" t="n">
        <v>180443</v>
      </c>
      <c r="B1856" s="2" t="s">
        <v>1646</v>
      </c>
      <c r="C1856" s="2" t="n">
        <v>2</v>
      </c>
      <c r="D1856" s="2" t="n">
        <v>1</v>
      </c>
      <c r="E1856" s="2" t="n">
        <v>1</v>
      </c>
      <c r="F1856" s="2" t="n">
        <v>46</v>
      </c>
      <c r="G1856" s="2" t="s">
        <v>502</v>
      </c>
      <c r="H1856" s="2" t="str">
        <f aca="false">IFERROR(__xludf.dummyfunction("IF(I1868="""", """", REGEXEXTRACT(I1868, ""Padrao/([^/]+)""))"),"Jardim Marchesi")</f>
        <v>Jardim Marchesi</v>
      </c>
    </row>
    <row r="1857" customFormat="false" ht="15.75" hidden="false" customHeight="false" outlineLevel="0" collapsed="false">
      <c r="A1857" s="2" t="n">
        <v>180383</v>
      </c>
      <c r="B1857" s="2" t="s">
        <v>1402</v>
      </c>
      <c r="C1857" s="2" t="n">
        <v>2</v>
      </c>
      <c r="D1857" s="2" t="n">
        <v>1</v>
      </c>
      <c r="E1857" s="2" t="n">
        <v>1</v>
      </c>
      <c r="F1857" s="2" t="n">
        <v>40</v>
      </c>
      <c r="G1857" s="2" t="s">
        <v>502</v>
      </c>
      <c r="H1857" s="2" t="str">
        <f aca="false">IFERROR(__xludf.dummyfunction("IF(I1869="""", """", REGEXEXTRACT(I1869, ""Padrao/([^/]+)""))"),"Jardim Cybelli")</f>
        <v>Jardim Cybelli</v>
      </c>
    </row>
    <row r="1858" customFormat="false" ht="15.75" hidden="false" customHeight="false" outlineLevel="0" collapsed="false">
      <c r="A1858" s="2" t="n">
        <v>180260</v>
      </c>
      <c r="B1858" s="2" t="s">
        <v>851</v>
      </c>
      <c r="C1858" s="2" t="n">
        <v>1</v>
      </c>
      <c r="D1858" s="2" t="n">
        <v>1</v>
      </c>
      <c r="E1858" s="2" t="n">
        <v>1</v>
      </c>
      <c r="F1858" s="2" t="n">
        <v>50</v>
      </c>
      <c r="G1858" s="2" t="s">
        <v>502</v>
      </c>
      <c r="H1858" s="2" t="str">
        <f aca="false">IFERROR(__xludf.dummyfunction("IF(I1870="""", """", REGEXEXTRACT(I1870, ""Padrao/([^/]+)""))"),"Ipiranga")</f>
        <v>Ipiranga</v>
      </c>
    </row>
    <row r="1859" customFormat="false" ht="15.75" hidden="false" customHeight="false" outlineLevel="0" collapsed="false">
      <c r="A1859" s="2" t="n">
        <v>180188</v>
      </c>
      <c r="B1859" s="2" t="s">
        <v>463</v>
      </c>
      <c r="C1859" s="2" t="n">
        <v>2</v>
      </c>
      <c r="D1859" s="2" t="n">
        <v>1</v>
      </c>
      <c r="E1859" s="2" t="n">
        <v>1</v>
      </c>
      <c r="F1859" s="2" t="n">
        <v>43</v>
      </c>
      <c r="G1859" s="2" t="s">
        <v>502</v>
      </c>
      <c r="H1859" s="2" t="str">
        <f aca="false">IFERROR(__xludf.dummyfunction("IF(I1871="""", """", REGEXEXTRACT(I1871, ""Padrao/([^/]+)""))"),"Reserva Macauba")</f>
        <v>Reserva Macauba</v>
      </c>
    </row>
    <row r="1860" customFormat="false" ht="15.75" hidden="false" customHeight="false" outlineLevel="0" collapsed="false">
      <c r="A1860" s="2" t="n">
        <v>179561</v>
      </c>
      <c r="B1860" s="2" t="s">
        <v>1647</v>
      </c>
      <c r="C1860" s="2" t="n">
        <v>2</v>
      </c>
      <c r="D1860" s="2" t="n">
        <v>1</v>
      </c>
      <c r="E1860" s="2" t="n">
        <v>1</v>
      </c>
      <c r="F1860" s="2" t="n">
        <v>42</v>
      </c>
      <c r="G1860" s="2" t="s">
        <v>502</v>
      </c>
      <c r="H1860" s="2" t="str">
        <f aca="false">IFERROR(__xludf.dummyfunction("IF(I1872="""", """", REGEXEXTRACT(I1872, ""Padrao/([^/]+)""))"),"Jardim Maria Goretti")</f>
        <v>Jardim Maria Goretti</v>
      </c>
    </row>
    <row r="1861" customFormat="false" ht="15.75" hidden="false" customHeight="false" outlineLevel="0" collapsed="false">
      <c r="A1861" s="2" t="n">
        <v>172463</v>
      </c>
      <c r="B1861" s="2" t="s">
        <v>961</v>
      </c>
      <c r="C1861" s="2" t="n">
        <v>1</v>
      </c>
      <c r="D1861" s="2" t="n">
        <v>1</v>
      </c>
      <c r="E1861" s="2" t="n">
        <v>1</v>
      </c>
      <c r="F1861" s="2" t="n">
        <v>42</v>
      </c>
      <c r="G1861" s="2" t="s">
        <v>502</v>
      </c>
      <c r="H1861" s="2" t="str">
        <f aca="false">IFERROR(__xludf.dummyfunction("IF(I1873="""", """", REGEXEXTRACT(I1873, ""Padrao/([^/]+)""))"),"Vila Seixas")</f>
        <v>Vila Seixas</v>
      </c>
    </row>
    <row r="1862" customFormat="false" ht="15.75" hidden="false" customHeight="false" outlineLevel="0" collapsed="false">
      <c r="A1862" s="2" t="n">
        <v>169697</v>
      </c>
      <c r="B1862" s="2" t="s">
        <v>981</v>
      </c>
      <c r="C1862" s="2" t="n">
        <v>2</v>
      </c>
      <c r="D1862" s="2" t="n">
        <v>1</v>
      </c>
      <c r="E1862" s="2" t="n">
        <v>1</v>
      </c>
      <c r="F1862" s="2" t="n">
        <v>42</v>
      </c>
      <c r="G1862" s="2" t="s">
        <v>502</v>
      </c>
      <c r="H1862" s="2" t="str">
        <f aca="false">IFERROR(__xludf.dummyfunction("IF(I1874="""", """", REGEXEXTRACT(I1874, ""Padrao/([^/]+)""))"),"Jardim Pedra Branca")</f>
        <v>Jardim Pedra Branca</v>
      </c>
    </row>
    <row r="1863" customFormat="false" ht="15.75" hidden="false" customHeight="false" outlineLevel="0" collapsed="false">
      <c r="A1863" s="2" t="n">
        <v>167579</v>
      </c>
      <c r="B1863" s="2" t="s">
        <v>1648</v>
      </c>
      <c r="C1863" s="2" t="n">
        <v>1</v>
      </c>
      <c r="D1863" s="2" t="n">
        <v>1</v>
      </c>
      <c r="E1863" s="2" t="n">
        <v>1</v>
      </c>
      <c r="F1863" s="2" t="n">
        <v>44</v>
      </c>
      <c r="G1863" s="2" t="s">
        <v>502</v>
      </c>
      <c r="H1863" s="2" t="str">
        <f aca="false">IFERROR(__xludf.dummyfunction("IF(I1875="""", """", REGEXEXTRACT(I1875, ""Padrao/([^/]+)""))"),"Nova Alianca")</f>
        <v>Nova Alianca</v>
      </c>
    </row>
    <row r="1864" customFormat="false" ht="15.75" hidden="false" customHeight="false" outlineLevel="0" collapsed="false">
      <c r="A1864" s="2" t="n">
        <v>165911</v>
      </c>
      <c r="B1864" s="2" t="s">
        <v>1649</v>
      </c>
      <c r="C1864" s="2" t="n">
        <v>1</v>
      </c>
      <c r="D1864" s="2" t="n">
        <v>1</v>
      </c>
      <c r="E1864" s="2" t="n">
        <v>1</v>
      </c>
      <c r="F1864" s="2" t="n">
        <v>44</v>
      </c>
      <c r="G1864" s="2" t="s">
        <v>502</v>
      </c>
      <c r="H1864" s="2" t="str">
        <f aca="false">IFERROR(__xludf.dummyfunction("IF(I1876="""", """", REGEXEXTRACT(I1876, ""Padrao/([^/]+)""))"),"Jardim Sumare")</f>
        <v>Jardim Sumare</v>
      </c>
    </row>
    <row r="1865" customFormat="false" ht="15.75" hidden="false" customHeight="false" outlineLevel="0" collapsed="false">
      <c r="A1865" s="2" t="n">
        <v>162113</v>
      </c>
      <c r="B1865" s="2" t="s">
        <v>1650</v>
      </c>
      <c r="C1865" s="2" t="n">
        <v>2</v>
      </c>
      <c r="D1865" s="2" t="n">
        <v>1</v>
      </c>
      <c r="E1865" s="2" t="n">
        <v>1</v>
      </c>
      <c r="F1865" s="2" t="n">
        <v>57</v>
      </c>
      <c r="G1865" s="2" t="s">
        <v>502</v>
      </c>
      <c r="H1865" s="2" t="str">
        <f aca="false">IFERROR(__xludf.dummyfunction("IF(I1877="""", """", REGEXEXTRACT(I1877, ""Padrao/([^/]+)""))"),"Vila Maria Luiza")</f>
        <v>Vila Maria Luiza</v>
      </c>
    </row>
    <row r="1866" customFormat="false" ht="15.75" hidden="false" customHeight="false" outlineLevel="0" collapsed="false">
      <c r="A1866" s="2" t="n">
        <v>159005</v>
      </c>
      <c r="B1866" s="2" t="s">
        <v>386</v>
      </c>
      <c r="C1866" s="2" t="n">
        <v>2</v>
      </c>
      <c r="D1866" s="2" t="n">
        <v>1</v>
      </c>
      <c r="E1866" s="2" t="n">
        <v>1</v>
      </c>
      <c r="F1866" s="2" t="n">
        <v>46</v>
      </c>
      <c r="G1866" s="2" t="s">
        <v>502</v>
      </c>
      <c r="H1866" s="2" t="str">
        <f aca="false">IFERROR(__xludf.dummyfunction("IF(I1878="""", """", REGEXEXTRACT(I1878, ""Padrao/([^/]+)""))"),"Residencial Greenville")</f>
        <v>Residencial Greenville</v>
      </c>
    </row>
    <row r="1867" customFormat="false" ht="15.75" hidden="false" customHeight="false" outlineLevel="0" collapsed="false">
      <c r="A1867" s="2" t="n">
        <v>153941</v>
      </c>
      <c r="B1867" s="2" t="s">
        <v>973</v>
      </c>
      <c r="C1867" s="2" t="n">
        <v>2</v>
      </c>
      <c r="D1867" s="2" t="n">
        <v>1</v>
      </c>
      <c r="E1867" s="2" t="n">
        <v>1</v>
      </c>
      <c r="F1867" s="2" t="n">
        <v>45</v>
      </c>
      <c r="G1867" s="2" t="s">
        <v>502</v>
      </c>
      <c r="H1867" s="2" t="str">
        <f aca="false">IFERROR(__xludf.dummyfunction("IF(I1879="""", """", REGEXEXTRACT(I1879, ""Padrao/([^/]+)""))"),"Vila Virginia")</f>
        <v>Vila Virginia</v>
      </c>
    </row>
    <row r="1868" customFormat="false" ht="15.75" hidden="false" customHeight="false" outlineLevel="0" collapsed="false">
      <c r="A1868" s="2" t="n">
        <v>153680</v>
      </c>
      <c r="B1868" s="2" t="s">
        <v>1651</v>
      </c>
      <c r="C1868" s="2" t="n">
        <v>2</v>
      </c>
      <c r="D1868" s="2" t="n">
        <v>1</v>
      </c>
      <c r="E1868" s="2" t="n">
        <v>1</v>
      </c>
      <c r="F1868" s="2" t="n">
        <v>48</v>
      </c>
      <c r="G1868" s="2" t="s">
        <v>502</v>
      </c>
      <c r="H1868" s="2" t="str">
        <f aca="false">IFERROR(__xludf.dummyfunction("IF(I1880="""", """", REGEXEXTRACT(I1880, ""Padrao/([^/]+)""))"),"Jardim Sao Fernando")</f>
        <v>Jardim Sao Fernando</v>
      </c>
    </row>
    <row r="1869" customFormat="false" ht="15.75" hidden="false" customHeight="false" outlineLevel="0" collapsed="false">
      <c r="A1869" s="2" t="n">
        <v>151592</v>
      </c>
      <c r="B1869" s="2" t="s">
        <v>1652</v>
      </c>
      <c r="C1869" s="2" t="n">
        <v>2</v>
      </c>
      <c r="D1869" s="2" t="n">
        <v>1</v>
      </c>
      <c r="E1869" s="2" t="n">
        <v>1</v>
      </c>
      <c r="F1869" s="2" t="n">
        <v>46</v>
      </c>
      <c r="G1869" s="2" t="s">
        <v>502</v>
      </c>
      <c r="H1869" s="2" t="str">
        <f aca="false">IFERROR(__xludf.dummyfunction("IF(I1881="""", """", REGEXEXTRACT(I1881, ""Padrao/([^/]+)""))"),"Reserva Sul Condominio")</f>
        <v>Reserva Sul Condominio</v>
      </c>
    </row>
    <row r="1870" customFormat="false" ht="15.75" hidden="false" customHeight="false" outlineLevel="0" collapsed="false">
      <c r="A1870" s="2" t="n">
        <v>147038</v>
      </c>
      <c r="B1870" s="2" t="s">
        <v>973</v>
      </c>
      <c r="C1870" s="2" t="n">
        <v>2</v>
      </c>
      <c r="D1870" s="2" t="n">
        <v>1</v>
      </c>
      <c r="E1870" s="2" t="n">
        <v>1</v>
      </c>
      <c r="F1870" s="2" t="n">
        <v>42</v>
      </c>
      <c r="G1870" s="2" t="s">
        <v>502</v>
      </c>
      <c r="H1870" s="2" t="str">
        <f aca="false">IFERROR(__xludf.dummyfunction("IF(I1882="""", """", REGEXEXTRACT(I1882, ""Padrao/([^/]+)""))"),"Vila Virginia")</f>
        <v>Vila Virginia</v>
      </c>
    </row>
    <row r="1871" customFormat="false" ht="15.75" hidden="false" customHeight="false" outlineLevel="0" collapsed="false">
      <c r="A1871" s="2" t="n">
        <v>143963</v>
      </c>
      <c r="B1871" s="2" t="s">
        <v>1653</v>
      </c>
      <c r="C1871" s="2" t="n">
        <v>2</v>
      </c>
      <c r="D1871" s="2" t="n">
        <v>2</v>
      </c>
      <c r="E1871" s="2" t="n">
        <v>1</v>
      </c>
      <c r="F1871" s="2" t="n">
        <v>66</v>
      </c>
      <c r="G1871" s="2" t="s">
        <v>502</v>
      </c>
      <c r="H1871" s="2" t="str">
        <f aca="false">IFERROR(__xludf.dummyfunction("IF(I1883="""", """", REGEXEXTRACT(I1883, ""Padrao/([^/]+)""))"),"Sumarezinho")</f>
        <v>Sumarezinho</v>
      </c>
    </row>
    <row r="1872" customFormat="false" ht="15.75" hidden="false" customHeight="false" outlineLevel="0" collapsed="false">
      <c r="A1872" s="2" t="n">
        <v>143513</v>
      </c>
      <c r="B1872" s="2" t="s">
        <v>1654</v>
      </c>
      <c r="C1872" s="2" t="n">
        <v>2</v>
      </c>
      <c r="D1872" s="2" t="n">
        <v>1</v>
      </c>
      <c r="E1872" s="2" t="n">
        <v>1</v>
      </c>
      <c r="F1872" s="2" t="n">
        <v>48</v>
      </c>
      <c r="G1872" s="2" t="s">
        <v>502</v>
      </c>
      <c r="H1872" s="2" t="str">
        <f aca="false">IFERROR(__xludf.dummyfunction("IF(I1884="""", """", REGEXEXTRACT(I1884, ""Padrao/([^/]+)""))"),"Jardim Manoel Penna")</f>
        <v>Jardim Manoel Penna</v>
      </c>
    </row>
    <row r="1873" customFormat="false" ht="15.75" hidden="false" customHeight="false" outlineLevel="0" collapsed="false">
      <c r="A1873" s="2" t="n">
        <v>142820</v>
      </c>
      <c r="B1873" s="2" t="s">
        <v>162</v>
      </c>
      <c r="C1873" s="2" t="n">
        <v>2</v>
      </c>
      <c r="D1873" s="2" t="n">
        <v>1</v>
      </c>
      <c r="E1873" s="2" t="n">
        <v>1</v>
      </c>
      <c r="F1873" s="2" t="n">
        <v>46</v>
      </c>
      <c r="G1873" s="2" t="s">
        <v>502</v>
      </c>
      <c r="H1873" s="2" t="str">
        <f aca="false">IFERROR(__xludf.dummyfunction("IF(I1885="""", """", REGEXEXTRACT(I1885, ""Padrao/([^/]+)""))"),"Sumarezinho")</f>
        <v>Sumarezinho</v>
      </c>
    </row>
    <row r="1874" customFormat="false" ht="15.75" hidden="false" customHeight="false" outlineLevel="0" collapsed="false">
      <c r="A1874" s="2" t="n">
        <v>136190</v>
      </c>
      <c r="B1874" s="2" t="s">
        <v>1655</v>
      </c>
      <c r="C1874" s="2" t="n">
        <v>1</v>
      </c>
      <c r="D1874" s="2" t="n">
        <v>1</v>
      </c>
      <c r="E1874" s="2" t="n">
        <v>1</v>
      </c>
      <c r="F1874" s="2" t="n">
        <v>49</v>
      </c>
      <c r="G1874" s="2" t="s">
        <v>502</v>
      </c>
      <c r="H1874" s="2" t="str">
        <f aca="false">IFERROR(__xludf.dummyfunction("IF(I1886="""", """", REGEXEXTRACT(I1886, ""Padrao/([^/]+)""))"),"Centro")</f>
        <v>Centro</v>
      </c>
    </row>
    <row r="1875" customFormat="false" ht="15.75" hidden="false" customHeight="false" outlineLevel="0" collapsed="false">
      <c r="A1875" s="2" t="n">
        <v>134900</v>
      </c>
      <c r="B1875" s="2" t="s">
        <v>1656</v>
      </c>
      <c r="C1875" s="2" t="n">
        <v>2</v>
      </c>
      <c r="D1875" s="2" t="n">
        <v>1</v>
      </c>
      <c r="E1875" s="2" t="n">
        <v>1</v>
      </c>
      <c r="F1875" s="2" t="n">
        <v>46</v>
      </c>
      <c r="G1875" s="2" t="s">
        <v>502</v>
      </c>
      <c r="H1875" s="2" t="str">
        <f aca="false">IFERROR(__xludf.dummyfunction("IF(I1887="""", """", REGEXEXTRACT(I1887, ""Padrao/([^/]+)""))"),"Jardim Manoel Penna")</f>
        <v>Jardim Manoel Penna</v>
      </c>
    </row>
    <row r="1876" customFormat="false" ht="15.75" hidden="false" customHeight="false" outlineLevel="0" collapsed="false">
      <c r="A1876" s="2" t="n">
        <v>134807</v>
      </c>
      <c r="B1876" s="2" t="s">
        <v>162</v>
      </c>
      <c r="C1876" s="2" t="n">
        <v>2</v>
      </c>
      <c r="D1876" s="2" t="n">
        <v>1</v>
      </c>
      <c r="E1876" s="2" t="n">
        <v>1</v>
      </c>
      <c r="F1876" s="2" t="n">
        <v>46</v>
      </c>
      <c r="G1876" s="2" t="s">
        <v>502</v>
      </c>
      <c r="H1876" s="2" t="str">
        <f aca="false">IFERROR(__xludf.dummyfunction("IF(I1888="""", """", REGEXEXTRACT(I1888, ""Padrao/([^/]+)""))"),"Sumarezinho")</f>
        <v>Sumarezinho</v>
      </c>
    </row>
    <row r="1877" customFormat="false" ht="15.75" hidden="false" customHeight="false" outlineLevel="0" collapsed="false">
      <c r="A1877" s="2" t="n">
        <v>134630</v>
      </c>
      <c r="B1877" s="2" t="s">
        <v>1262</v>
      </c>
      <c r="C1877" s="2" t="n">
        <v>2</v>
      </c>
      <c r="D1877" s="2" t="n">
        <v>1</v>
      </c>
      <c r="E1877" s="2" t="n">
        <v>1</v>
      </c>
      <c r="F1877" s="2" t="n">
        <v>55</v>
      </c>
      <c r="G1877" s="2" t="s">
        <v>502</v>
      </c>
      <c r="H1877" s="2" t="str">
        <f aca="false">IFERROR(__xludf.dummyfunction("IF(I1889="""", """", REGEXEXTRACT(I1889, ""Padrao/([^/]+)""))"),"Presidente Medici")</f>
        <v>Presidente Medici</v>
      </c>
    </row>
    <row r="1878" customFormat="false" ht="15.75" hidden="false" customHeight="false" outlineLevel="0" collapsed="false">
      <c r="A1878" s="2" t="n">
        <v>132398</v>
      </c>
      <c r="B1878" s="2" t="s">
        <v>1657</v>
      </c>
      <c r="C1878" s="2" t="n">
        <v>1</v>
      </c>
      <c r="D1878" s="2" t="n">
        <v>1</v>
      </c>
      <c r="E1878" s="2" t="n">
        <v>1</v>
      </c>
      <c r="F1878" s="2" t="n">
        <v>32</v>
      </c>
      <c r="G1878" s="2" t="s">
        <v>502</v>
      </c>
      <c r="H1878" s="2" t="str">
        <f aca="false">IFERROR(__xludf.dummyfunction("IF(I1890="""", """", REGEXEXTRACT(I1890, ""Padrao/([^/]+)""))"),"Jardim Iraja")</f>
        <v>Jardim Iraja</v>
      </c>
    </row>
    <row r="1879" customFormat="false" ht="15.75" hidden="false" customHeight="false" outlineLevel="0" collapsed="false">
      <c r="A1879" s="2" t="n">
        <v>132344</v>
      </c>
      <c r="B1879" s="2" t="s">
        <v>1658</v>
      </c>
      <c r="C1879" s="2" t="n">
        <v>2</v>
      </c>
      <c r="D1879" s="2" t="n">
        <v>1</v>
      </c>
      <c r="E1879" s="2" t="n">
        <v>1</v>
      </c>
      <c r="F1879" s="2" t="n">
        <v>46</v>
      </c>
      <c r="G1879" s="2" t="s">
        <v>502</v>
      </c>
      <c r="H1879" s="2" t="str">
        <f aca="false">IFERROR(__xludf.dummyfunction("IF(I1891="""", """", REGEXEXTRACT(I1891, ""Padrao/([^/]+)""))"),"Parque Sao Sebastiao")</f>
        <v>Parque Sao Sebastiao</v>
      </c>
    </row>
    <row r="1880" customFormat="false" ht="15.75" hidden="false" customHeight="false" outlineLevel="0" collapsed="false">
      <c r="A1880" s="2" t="n">
        <v>130082</v>
      </c>
      <c r="B1880" s="2" t="s">
        <v>1659</v>
      </c>
      <c r="C1880" s="2" t="n">
        <v>1</v>
      </c>
      <c r="D1880" s="2" t="n">
        <v>1</v>
      </c>
      <c r="E1880" s="2" t="n">
        <v>1</v>
      </c>
      <c r="F1880" s="2" t="n">
        <v>36</v>
      </c>
      <c r="G1880" s="2" t="s">
        <v>502</v>
      </c>
      <c r="H1880" s="2" t="str">
        <f aca="false">IFERROR(__xludf.dummyfunction("IF(I1892="""", """", REGEXEXTRACT(I1892, ""Padrao/([^/]+)""))"),"Parque Industrial Lagoinha")</f>
        <v>Parque Industrial Lagoinha</v>
      </c>
    </row>
    <row r="1881" customFormat="false" ht="15.75" hidden="false" customHeight="false" outlineLevel="0" collapsed="false">
      <c r="A1881" s="2" t="n">
        <v>129353</v>
      </c>
      <c r="B1881" s="2" t="s">
        <v>1270</v>
      </c>
      <c r="C1881" s="2" t="n">
        <v>2</v>
      </c>
      <c r="D1881" s="2" t="n">
        <v>1</v>
      </c>
      <c r="E1881" s="2" t="n">
        <v>1</v>
      </c>
      <c r="F1881" s="2" t="n">
        <v>46</v>
      </c>
      <c r="G1881" s="2" t="s">
        <v>502</v>
      </c>
      <c r="H1881" s="2" t="str">
        <f aca="false">IFERROR(__xludf.dummyfunction("IF(I1893="""", """", REGEXEXTRACT(I1893, ""Padrao/([^/]+)""))"),"Ribeirania")</f>
        <v>Ribeirania</v>
      </c>
    </row>
    <row r="1882" customFormat="false" ht="15.75" hidden="false" customHeight="false" outlineLevel="0" collapsed="false">
      <c r="A1882" s="2" t="n">
        <v>125777</v>
      </c>
      <c r="B1882" s="2" t="s">
        <v>1408</v>
      </c>
      <c r="C1882" s="2" t="n">
        <v>1</v>
      </c>
      <c r="D1882" s="2" t="n">
        <v>1</v>
      </c>
      <c r="E1882" s="2" t="n">
        <v>1</v>
      </c>
      <c r="F1882" s="2" t="n">
        <v>32</v>
      </c>
      <c r="G1882" s="2" t="s">
        <v>502</v>
      </c>
      <c r="H1882" s="2" t="str">
        <f aca="false">IFERROR(__xludf.dummyfunction("IF(I1894="""", """", REGEXEXTRACT(I1894, ""Padrao/([^/]+)""))"),"Loteamento Santa Marta")</f>
        <v>Loteamento Santa Marta</v>
      </c>
    </row>
    <row r="1883" customFormat="false" ht="15.75" hidden="false" customHeight="false" outlineLevel="0" collapsed="false">
      <c r="A1883" s="2" t="n">
        <v>122396</v>
      </c>
      <c r="B1883" s="2" t="s">
        <v>1660</v>
      </c>
      <c r="C1883" s="2" t="n">
        <v>2</v>
      </c>
      <c r="D1883" s="2" t="n">
        <v>2</v>
      </c>
      <c r="E1883" s="2" t="n">
        <v>1</v>
      </c>
      <c r="F1883" s="2" t="n">
        <v>66</v>
      </c>
      <c r="G1883" s="2" t="s">
        <v>502</v>
      </c>
      <c r="H1883" s="2" t="str">
        <f aca="false">IFERROR(__xludf.dummyfunction("IF(I1895="""", """", REGEXEXTRACT(I1895, ""Padrao/([^/]+)""))"),"Vila Amelia")</f>
        <v>Vila Amelia</v>
      </c>
    </row>
    <row r="1884" customFormat="false" ht="15.75" hidden="false" customHeight="false" outlineLevel="0" collapsed="false">
      <c r="A1884" s="2" t="n">
        <v>121598</v>
      </c>
      <c r="B1884" s="2" t="s">
        <v>1661</v>
      </c>
      <c r="C1884" s="2" t="n">
        <v>1</v>
      </c>
      <c r="D1884" s="2" t="n">
        <v>1</v>
      </c>
      <c r="E1884" s="2" t="n">
        <v>1</v>
      </c>
      <c r="F1884" s="2" t="n">
        <v>40</v>
      </c>
      <c r="G1884" s="2" t="s">
        <v>502</v>
      </c>
      <c r="H1884" s="2" t="str">
        <f aca="false">IFERROR(__xludf.dummyfunction("IF(I1896="""", """", REGEXEXTRACT(I1896, ""Padrao/([^/]+)""))"),"Vila Seixas")</f>
        <v>Vila Seixas</v>
      </c>
    </row>
    <row r="1885" customFormat="false" ht="15.75" hidden="false" customHeight="false" outlineLevel="0" collapsed="false">
      <c r="A1885" s="2" t="n">
        <v>118766</v>
      </c>
      <c r="B1885" s="2" t="s">
        <v>1662</v>
      </c>
      <c r="C1885" s="2" t="n">
        <v>2</v>
      </c>
      <c r="D1885" s="2" t="n">
        <v>1</v>
      </c>
      <c r="E1885" s="2" t="n">
        <v>1</v>
      </c>
      <c r="F1885" s="2" t="n">
        <v>40</v>
      </c>
      <c r="G1885" s="2" t="s">
        <v>502</v>
      </c>
      <c r="H1885" s="2" t="str">
        <f aca="false">IFERROR(__xludf.dummyfunction("IF(I1897="""", """", REGEXEXTRACT(I1897, ""Padrao/([^/]+)""))"),"Reserva Real")</f>
        <v>Reserva Real</v>
      </c>
    </row>
    <row r="1886" customFormat="false" ht="15.75" hidden="false" customHeight="false" outlineLevel="0" collapsed="false">
      <c r="A1886" s="2" t="n">
        <v>117791</v>
      </c>
      <c r="B1886" s="2" t="s">
        <v>1663</v>
      </c>
      <c r="C1886" s="2" t="n">
        <v>2</v>
      </c>
      <c r="D1886" s="2" t="n">
        <v>2</v>
      </c>
      <c r="E1886" s="2" t="n">
        <v>1</v>
      </c>
      <c r="F1886" s="2" t="n">
        <v>62</v>
      </c>
      <c r="G1886" s="2" t="s">
        <v>502</v>
      </c>
      <c r="H1886" s="2" t="str">
        <f aca="false">IFERROR(__xludf.dummyfunction("IF(I1898="""", """", REGEXEXTRACT(I1898, ""Padrao/([^/]+)""))"),"Residencial e Comercial Palmares")</f>
        <v>Residencial e Comercial Palmares</v>
      </c>
    </row>
    <row r="1887" customFormat="false" ht="15.75" hidden="false" customHeight="false" outlineLevel="0" collapsed="false">
      <c r="A1887" s="2" t="n">
        <v>115976</v>
      </c>
      <c r="B1887" s="2" t="s">
        <v>776</v>
      </c>
      <c r="C1887" s="2" t="n">
        <v>2</v>
      </c>
      <c r="D1887" s="2" t="n">
        <v>1</v>
      </c>
      <c r="E1887" s="2" t="n">
        <v>1</v>
      </c>
      <c r="F1887" s="2" t="n">
        <v>46</v>
      </c>
      <c r="G1887" s="2" t="s">
        <v>502</v>
      </c>
      <c r="H1887" s="2" t="str">
        <f aca="false">IFERROR(__xludf.dummyfunction("IF(I1899="""", """", REGEXEXTRACT(I1899, ""Padrao/([^/]+)""))"),"Jardim Paulistano")</f>
        <v>Jardim Paulistano</v>
      </c>
    </row>
    <row r="1888" customFormat="false" ht="15.75" hidden="false" customHeight="false" outlineLevel="0" collapsed="false">
      <c r="A1888" s="2" t="n">
        <v>115778</v>
      </c>
      <c r="B1888" s="2" t="s">
        <v>1664</v>
      </c>
      <c r="C1888" s="2" t="n">
        <v>1</v>
      </c>
      <c r="D1888" s="2" t="n">
        <v>1</v>
      </c>
      <c r="E1888" s="2" t="n">
        <v>1</v>
      </c>
      <c r="F1888" s="2" t="n">
        <v>36</v>
      </c>
      <c r="G1888" s="2" t="s">
        <v>502</v>
      </c>
      <c r="H1888" s="2" t="str">
        <f aca="false">IFERROR(__xludf.dummyfunction("IF(I1900="""", """", REGEXEXTRACT(I1900, ""Padrao/([^/]+)""))"),"Jardim Iraja")</f>
        <v>Jardim Iraja</v>
      </c>
    </row>
    <row r="1889" customFormat="false" ht="15.75" hidden="false" customHeight="false" outlineLevel="0" collapsed="false">
      <c r="A1889" s="2" t="n">
        <v>114398</v>
      </c>
      <c r="B1889" s="2" t="s">
        <v>1665</v>
      </c>
      <c r="C1889" s="2" t="n">
        <v>3</v>
      </c>
      <c r="D1889" s="2" t="n">
        <v>2</v>
      </c>
      <c r="E1889" s="2" t="n">
        <v>1</v>
      </c>
      <c r="F1889" s="2" t="n">
        <v>74</v>
      </c>
      <c r="G1889" s="2" t="s">
        <v>502</v>
      </c>
      <c r="H1889" s="2" t="str">
        <f aca="false">IFERROR(__xludf.dummyfunction("IF(I1901="""", """", REGEXEXTRACT(I1901, ""Padrao/([^/]+)""))"),"Parque Industrial Lagoinha")</f>
        <v>Parque Industrial Lagoinha</v>
      </c>
    </row>
    <row r="1890" customFormat="false" ht="15.75" hidden="false" customHeight="false" outlineLevel="0" collapsed="false">
      <c r="A1890" s="2" t="n">
        <v>112175</v>
      </c>
      <c r="B1890" s="2" t="s">
        <v>1666</v>
      </c>
      <c r="C1890" s="2" t="n">
        <v>1</v>
      </c>
      <c r="D1890" s="2" t="n">
        <v>1</v>
      </c>
      <c r="E1890" s="2" t="n">
        <v>1</v>
      </c>
      <c r="F1890" s="2" t="n">
        <v>43</v>
      </c>
      <c r="G1890" s="2" t="s">
        <v>502</v>
      </c>
      <c r="H1890" s="2" t="str">
        <f aca="false">IFERROR(__xludf.dummyfunction("IF(I1902="""", """", REGEXEXTRACT(I1902, ""Padrao/([^/]+)""))"),"Vila Ana Maria")</f>
        <v>Vila Ana Maria</v>
      </c>
    </row>
    <row r="1891" customFormat="false" ht="15.75" hidden="false" customHeight="false" outlineLevel="0" collapsed="false">
      <c r="A1891" s="2" t="n">
        <v>104708</v>
      </c>
      <c r="B1891" s="2" t="s">
        <v>1076</v>
      </c>
      <c r="C1891" s="2" t="n">
        <v>1</v>
      </c>
      <c r="D1891" s="2" t="n">
        <v>1</v>
      </c>
      <c r="E1891" s="2" t="n">
        <v>1</v>
      </c>
      <c r="F1891" s="2" t="n">
        <v>34</v>
      </c>
      <c r="G1891" s="2" t="s">
        <v>502</v>
      </c>
      <c r="H1891" s="2" t="str">
        <f aca="false">IFERROR(__xludf.dummyfunction("IF(I1903="""", """", REGEXEXTRACT(I1903, ""Padrao/([^/]+)""))"),"Residencial Greenville")</f>
        <v>Residencial Greenville</v>
      </c>
    </row>
    <row r="1892" customFormat="false" ht="15.75" hidden="false" customHeight="false" outlineLevel="0" collapsed="false">
      <c r="A1892" s="2" t="n">
        <v>104597</v>
      </c>
      <c r="B1892" s="2" t="s">
        <v>1667</v>
      </c>
      <c r="C1892" s="2" t="n">
        <v>2</v>
      </c>
      <c r="D1892" s="2" t="n">
        <v>1</v>
      </c>
      <c r="E1892" s="2" t="n">
        <v>1</v>
      </c>
      <c r="F1892" s="2" t="n">
        <v>36</v>
      </c>
      <c r="G1892" s="2" t="s">
        <v>502</v>
      </c>
      <c r="H1892" s="2" t="str">
        <f aca="false">IFERROR(__xludf.dummyfunction("IF(I1904="""", """", REGEXEXTRACT(I1904, ""Padrao/([^/]+)""))"),"Jardim Itau")</f>
        <v>Jardim Itau</v>
      </c>
    </row>
    <row r="1893" customFormat="false" ht="15.75" hidden="false" customHeight="false" outlineLevel="0" collapsed="false">
      <c r="A1893" s="2" t="n">
        <v>102287</v>
      </c>
      <c r="B1893" s="2" t="s">
        <v>1612</v>
      </c>
      <c r="C1893" s="2" t="n">
        <v>2</v>
      </c>
      <c r="D1893" s="2" t="n">
        <v>1</v>
      </c>
      <c r="E1893" s="2" t="n">
        <v>1</v>
      </c>
      <c r="F1893" s="2" t="n">
        <v>60</v>
      </c>
      <c r="G1893" s="2" t="s">
        <v>502</v>
      </c>
      <c r="H1893" s="2" t="str">
        <f aca="false">IFERROR(__xludf.dummyfunction("IF(I1905="""", """", REGEXEXTRACT(I1905, ""Padrao/([^/]+)""))"),"Parque dos Lagos")</f>
        <v>Parque dos Lagos</v>
      </c>
    </row>
    <row r="1894" customFormat="false" ht="15.75" hidden="false" customHeight="false" outlineLevel="0" collapsed="false">
      <c r="A1894" s="2" t="n">
        <v>99941</v>
      </c>
      <c r="B1894" s="2" t="s">
        <v>1668</v>
      </c>
      <c r="C1894" s="2" t="n">
        <v>1</v>
      </c>
      <c r="D1894" s="2" t="n">
        <v>1</v>
      </c>
      <c r="E1894" s="2" t="n">
        <v>1</v>
      </c>
      <c r="F1894" s="2" t="n">
        <v>48</v>
      </c>
      <c r="G1894" s="2" t="s">
        <v>502</v>
      </c>
      <c r="H1894" s="2" t="str">
        <f aca="false">IFERROR(__xludf.dummyfunction("IF(I1906="""", """", REGEXEXTRACT(I1906, ""Padrao/([^/]+)""))"),"Jardim Paulista")</f>
        <v>Jardim Paulista</v>
      </c>
    </row>
    <row r="1895" customFormat="false" ht="15.75" hidden="false" customHeight="false" outlineLevel="0" collapsed="false">
      <c r="A1895" s="2"/>
      <c r="B1895" s="2"/>
      <c r="C1895" s="2"/>
      <c r="D1895" s="2"/>
      <c r="E1895" s="2"/>
      <c r="F1895" s="2"/>
      <c r="G1895" s="2"/>
      <c r="H1895" s="2"/>
    </row>
    <row r="1896" customFormat="false" ht="15.75" hidden="false" customHeight="false" outlineLevel="0" collapsed="false">
      <c r="A1896" s="2" t="n">
        <v>99029</v>
      </c>
      <c r="B1896" s="2" t="s">
        <v>162</v>
      </c>
      <c r="C1896" s="2" t="n">
        <v>1</v>
      </c>
      <c r="D1896" s="2" t="n">
        <v>1</v>
      </c>
      <c r="E1896" s="2" t="n">
        <v>1</v>
      </c>
      <c r="F1896" s="2" t="n">
        <v>46</v>
      </c>
      <c r="G1896" s="2" t="s">
        <v>502</v>
      </c>
      <c r="H1896" s="2" t="str">
        <f aca="false">IFERROR(__xludf.dummyfunction("IF(I1908="""", """", REGEXEXTRACT(I1908, ""Padrao/([^/]+)""))"),"Jardim Paulista")</f>
        <v>Jardim Paulista</v>
      </c>
    </row>
    <row r="1897" customFormat="false" ht="15.75" hidden="false" customHeight="false" outlineLevel="0" collapsed="false">
      <c r="A1897" s="2" t="n">
        <v>97280</v>
      </c>
      <c r="B1897" s="2" t="s">
        <v>1669</v>
      </c>
      <c r="C1897" s="2" t="n">
        <v>1</v>
      </c>
      <c r="D1897" s="2" t="n">
        <v>1</v>
      </c>
      <c r="E1897" s="2" t="n">
        <v>1</v>
      </c>
      <c r="F1897" s="2" t="n">
        <v>56</v>
      </c>
      <c r="G1897" s="2" t="s">
        <v>502</v>
      </c>
      <c r="H1897" s="2" t="str">
        <f aca="false">IFERROR(__xludf.dummyfunction("IF(I1909="""", """", REGEXEXTRACT(I1909, ""Padrao/([^/]+)""))"),"Centro")</f>
        <v>Centro</v>
      </c>
    </row>
    <row r="1898" customFormat="false" ht="15.75" hidden="false" customHeight="false" outlineLevel="0" collapsed="false">
      <c r="A1898" s="2" t="n">
        <v>97001</v>
      </c>
      <c r="B1898" s="2" t="s">
        <v>1670</v>
      </c>
      <c r="C1898" s="2" t="n">
        <v>1</v>
      </c>
      <c r="D1898" s="2" t="n">
        <v>1</v>
      </c>
      <c r="E1898" s="2" t="n">
        <v>1</v>
      </c>
      <c r="F1898" s="2" t="n">
        <v>37</v>
      </c>
      <c r="G1898" s="2" t="s">
        <v>502</v>
      </c>
      <c r="H1898" s="2" t="str">
        <f aca="false">IFERROR(__xludf.dummyfunction("IF(I1910="""", """", REGEXEXTRACT(I1910, ""Padrao/([^/]+)""))"),"Centro")</f>
        <v>Centro</v>
      </c>
    </row>
    <row r="1899" customFormat="false" ht="15.75" hidden="false" customHeight="false" outlineLevel="0" collapsed="false">
      <c r="A1899" s="2" t="n">
        <v>96134</v>
      </c>
      <c r="B1899" s="2" t="s">
        <v>1671</v>
      </c>
      <c r="C1899" s="2" t="n">
        <v>1</v>
      </c>
      <c r="D1899" s="2" t="n">
        <v>1</v>
      </c>
      <c r="E1899" s="2" t="n">
        <v>1</v>
      </c>
      <c r="F1899" s="2" t="n">
        <v>48</v>
      </c>
      <c r="G1899" s="2" t="s">
        <v>502</v>
      </c>
      <c r="H1899" s="2" t="str">
        <f aca="false">IFERROR(__xludf.dummyfunction("IF(I1911="""", """", REGEXEXTRACT(I1911, ""Padrao/([^/]+)""))"),"Centro")</f>
        <v>Centro</v>
      </c>
    </row>
    <row r="1900" customFormat="false" ht="15.75" hidden="false" customHeight="false" outlineLevel="0" collapsed="false">
      <c r="A1900" s="2" t="n">
        <v>95237</v>
      </c>
      <c r="B1900" s="2" t="s">
        <v>162</v>
      </c>
      <c r="C1900" s="2" t="n">
        <v>1</v>
      </c>
      <c r="D1900" s="2" t="n">
        <v>1</v>
      </c>
      <c r="E1900" s="2" t="n">
        <v>1</v>
      </c>
      <c r="F1900" s="2" t="n">
        <v>55</v>
      </c>
      <c r="G1900" s="2" t="s">
        <v>502</v>
      </c>
      <c r="H1900" s="2" t="str">
        <f aca="false">IFERROR(__xludf.dummyfunction("IF(I1912="""", """", REGEXEXTRACT(I1912, ""Padrao/([^/]+)""))"),"Jardim Iraja")</f>
        <v>Jardim Iraja</v>
      </c>
    </row>
    <row r="1901" customFormat="false" ht="15.75" hidden="false" customHeight="false" outlineLevel="0" collapsed="false">
      <c r="A1901" s="2" t="n">
        <v>95045</v>
      </c>
      <c r="B1901" s="2" t="s">
        <v>1672</v>
      </c>
      <c r="C1901" s="2" t="n">
        <v>2</v>
      </c>
      <c r="D1901" s="2" t="n">
        <v>1</v>
      </c>
      <c r="E1901" s="2" t="n">
        <v>1</v>
      </c>
      <c r="F1901" s="2" t="n">
        <v>56</v>
      </c>
      <c r="G1901" s="2" t="s">
        <v>502</v>
      </c>
      <c r="H1901" s="2" t="str">
        <f aca="false">IFERROR(__xludf.dummyfunction("IF(I1913="""", """", REGEXEXTRACT(I1913, ""Padrao/([^/]+)""))"),"Vila Monte Alegre")</f>
        <v>Vila Monte Alegre</v>
      </c>
    </row>
    <row r="1902" customFormat="false" ht="15.75" hidden="false" customHeight="false" outlineLevel="0" collapsed="false">
      <c r="A1902" s="2" t="n">
        <v>94802</v>
      </c>
      <c r="B1902" s="2" t="s">
        <v>1673</v>
      </c>
      <c r="C1902" s="2" t="n">
        <v>2</v>
      </c>
      <c r="D1902" s="2" t="n">
        <v>1</v>
      </c>
      <c r="E1902" s="2" t="n">
        <v>1</v>
      </c>
      <c r="F1902" s="2" t="n">
        <v>48</v>
      </c>
      <c r="G1902" s="2" t="s">
        <v>502</v>
      </c>
      <c r="H1902" s="2" t="str">
        <f aca="false">IFERROR(__xludf.dummyfunction("IF(I1914="""", """", REGEXEXTRACT(I1914, ""Padrao/([^/]+)""))"),"Parque dos Pinus")</f>
        <v>Parque dos Pinus</v>
      </c>
    </row>
    <row r="1903" customFormat="false" ht="15.75" hidden="false" customHeight="false" outlineLevel="0" collapsed="false">
      <c r="A1903" s="2" t="n">
        <v>94175</v>
      </c>
      <c r="B1903" s="2" t="s">
        <v>1674</v>
      </c>
      <c r="C1903" s="2" t="n">
        <v>2</v>
      </c>
      <c r="D1903" s="2" t="n">
        <v>1</v>
      </c>
      <c r="E1903" s="2" t="n">
        <v>1</v>
      </c>
      <c r="F1903" s="2" t="n">
        <v>49</v>
      </c>
      <c r="G1903" s="2" t="s">
        <v>502</v>
      </c>
      <c r="H1903" s="2" t="str">
        <f aca="false">IFERROR(__xludf.dummyfunction("IF(I1915="""", """", REGEXEXTRACT(I1915, ""Padrao/([^/]+)""))"),"Jardim Sumare")</f>
        <v>Jardim Sumare</v>
      </c>
    </row>
    <row r="1904" customFormat="false" ht="15.75" hidden="false" customHeight="false" outlineLevel="0" collapsed="false">
      <c r="A1904" s="2" t="n">
        <v>92807</v>
      </c>
      <c r="B1904" s="2" t="s">
        <v>851</v>
      </c>
      <c r="C1904" s="2" t="n">
        <v>2</v>
      </c>
      <c r="D1904" s="2" t="n">
        <v>1</v>
      </c>
      <c r="E1904" s="2" t="n">
        <v>1</v>
      </c>
      <c r="F1904" s="2" t="n">
        <v>42</v>
      </c>
      <c r="G1904" s="2" t="s">
        <v>502</v>
      </c>
      <c r="H1904" s="2" t="str">
        <f aca="false">IFERROR(__xludf.dummyfunction("IF(I1916="""", """", REGEXEXTRACT(I1916, ""Padrao/([^/]+)""))"),"Ipiranga")</f>
        <v>Ipiranga</v>
      </c>
    </row>
    <row r="1905" customFormat="false" ht="15.75" hidden="false" customHeight="false" outlineLevel="0" collapsed="false">
      <c r="A1905" s="2" t="n">
        <v>91241</v>
      </c>
      <c r="B1905" s="2" t="s">
        <v>1675</v>
      </c>
      <c r="C1905" s="2" t="n">
        <v>1</v>
      </c>
      <c r="D1905" s="2" t="n">
        <v>1</v>
      </c>
      <c r="E1905" s="2" t="n">
        <v>1</v>
      </c>
      <c r="F1905" s="2" t="n">
        <v>51</v>
      </c>
      <c r="G1905" s="2" t="s">
        <v>502</v>
      </c>
      <c r="H1905" s="2" t="str">
        <f aca="false">IFERROR(__xludf.dummyfunction("IF(I1917="""", """", REGEXEXTRACT(I1917, ""Padrao/([^/]+)""))"),"Centro")</f>
        <v>Centro</v>
      </c>
    </row>
    <row r="1906" customFormat="false" ht="15.75" hidden="false" customHeight="false" outlineLevel="0" collapsed="false">
      <c r="A1906" s="2" t="n">
        <v>87920</v>
      </c>
      <c r="B1906" s="2" t="s">
        <v>750</v>
      </c>
      <c r="C1906" s="2" t="n">
        <v>2</v>
      </c>
      <c r="D1906" s="2" t="n">
        <v>1</v>
      </c>
      <c r="E1906" s="2" t="n">
        <v>1</v>
      </c>
      <c r="F1906" s="2" t="n">
        <v>42</v>
      </c>
      <c r="G1906" s="2" t="s">
        <v>502</v>
      </c>
      <c r="H1906" s="2" t="str">
        <f aca="false">IFERROR(__xludf.dummyfunction("IF(I1918="""", """", REGEXEXTRACT(I1918, ""Padrao/([^/]+)""))"),"Ipiranga")</f>
        <v>Ipiranga</v>
      </c>
    </row>
    <row r="1907" customFormat="false" ht="15.75" hidden="false" customHeight="false" outlineLevel="0" collapsed="false">
      <c r="A1907" s="2" t="n">
        <v>86588</v>
      </c>
      <c r="B1907" s="2" t="s">
        <v>1676</v>
      </c>
      <c r="C1907" s="2" t="n">
        <v>1</v>
      </c>
      <c r="D1907" s="2" t="n">
        <v>1</v>
      </c>
      <c r="E1907" s="2" t="n">
        <v>1</v>
      </c>
      <c r="F1907" s="2" t="n">
        <v>37</v>
      </c>
      <c r="G1907" s="2" t="s">
        <v>502</v>
      </c>
      <c r="H1907" s="2" t="str">
        <f aca="false">IFERROR(__xludf.dummyfunction("IF(I1919="""", """", REGEXEXTRACT(I1919, ""Padrao/([^/]+)""))"),"Jardim Iraja")</f>
        <v>Jardim Iraja</v>
      </c>
    </row>
    <row r="1908" customFormat="false" ht="15.75" hidden="false" customHeight="false" outlineLevel="0" collapsed="false">
      <c r="A1908" s="2" t="n">
        <v>86510</v>
      </c>
      <c r="B1908" s="2" t="s">
        <v>1677</v>
      </c>
      <c r="C1908" s="2" t="n">
        <v>1</v>
      </c>
      <c r="D1908" s="2" t="n">
        <v>1</v>
      </c>
      <c r="E1908" s="2" t="n">
        <v>1</v>
      </c>
      <c r="F1908" s="2" t="n">
        <v>30</v>
      </c>
      <c r="G1908" s="2" t="s">
        <v>502</v>
      </c>
      <c r="H1908" s="2" t="str">
        <f aca="false">IFERROR(__xludf.dummyfunction("IF(I1920="""", """", REGEXEXTRACT(I1920, ""Padrao/([^/]+)""))"),"Jardim Sao Luiz")</f>
        <v>Jardim Sao Luiz</v>
      </c>
    </row>
    <row r="1909" customFormat="false" ht="15.75" hidden="false" customHeight="false" outlineLevel="0" collapsed="false">
      <c r="A1909" s="2" t="n">
        <v>69749</v>
      </c>
      <c r="B1909" s="2" t="s">
        <v>1678</v>
      </c>
      <c r="C1909" s="2" t="n">
        <v>1</v>
      </c>
      <c r="D1909" s="2" t="n">
        <v>1</v>
      </c>
      <c r="E1909" s="2" t="n">
        <v>1</v>
      </c>
      <c r="F1909" s="2" t="n">
        <v>37</v>
      </c>
      <c r="G1909" s="2" t="s">
        <v>502</v>
      </c>
      <c r="H1909" s="2" t="str">
        <f aca="false">IFERROR(__xludf.dummyfunction("IF(I1921="""", """", REGEXEXTRACT(I1921, ""Padrao/([^/]+)""))"),"Presidente Medici")</f>
        <v>Presidente Medici</v>
      </c>
    </row>
    <row r="1910" customFormat="false" ht="15.75" hidden="false" customHeight="false" outlineLevel="0" collapsed="false">
      <c r="A1910" s="2" t="n">
        <v>68054</v>
      </c>
      <c r="B1910" s="2" t="s">
        <v>1679</v>
      </c>
      <c r="C1910" s="2" t="n">
        <v>2</v>
      </c>
      <c r="D1910" s="2" t="n">
        <v>2</v>
      </c>
      <c r="E1910" s="2" t="n">
        <v>1</v>
      </c>
      <c r="F1910" s="2" t="n">
        <v>49</v>
      </c>
      <c r="G1910" s="2" t="s">
        <v>502</v>
      </c>
      <c r="H1910" s="2" t="str">
        <f aca="false">IFERROR(__xludf.dummyfunction("IF(I1922="""", """", REGEXEXTRACT(I1922, ""Padrao/([^/]+)""))"),"Sumarezinho")</f>
        <v>Sumarezinho</v>
      </c>
    </row>
    <row r="1911" customFormat="false" ht="15.75" hidden="false" customHeight="false" outlineLevel="0" collapsed="false">
      <c r="A1911" s="2" t="n">
        <v>64466</v>
      </c>
      <c r="B1911" s="2" t="s">
        <v>1680</v>
      </c>
      <c r="C1911" s="2" t="n">
        <v>1</v>
      </c>
      <c r="D1911" s="2" t="n">
        <v>1</v>
      </c>
      <c r="E1911" s="2" t="n">
        <v>1</v>
      </c>
      <c r="F1911" s="2" t="n">
        <v>40</v>
      </c>
      <c r="G1911" s="2" t="s">
        <v>502</v>
      </c>
      <c r="H1911" s="2" t="str">
        <f aca="false">IFERROR(__xludf.dummyfunction("IF(I1923="""", """", REGEXEXTRACT(I1923, ""Padrao/([^/]+)""))"),"Vila Seixas")</f>
        <v>Vila Seixas</v>
      </c>
    </row>
    <row r="1912" customFormat="false" ht="15.75" hidden="false" customHeight="false" outlineLevel="0" collapsed="false">
      <c r="A1912" s="2" t="n">
        <v>15893</v>
      </c>
      <c r="B1912" s="2" t="s">
        <v>1681</v>
      </c>
      <c r="C1912" s="2" t="n">
        <v>1</v>
      </c>
      <c r="D1912" s="2" t="n">
        <v>1</v>
      </c>
      <c r="E1912" s="2" t="n">
        <v>1</v>
      </c>
      <c r="F1912" s="2" t="n">
        <v>37</v>
      </c>
      <c r="G1912" s="2" t="s">
        <v>502</v>
      </c>
      <c r="H1912" s="2" t="str">
        <f aca="false">IFERROR(__xludf.dummyfunction("IF(I1925="""", """", REGEXEXTRACT(I1925, ""Padrao/([^/]+)""))"),"Nova Alianca")</f>
        <v>Nova Alianca</v>
      </c>
    </row>
    <row r="1913" customFormat="false" ht="15.75" hidden="false" customHeight="false" outlineLevel="0" collapsed="false">
      <c r="A1913" s="2" t="n">
        <v>5846</v>
      </c>
      <c r="B1913" s="2" t="s">
        <v>1682</v>
      </c>
      <c r="C1913" s="2" t="n">
        <v>1</v>
      </c>
      <c r="D1913" s="2" t="n">
        <v>1</v>
      </c>
      <c r="E1913" s="2" t="n">
        <v>1</v>
      </c>
      <c r="F1913" s="2" t="n">
        <v>49</v>
      </c>
      <c r="G1913" s="2" t="s">
        <v>502</v>
      </c>
      <c r="H1913" s="2" t="str">
        <f aca="false">IFERROR(__xludf.dummyfunction("IF(I1926="""", """", REGEXEXTRACT(I1926, ""Padrao/([^/]+)""))"),"Centro")</f>
        <v>Centro</v>
      </c>
    </row>
    <row r="1914" customFormat="false" ht="15.75" hidden="false" customHeight="false" outlineLevel="0" collapsed="false">
      <c r="A1914" s="2" t="n">
        <v>5747</v>
      </c>
      <c r="B1914" s="2" t="s">
        <v>1683</v>
      </c>
      <c r="C1914" s="2" t="n">
        <v>1</v>
      </c>
      <c r="D1914" s="2" t="n">
        <v>1</v>
      </c>
      <c r="E1914" s="2" t="n">
        <v>1</v>
      </c>
      <c r="F1914" s="2" t="n">
        <v>48</v>
      </c>
      <c r="G1914" s="2" t="s">
        <v>502</v>
      </c>
      <c r="H1914" s="2" t="str">
        <f aca="false">IFERROR(__xludf.dummyfunction("IF(I1927="""", """", REGEXEXTRACT(I1927, ""Padrao/([^/]+)""))"),"Higienopolis")</f>
        <v>Higienopolis</v>
      </c>
    </row>
    <row r="1915" customFormat="false" ht="15.75" hidden="false" customHeight="false" outlineLevel="0" collapsed="false">
      <c r="A1915" s="2" t="n">
        <v>174599</v>
      </c>
      <c r="B1915" s="2" t="s">
        <v>1684</v>
      </c>
      <c r="C1915" s="2" t="n">
        <v>2</v>
      </c>
      <c r="D1915" s="2" t="n">
        <v>1</v>
      </c>
      <c r="E1915" s="2" t="n">
        <v>1</v>
      </c>
      <c r="F1915" s="2" t="n">
        <v>48</v>
      </c>
      <c r="G1915" s="2" t="s">
        <v>1685</v>
      </c>
      <c r="H1915" s="2" t="str">
        <f aca="false">IFERROR(__xludf.dummyfunction("IF(I1928="""", """", REGEXEXTRACT(I1928, ""Padrao/([^/]+)""))"),"Reserva Sul Condominio")</f>
        <v>Reserva Sul Condominio</v>
      </c>
    </row>
    <row r="1916" customFormat="false" ht="15.75" hidden="false" customHeight="false" outlineLevel="0" collapsed="false">
      <c r="A1916" s="2" t="n">
        <v>240998</v>
      </c>
      <c r="B1916" s="2" t="s">
        <v>1043</v>
      </c>
      <c r="C1916" s="2" t="n">
        <v>2</v>
      </c>
      <c r="D1916" s="2" t="n">
        <v>1</v>
      </c>
      <c r="E1916" s="2" t="n">
        <v>1</v>
      </c>
      <c r="F1916" s="2" t="n">
        <v>43</v>
      </c>
      <c r="G1916" s="2" t="s">
        <v>509</v>
      </c>
      <c r="H1916" s="2" t="str">
        <f aca="false">IFERROR(__xludf.dummyfunction("IF(I1929="""", """", REGEXEXTRACT(I1929, ""Padrao/([^/]+)""))"),"Loteamento Santa Marta")</f>
        <v>Loteamento Santa Marta</v>
      </c>
    </row>
    <row r="1917" customFormat="false" ht="15.75" hidden="false" customHeight="false" outlineLevel="0" collapsed="false">
      <c r="A1917" s="2" t="n">
        <v>238946</v>
      </c>
      <c r="B1917" s="2" t="s">
        <v>835</v>
      </c>
      <c r="C1917" s="2" t="n">
        <v>2</v>
      </c>
      <c r="D1917" s="2" t="n">
        <v>1</v>
      </c>
      <c r="E1917" s="2" t="n">
        <v>1</v>
      </c>
      <c r="F1917" s="2" t="n">
        <v>52</v>
      </c>
      <c r="G1917" s="2" t="s">
        <v>509</v>
      </c>
      <c r="H1917" s="2" t="str">
        <f aca="false">IFERROR(__xludf.dummyfunction("IF(I1930="""", """", REGEXEXTRACT(I1930, ""Padrao/([^/]+)""))"),"Jardim Palma Travassos")</f>
        <v>Jardim Palma Travassos</v>
      </c>
    </row>
    <row r="1918" customFormat="false" ht="15.75" hidden="false" customHeight="false" outlineLevel="0" collapsed="false">
      <c r="A1918" s="2" t="n">
        <v>185675</v>
      </c>
      <c r="B1918" s="2" t="s">
        <v>843</v>
      </c>
      <c r="C1918" s="2" t="n">
        <v>2</v>
      </c>
      <c r="D1918" s="2" t="n">
        <v>1</v>
      </c>
      <c r="E1918" s="2" t="n">
        <v>1</v>
      </c>
      <c r="F1918" s="2" t="n">
        <v>40</v>
      </c>
      <c r="G1918" s="2" t="s">
        <v>509</v>
      </c>
      <c r="H1918" s="2" t="str">
        <f aca="false">IFERROR(__xludf.dummyfunction("IF(I1931="""", """", REGEXEXTRACT(I1931, ""Padrao/([^/]+)""))"),"Jardim Ouro Branco")</f>
        <v>Jardim Ouro Branco</v>
      </c>
    </row>
    <row r="1919" customFormat="false" ht="15.75" hidden="false" customHeight="false" outlineLevel="0" collapsed="false">
      <c r="A1919" s="2" t="n">
        <v>177650</v>
      </c>
      <c r="B1919" s="2" t="s">
        <v>1686</v>
      </c>
      <c r="C1919" s="2" t="n">
        <v>1</v>
      </c>
      <c r="D1919" s="2" t="n">
        <v>1</v>
      </c>
      <c r="E1919" s="2" t="n">
        <v>1</v>
      </c>
      <c r="F1919" s="2" t="n">
        <v>42</v>
      </c>
      <c r="G1919" s="2" t="s">
        <v>509</v>
      </c>
      <c r="H1919" s="2" t="str">
        <f aca="false">IFERROR(__xludf.dummyfunction("IF(I1932="""", """", REGEXEXTRACT(I1932, ""Padrao/([^/]+)""))"),"Campos Eliseos")</f>
        <v>Campos Eliseos</v>
      </c>
    </row>
    <row r="1920" customFormat="false" ht="15.75" hidden="false" customHeight="false" outlineLevel="0" collapsed="false">
      <c r="A1920" s="2" t="n">
        <v>171587</v>
      </c>
      <c r="B1920" s="2" t="s">
        <v>1687</v>
      </c>
      <c r="C1920" s="2" t="n">
        <v>3</v>
      </c>
      <c r="D1920" s="2" t="n">
        <v>1</v>
      </c>
      <c r="E1920" s="2" t="n">
        <v>1</v>
      </c>
      <c r="F1920" s="2" t="n">
        <v>63</v>
      </c>
      <c r="G1920" s="2" t="s">
        <v>509</v>
      </c>
      <c r="H1920" s="2" t="str">
        <f aca="false">IFERROR(__xludf.dummyfunction("IF(I1933="""", """", REGEXEXTRACT(I1933, ""Padrao/([^/]+)""))"),"Jardim Interlagos")</f>
        <v>Jardim Interlagos</v>
      </c>
    </row>
    <row r="1921" customFormat="false" ht="15.75" hidden="false" customHeight="false" outlineLevel="0" collapsed="false">
      <c r="A1921" s="2" t="n">
        <v>168470</v>
      </c>
      <c r="B1921" s="2" t="s">
        <v>951</v>
      </c>
      <c r="C1921" s="2" t="n">
        <v>2</v>
      </c>
      <c r="D1921" s="2" t="n">
        <v>1</v>
      </c>
      <c r="E1921" s="2" t="n">
        <v>1</v>
      </c>
      <c r="F1921" s="2" t="n">
        <v>52</v>
      </c>
      <c r="G1921" s="2" t="s">
        <v>509</v>
      </c>
      <c r="H1921" s="2" t="str">
        <f aca="false">IFERROR(__xludf.dummyfunction("IF(I1934="""", """", REGEXEXTRACT(I1934, ""Padrao/([^/]+)""))"),"Jardim Ouro Branco")</f>
        <v>Jardim Ouro Branco</v>
      </c>
    </row>
    <row r="1922" customFormat="false" ht="15.75" hidden="false" customHeight="false" outlineLevel="0" collapsed="false">
      <c r="A1922" s="2" t="n">
        <v>151877</v>
      </c>
      <c r="B1922" s="2" t="s">
        <v>1688</v>
      </c>
      <c r="C1922" s="2" t="n">
        <v>3</v>
      </c>
      <c r="D1922" s="2" t="n">
        <v>2</v>
      </c>
      <c r="E1922" s="2" t="n">
        <v>1</v>
      </c>
      <c r="F1922" s="2" t="n">
        <v>74</v>
      </c>
      <c r="G1922" s="2" t="s">
        <v>509</v>
      </c>
      <c r="H1922" s="2" t="str">
        <f aca="false">IFERROR(__xludf.dummyfunction("IF(I1935="""", """", REGEXEXTRACT(I1935, ""Padrao/([^/]+)""))"),"Residencial e Comercial Palmares")</f>
        <v>Residencial e Comercial Palmares</v>
      </c>
    </row>
    <row r="1923" customFormat="false" ht="15.75" hidden="false" customHeight="false" outlineLevel="0" collapsed="false">
      <c r="A1923" s="2" t="n">
        <v>147974</v>
      </c>
      <c r="B1923" s="2" t="s">
        <v>857</v>
      </c>
      <c r="C1923" s="2" t="n">
        <v>2</v>
      </c>
      <c r="D1923" s="2" t="n">
        <v>1</v>
      </c>
      <c r="E1923" s="2" t="n">
        <v>1</v>
      </c>
      <c r="F1923" s="2" t="n">
        <v>44</v>
      </c>
      <c r="G1923" s="2" t="s">
        <v>509</v>
      </c>
      <c r="H1923" s="2" t="str">
        <f aca="false">IFERROR(__xludf.dummyfunction("IF(I1936="""", """", REGEXEXTRACT(I1936, ""Padrao/([^/]+)""))"),"Ipiranga")</f>
        <v>Ipiranga</v>
      </c>
    </row>
    <row r="1924" customFormat="false" ht="15.75" hidden="false" customHeight="false" outlineLevel="0" collapsed="false">
      <c r="A1924" s="2" t="n">
        <v>138836</v>
      </c>
      <c r="B1924" s="2" t="s">
        <v>1689</v>
      </c>
      <c r="C1924" s="2" t="n">
        <v>1</v>
      </c>
      <c r="D1924" s="2" t="n">
        <v>1</v>
      </c>
      <c r="E1924" s="2" t="n">
        <v>1</v>
      </c>
      <c r="F1924" s="2" t="n">
        <v>46</v>
      </c>
      <c r="G1924" s="2" t="s">
        <v>509</v>
      </c>
      <c r="H1924" s="2" t="str">
        <f aca="false">IFERROR(__xludf.dummyfunction("IF(I1937="""", """", REGEXEXTRACT(I1937, ""Padrao/([^/]+)""))"),"Jardim Paulista")</f>
        <v>Jardim Paulista</v>
      </c>
    </row>
    <row r="1925" customFormat="false" ht="15.75" hidden="false" customHeight="false" outlineLevel="0" collapsed="false">
      <c r="A1925" s="2" t="n">
        <v>117038</v>
      </c>
      <c r="B1925" s="2" t="s">
        <v>1690</v>
      </c>
      <c r="C1925" s="2" t="n">
        <v>1</v>
      </c>
      <c r="D1925" s="2" t="n">
        <v>1</v>
      </c>
      <c r="E1925" s="2" t="n">
        <v>1</v>
      </c>
      <c r="F1925" s="2" t="n">
        <v>31</v>
      </c>
      <c r="G1925" s="2" t="s">
        <v>509</v>
      </c>
      <c r="H1925" s="2" t="str">
        <f aca="false">IFERROR(__xludf.dummyfunction("IF(I1938="""", """", REGEXEXTRACT(I1938, ""Padrao/([^/]+)""))"),"Vila Ana Maria")</f>
        <v>Vila Ana Maria</v>
      </c>
    </row>
    <row r="1926" customFormat="false" ht="15.75" hidden="false" customHeight="false" outlineLevel="0" collapsed="false">
      <c r="A1926" s="2" t="n">
        <v>101369</v>
      </c>
      <c r="B1926" s="2" t="s">
        <v>847</v>
      </c>
      <c r="C1926" s="2" t="n">
        <v>2</v>
      </c>
      <c r="D1926" s="2" t="n">
        <v>1</v>
      </c>
      <c r="E1926" s="2" t="n">
        <v>1</v>
      </c>
      <c r="F1926" s="2" t="n">
        <v>60</v>
      </c>
      <c r="G1926" s="2" t="s">
        <v>509</v>
      </c>
      <c r="H1926" s="2" t="str">
        <f aca="false">IFERROR(__xludf.dummyfunction("IF(I1939="""", """", REGEXEXTRACT(I1939, ""Padrao/([^/]+)""))"),"Jardim Paulista")</f>
        <v>Jardim Paulista</v>
      </c>
    </row>
    <row r="1927" customFormat="false" ht="15.75" hidden="false" customHeight="false" outlineLevel="0" collapsed="false">
      <c r="A1927" s="2" t="n">
        <v>96440</v>
      </c>
      <c r="B1927" s="2" t="s">
        <v>1691</v>
      </c>
      <c r="C1927" s="2" t="n">
        <v>1</v>
      </c>
      <c r="D1927" s="2" t="n">
        <v>1</v>
      </c>
      <c r="E1927" s="2" t="n">
        <v>1</v>
      </c>
      <c r="F1927" s="2" t="n">
        <v>37</v>
      </c>
      <c r="G1927" s="2" t="s">
        <v>509</v>
      </c>
      <c r="H1927" s="2" t="str">
        <f aca="false">IFERROR(__xludf.dummyfunction("IF(I1940="""", """", REGEXEXTRACT(I1940, ""Padrao/([^/]+)""))"),"Jardim Iraja")</f>
        <v>Jardim Iraja</v>
      </c>
    </row>
    <row r="1928" customFormat="false" ht="15.75" hidden="false" customHeight="false" outlineLevel="0" collapsed="false">
      <c r="A1928" s="2" t="n">
        <v>106949</v>
      </c>
      <c r="B1928" s="2" t="s">
        <v>1692</v>
      </c>
      <c r="C1928" s="2" t="n">
        <v>1</v>
      </c>
      <c r="D1928" s="2" t="n">
        <v>1</v>
      </c>
      <c r="E1928" s="2" t="n">
        <v>1</v>
      </c>
      <c r="F1928" s="2" t="n">
        <v>44</v>
      </c>
      <c r="G1928" s="2" t="s">
        <v>1693</v>
      </c>
      <c r="H1928" s="2" t="str">
        <f aca="false">IFERROR(__xludf.dummyfunction("IF(I1941="""", """", REGEXEXTRACT(I1941, ""Padrao/([^/]+)""))"),"Jardim Sumare")</f>
        <v>Jardim Sumare</v>
      </c>
    </row>
    <row r="1929" customFormat="false" ht="15.75" hidden="false" customHeight="false" outlineLevel="0" collapsed="false">
      <c r="A1929" s="2" t="n">
        <v>82661</v>
      </c>
      <c r="B1929" s="2" t="s">
        <v>857</v>
      </c>
      <c r="C1929" s="2" t="n">
        <v>2</v>
      </c>
      <c r="D1929" s="2" t="n">
        <v>1</v>
      </c>
      <c r="E1929" s="2" t="n">
        <v>1</v>
      </c>
      <c r="F1929" s="2" t="n">
        <v>47</v>
      </c>
      <c r="G1929" s="2" t="s">
        <v>422</v>
      </c>
      <c r="H1929" s="2" t="str">
        <f aca="false">IFERROR(__xludf.dummyfunction("IF(I1942="""", """", REGEXEXTRACT(I1942, ""Padrao/([^/]+)""))"),"Ipiranga")</f>
        <v>Ipiranga</v>
      </c>
    </row>
    <row r="1930" customFormat="false" ht="15.75" hidden="false" customHeight="false" outlineLevel="0" collapsed="false">
      <c r="A1930" s="2" t="n">
        <v>168956</v>
      </c>
      <c r="B1930" s="2" t="s">
        <v>1694</v>
      </c>
      <c r="C1930" s="2" t="n">
        <v>2</v>
      </c>
      <c r="D1930" s="2" t="n">
        <v>1</v>
      </c>
      <c r="E1930" s="2" t="n">
        <v>1</v>
      </c>
      <c r="F1930" s="2" t="n">
        <v>41</v>
      </c>
      <c r="G1930" s="2" t="s">
        <v>474</v>
      </c>
      <c r="H1930" s="2" t="str">
        <f aca="false">IFERROR(__xludf.dummyfunction("IF(I1943="""", """", REGEXEXTRACT(I1943, ""Padrao/([^/]+)""))"),"Jardim Jose Sampaio Junior")</f>
        <v>Jardim Jose Sampaio Junior</v>
      </c>
    </row>
    <row r="1931" customFormat="false" ht="15.75" hidden="false" customHeight="false" outlineLevel="0" collapsed="false">
      <c r="A1931" s="2" t="n">
        <v>105659</v>
      </c>
      <c r="B1931" s="2" t="s">
        <v>1695</v>
      </c>
      <c r="C1931" s="2" t="n">
        <v>2</v>
      </c>
      <c r="D1931" s="2" t="n">
        <v>1</v>
      </c>
      <c r="E1931" s="2" t="n">
        <v>1</v>
      </c>
      <c r="F1931" s="2" t="n">
        <v>49</v>
      </c>
      <c r="G1931" s="2" t="s">
        <v>474</v>
      </c>
      <c r="H1931" s="2" t="str">
        <f aca="false">IFERROR(__xludf.dummyfunction("IF(I1944="""", """", REGEXEXTRACT(I1944, ""Padrao/([^/]+)""))"),"Jardim Sumare")</f>
        <v>Jardim Sumare</v>
      </c>
    </row>
    <row r="1932" customFormat="false" ht="15.75" hidden="false" customHeight="false" outlineLevel="0" collapsed="false">
      <c r="A1932" s="2" t="n">
        <v>128351</v>
      </c>
      <c r="B1932" s="2" t="s">
        <v>1696</v>
      </c>
      <c r="C1932" s="2" t="n">
        <v>2</v>
      </c>
      <c r="D1932" s="2" t="n">
        <v>1</v>
      </c>
      <c r="E1932" s="2" t="n">
        <v>1</v>
      </c>
      <c r="F1932" s="2" t="n">
        <v>57</v>
      </c>
      <c r="G1932" s="2" t="s">
        <v>489</v>
      </c>
      <c r="H1932" s="2" t="str">
        <f aca="false">IFERROR(__xludf.dummyfunction("IF(I1946="""", """", REGEXEXTRACT(I1946, ""Padrao/([^/]+)""))"),"Republica")</f>
        <v>Republica</v>
      </c>
    </row>
    <row r="1933" customFormat="false" ht="15.75" hidden="false" customHeight="false" outlineLevel="0" collapsed="false">
      <c r="A1933" s="2" t="n">
        <v>154979</v>
      </c>
      <c r="B1933" s="2" t="s">
        <v>440</v>
      </c>
      <c r="C1933" s="2" t="n">
        <v>1</v>
      </c>
      <c r="D1933" s="2" t="n">
        <v>1</v>
      </c>
      <c r="E1933" s="2" t="n">
        <v>1</v>
      </c>
      <c r="F1933" s="2" t="n">
        <v>43</v>
      </c>
      <c r="G1933" s="2" t="s">
        <v>492</v>
      </c>
      <c r="H1933" s="2" t="str">
        <f aca="false">IFERROR(__xludf.dummyfunction("IF(I1947="""", """", REGEXEXTRACT(I1947, ""Padrao/([^/]+)""))"),"Centro")</f>
        <v>Centro</v>
      </c>
    </row>
    <row r="1934" customFormat="false" ht="15.75" hidden="false" customHeight="false" outlineLevel="0" collapsed="false">
      <c r="A1934" s="2" t="n">
        <v>213347</v>
      </c>
      <c r="B1934" s="2" t="s">
        <v>1043</v>
      </c>
      <c r="C1934" s="2" t="n">
        <v>2</v>
      </c>
      <c r="D1934" s="2" t="n">
        <v>1</v>
      </c>
      <c r="E1934" s="2" t="n">
        <v>1</v>
      </c>
      <c r="F1934" s="2" t="n">
        <v>43</v>
      </c>
      <c r="G1934" s="2" t="s">
        <v>502</v>
      </c>
      <c r="H1934" s="2" t="str">
        <f aca="false">IFERROR(__xludf.dummyfunction("IF(I1948="""", """", REGEXEXTRACT(I1948, ""Padrao/([^/]+)""))"),"Loteamento Santa Marta")</f>
        <v>Loteamento Santa Marta</v>
      </c>
    </row>
    <row r="1935" customFormat="false" ht="15.75" hidden="false" customHeight="false" outlineLevel="0" collapsed="false">
      <c r="A1935" s="2" t="n">
        <v>244022</v>
      </c>
      <c r="B1935" s="2" t="s">
        <v>1697</v>
      </c>
      <c r="C1935" s="2" t="n">
        <v>2</v>
      </c>
      <c r="D1935" s="2" t="n">
        <v>1</v>
      </c>
      <c r="E1935" s="2" t="n">
        <v>1</v>
      </c>
      <c r="F1935" s="2" t="n">
        <v>48</v>
      </c>
      <c r="G1935" s="2" t="s">
        <v>513</v>
      </c>
      <c r="H1935" s="2" t="str">
        <f aca="false">IFERROR(__xludf.dummyfunction("IF(I1949="""", """", REGEXEXTRACT(I1949, ""Padrao/([^/]+)""))"),"Recreio Anhanguera")</f>
        <v>Recreio Anhanguera</v>
      </c>
    </row>
    <row r="1936" customFormat="false" ht="15.75" hidden="false" customHeight="false" outlineLevel="0" collapsed="false">
      <c r="A1936" s="2" t="n">
        <v>240809</v>
      </c>
      <c r="B1936" s="2" t="s">
        <v>966</v>
      </c>
      <c r="C1936" s="2" t="n">
        <v>2</v>
      </c>
      <c r="D1936" s="2" t="n">
        <v>1</v>
      </c>
      <c r="E1936" s="2" t="n">
        <v>1</v>
      </c>
      <c r="F1936" s="2" t="n">
        <v>46</v>
      </c>
      <c r="G1936" s="2" t="s">
        <v>513</v>
      </c>
      <c r="H1936" s="2" t="str">
        <f aca="false">IFERROR(__xludf.dummyfunction("IF(I1950="""", """", REGEXEXTRACT(I1950, ""Padrao/([^/]+)""))"),"Ipiranga")</f>
        <v>Ipiranga</v>
      </c>
    </row>
    <row r="1937" customFormat="false" ht="15.75" hidden="false" customHeight="false" outlineLevel="0" collapsed="false">
      <c r="A1937" s="2" t="n">
        <v>238835</v>
      </c>
      <c r="B1937" s="2" t="s">
        <v>1698</v>
      </c>
      <c r="C1937" s="2" t="n">
        <v>2</v>
      </c>
      <c r="D1937" s="2" t="n">
        <v>1</v>
      </c>
      <c r="E1937" s="2" t="n">
        <v>1</v>
      </c>
      <c r="F1937" s="2" t="n">
        <v>46</v>
      </c>
      <c r="G1937" s="2" t="s">
        <v>513</v>
      </c>
      <c r="H1937" s="2" t="str">
        <f aca="false">IFERROR(__xludf.dummyfunction("IF(I1951="""", """", REGEXEXTRACT(I1951, ""Padrao/([^/]+)""))"),"Parque Industrial Lagoinha")</f>
        <v>Parque Industrial Lagoinha</v>
      </c>
    </row>
    <row r="1938" customFormat="false" ht="15.75" hidden="false" customHeight="false" outlineLevel="0" collapsed="false">
      <c r="A1938" s="2" t="n">
        <v>237383</v>
      </c>
      <c r="B1938" s="2" t="s">
        <v>1699</v>
      </c>
      <c r="C1938" s="2" t="n">
        <v>1</v>
      </c>
      <c r="D1938" s="2" t="n">
        <v>1</v>
      </c>
      <c r="E1938" s="2" t="n">
        <v>1</v>
      </c>
      <c r="F1938" s="2" t="n">
        <v>45</v>
      </c>
      <c r="G1938" s="2" t="s">
        <v>513</v>
      </c>
      <c r="H1938" s="2" t="str">
        <f aca="false">IFERROR(__xludf.dummyfunction("IF(I1952="""", """", REGEXEXTRACT(I1952, ""Padrao/([^/]+)""))"),"Nova Alianca")</f>
        <v>Nova Alianca</v>
      </c>
    </row>
    <row r="1939" customFormat="false" ht="15.75" hidden="false" customHeight="false" outlineLevel="0" collapsed="false">
      <c r="A1939" s="2" t="n">
        <v>237026</v>
      </c>
      <c r="B1939" s="2" t="s">
        <v>1700</v>
      </c>
      <c r="C1939" s="2" t="n">
        <v>2</v>
      </c>
      <c r="D1939" s="2" t="n">
        <v>1</v>
      </c>
      <c r="E1939" s="2" t="n">
        <v>1</v>
      </c>
      <c r="F1939" s="2" t="n">
        <v>44</v>
      </c>
      <c r="G1939" s="2" t="s">
        <v>513</v>
      </c>
      <c r="H1939" s="2" t="str">
        <f aca="false">IFERROR(__xludf.dummyfunction("IF(I1953="""", """", REGEXEXTRACT(I1953, ""Padrao/([^/]+)""))"),"Reserva Sao Jose")</f>
        <v>Reserva Sao Jose</v>
      </c>
    </row>
    <row r="1940" customFormat="false" ht="15.75" hidden="false" customHeight="false" outlineLevel="0" collapsed="false">
      <c r="A1940" s="2" t="n">
        <v>214946</v>
      </c>
      <c r="B1940" s="2" t="s">
        <v>701</v>
      </c>
      <c r="C1940" s="2" t="n">
        <v>2</v>
      </c>
      <c r="D1940" s="2" t="n">
        <v>1</v>
      </c>
      <c r="E1940" s="2" t="n">
        <v>1</v>
      </c>
      <c r="F1940" s="2" t="n">
        <v>43</v>
      </c>
      <c r="G1940" s="2" t="s">
        <v>513</v>
      </c>
      <c r="H1940" s="2" t="str">
        <f aca="false">IFERROR(__xludf.dummyfunction("IF(I1954="""", """", REGEXEXTRACT(I1954, ""Padrao/([^/]+)""))"),"Valentina Figueiredo")</f>
        <v>Valentina Figueiredo</v>
      </c>
    </row>
    <row r="1941" customFormat="false" ht="15.75" hidden="false" customHeight="false" outlineLevel="0" collapsed="false">
      <c r="A1941" s="2" t="n">
        <v>193595</v>
      </c>
      <c r="B1941" s="2" t="s">
        <v>1701</v>
      </c>
      <c r="C1941" s="2" t="n">
        <v>2</v>
      </c>
      <c r="D1941" s="2" t="n">
        <v>1</v>
      </c>
      <c r="E1941" s="2" t="n">
        <v>1</v>
      </c>
      <c r="F1941" s="2" t="n">
        <v>42</v>
      </c>
      <c r="G1941" s="2" t="s">
        <v>513</v>
      </c>
      <c r="H1941" s="2" t="str">
        <f aca="false">IFERROR(__xludf.dummyfunction("IF(I1955="""", """", REGEXEXTRACT(I1955, ""Padrao/([^/]+)""))"),"Parque Industrial Lagoinha")</f>
        <v>Parque Industrial Lagoinha</v>
      </c>
    </row>
    <row r="1942" customFormat="false" ht="15.75" hidden="false" customHeight="false" outlineLevel="0" collapsed="false">
      <c r="A1942" s="2" t="n">
        <v>175367</v>
      </c>
      <c r="B1942" s="2" t="s">
        <v>1221</v>
      </c>
      <c r="C1942" s="2" t="n">
        <v>2</v>
      </c>
      <c r="D1942" s="2" t="n">
        <v>1</v>
      </c>
      <c r="E1942" s="2" t="n">
        <v>1</v>
      </c>
      <c r="F1942" s="2" t="n">
        <v>46</v>
      </c>
      <c r="G1942" s="2" t="s">
        <v>513</v>
      </c>
      <c r="H1942" s="2" t="str">
        <f aca="false">IFERROR(__xludf.dummyfunction("IF(I1956="""", """", REGEXEXTRACT(I1956, ""Padrao/([^/]+)""))"),"Reserva Sul Condominio")</f>
        <v>Reserva Sul Condominio</v>
      </c>
    </row>
    <row r="1943" customFormat="false" ht="15.75" hidden="false" customHeight="false" outlineLevel="0" collapsed="false">
      <c r="A1943" s="2" t="n">
        <v>159872</v>
      </c>
      <c r="B1943" s="2" t="s">
        <v>1340</v>
      </c>
      <c r="C1943" s="2" t="n">
        <v>1</v>
      </c>
      <c r="D1943" s="2" t="n">
        <v>1</v>
      </c>
      <c r="E1943" s="2" t="n">
        <v>1</v>
      </c>
      <c r="F1943" s="2" t="n">
        <v>39</v>
      </c>
      <c r="G1943" s="2" t="s">
        <v>513</v>
      </c>
      <c r="H1943" s="2" t="str">
        <f aca="false">IFERROR(__xludf.dummyfunction("IF(I1957="""", """", REGEXEXTRACT(I1957, ""Padrao/([^/]+)""))"),"Vila Ana Maria")</f>
        <v>Vila Ana Maria</v>
      </c>
    </row>
    <row r="1944" customFormat="false" ht="15.75" hidden="false" customHeight="false" outlineLevel="0" collapsed="false">
      <c r="A1944" s="2" t="n">
        <v>137561</v>
      </c>
      <c r="B1944" s="2" t="s">
        <v>1702</v>
      </c>
      <c r="C1944" s="2" t="n">
        <v>2</v>
      </c>
      <c r="D1944" s="2" t="n">
        <v>1</v>
      </c>
      <c r="E1944" s="2" t="n">
        <v>1</v>
      </c>
      <c r="F1944" s="2" t="n">
        <v>43</v>
      </c>
      <c r="G1944" s="2" t="s">
        <v>513</v>
      </c>
      <c r="H1944" s="2" t="str">
        <f aca="false">IFERROR(__xludf.dummyfunction("IF(I1958="""", """", REGEXEXTRACT(I1958, ""Padrao/([^/]+)""))"),"Residencial Parque dos Servidores")</f>
        <v>Residencial Parque dos Servidores</v>
      </c>
    </row>
    <row r="1945" customFormat="false" ht="15.75" hidden="false" customHeight="false" outlineLevel="0" collapsed="false">
      <c r="A1945" s="2" t="n">
        <v>127895</v>
      </c>
      <c r="B1945" s="2" t="s">
        <v>1703</v>
      </c>
      <c r="C1945" s="2" t="n">
        <v>2</v>
      </c>
      <c r="D1945" s="2" t="n">
        <v>1</v>
      </c>
      <c r="E1945" s="2" t="n">
        <v>1</v>
      </c>
      <c r="F1945" s="2" t="n">
        <v>47</v>
      </c>
      <c r="G1945" s="2" t="s">
        <v>513</v>
      </c>
      <c r="H1945" s="2" t="str">
        <f aca="false">IFERROR(__xludf.dummyfunction("IF(I1959="""", """", REGEXEXTRACT(I1959, ""Padrao/([^/]+)""))"),"Residencial Jequitiba")</f>
        <v>Residencial Jequitiba</v>
      </c>
    </row>
    <row r="1946" customFormat="false" ht="15.75" hidden="false" customHeight="false" outlineLevel="0" collapsed="false">
      <c r="A1946" s="2" t="n">
        <v>115316</v>
      </c>
      <c r="B1946" s="2" t="s">
        <v>162</v>
      </c>
      <c r="C1946" s="2" t="n">
        <v>2</v>
      </c>
      <c r="D1946" s="2" t="n">
        <v>1</v>
      </c>
      <c r="E1946" s="2" t="n">
        <v>1</v>
      </c>
      <c r="F1946" s="2" t="n">
        <v>56</v>
      </c>
      <c r="G1946" s="2" t="s">
        <v>513</v>
      </c>
      <c r="H1946" s="2" t="str">
        <f aca="false">IFERROR(__xludf.dummyfunction("IF(I1960="""", """", REGEXEXTRACT(I1960, ""Padrao/([^/]+)""))"),"Reserva Sul Condominio")</f>
        <v>Reserva Sul Condominio</v>
      </c>
    </row>
    <row r="1947" customFormat="false" ht="15.75" hidden="false" customHeight="false" outlineLevel="0" collapsed="false">
      <c r="A1947" s="2" t="n">
        <v>239315</v>
      </c>
      <c r="B1947" s="2" t="s">
        <v>1704</v>
      </c>
      <c r="C1947" s="2" t="n">
        <v>2</v>
      </c>
      <c r="D1947" s="2" t="n">
        <v>1</v>
      </c>
      <c r="E1947" s="2" t="n">
        <v>1</v>
      </c>
      <c r="F1947" s="2" t="n">
        <v>55</v>
      </c>
      <c r="G1947" s="2" t="s">
        <v>470</v>
      </c>
      <c r="H1947" s="2" t="str">
        <f aca="false">IFERROR(__xludf.dummyfunction("IF(I1961="""", """", REGEXEXTRACT(I1961, ""Padrao/([^/]+)""))"),"Vila Virginia")</f>
        <v>Vila Virginia</v>
      </c>
    </row>
    <row r="1948" customFormat="false" ht="15.75" hidden="false" customHeight="false" outlineLevel="0" collapsed="false">
      <c r="A1948" s="2" t="n">
        <v>209240</v>
      </c>
      <c r="B1948" s="2" t="s">
        <v>1705</v>
      </c>
      <c r="C1948" s="2" t="n">
        <v>2</v>
      </c>
      <c r="D1948" s="2" t="n">
        <v>1</v>
      </c>
      <c r="E1948" s="2" t="n">
        <v>1</v>
      </c>
      <c r="F1948" s="2" t="n">
        <v>56</v>
      </c>
      <c r="G1948" s="2" t="s">
        <v>1706</v>
      </c>
      <c r="H1948" s="2" t="str">
        <f aca="false">IFERROR(__xludf.dummyfunction("IF(I1962="""", """", REGEXEXTRACT(I1962, ""Padrao/([^/]+)""))"),"Reserva Macauba")</f>
        <v>Reserva Macauba</v>
      </c>
    </row>
    <row r="1949" customFormat="false" ht="15.75" hidden="false" customHeight="false" outlineLevel="0" collapsed="false">
      <c r="A1949" s="2" t="n">
        <v>72161</v>
      </c>
      <c r="B1949" s="2" t="s">
        <v>1707</v>
      </c>
      <c r="C1949" s="2" t="n">
        <v>1</v>
      </c>
      <c r="D1949" s="2" t="n">
        <v>1</v>
      </c>
      <c r="E1949" s="2" t="n">
        <v>1</v>
      </c>
      <c r="F1949" s="2" t="n">
        <v>32</v>
      </c>
      <c r="G1949" s="2" t="s">
        <v>1706</v>
      </c>
      <c r="H1949" s="2" t="str">
        <f aca="false">IFERROR(__xludf.dummyfunction("IF(I1963="""", """", REGEXEXTRACT(I1963, ""Padrao/([^/]+)""))"),"Jardim Sao Luiz")</f>
        <v>Jardim Sao Luiz</v>
      </c>
    </row>
    <row r="1950" customFormat="false" ht="15.75" hidden="false" customHeight="false" outlineLevel="0" collapsed="false">
      <c r="A1950" s="2" t="n">
        <v>30458</v>
      </c>
      <c r="B1950" s="2" t="s">
        <v>1708</v>
      </c>
      <c r="C1950" s="2" t="n">
        <v>2</v>
      </c>
      <c r="D1950" s="2" t="n">
        <v>2</v>
      </c>
      <c r="E1950" s="2" t="n">
        <v>1</v>
      </c>
      <c r="F1950" s="2" t="n">
        <v>67</v>
      </c>
      <c r="G1950" s="2" t="s">
        <v>1709</v>
      </c>
      <c r="H1950" s="2" t="str">
        <f aca="false">IFERROR(__xludf.dummyfunction("IF(I1964="""", """", REGEXEXTRACT(I1964, ""Padrao/([^/]+)""))"),"Jardim Anhanguera")</f>
        <v>Jardim Anhanguera</v>
      </c>
    </row>
    <row r="1951" customFormat="false" ht="15.75" hidden="false" customHeight="false" outlineLevel="0" collapsed="false">
      <c r="A1951" s="2" t="n">
        <v>213539</v>
      </c>
      <c r="B1951" s="2" t="s">
        <v>1438</v>
      </c>
      <c r="C1951" s="2" t="n">
        <v>2</v>
      </c>
      <c r="D1951" s="2" t="n">
        <v>1</v>
      </c>
      <c r="E1951" s="2" t="n">
        <v>1</v>
      </c>
      <c r="F1951" s="2" t="n">
        <v>41</v>
      </c>
      <c r="G1951" s="2" t="s">
        <v>1025</v>
      </c>
      <c r="H1951" s="2" t="str">
        <f aca="false">IFERROR(__xludf.dummyfunction("IF(I1965="""", """", REGEXEXTRACT(I1965, ""Padrao/([^/]+)""))"),"Residencial Jequitiba")</f>
        <v>Residencial Jequitiba</v>
      </c>
    </row>
    <row r="1952" customFormat="false" ht="15.75" hidden="false" customHeight="false" outlineLevel="0" collapsed="false">
      <c r="A1952" s="2" t="n">
        <v>222968</v>
      </c>
      <c r="B1952" s="2" t="s">
        <v>1710</v>
      </c>
      <c r="C1952" s="2" t="n">
        <v>2</v>
      </c>
      <c r="D1952" s="2" t="n">
        <v>1</v>
      </c>
      <c r="E1952" s="2" t="n">
        <v>1</v>
      </c>
      <c r="F1952" s="2" t="n">
        <v>46</v>
      </c>
      <c r="G1952" s="2" t="s">
        <v>464</v>
      </c>
      <c r="H1952" s="2" t="str">
        <f aca="false">IFERROR(__xludf.dummyfunction("IF(I1966="""", """", REGEXEXTRACT(I1966, ""Padrao/([^/]+)""))"),"Jardim Marchesi")</f>
        <v>Jardim Marchesi</v>
      </c>
    </row>
    <row r="1953" customFormat="false" ht="15.75" hidden="false" customHeight="false" outlineLevel="0" collapsed="false">
      <c r="A1953" s="2" t="n">
        <v>79244</v>
      </c>
      <c r="B1953" s="2" t="s">
        <v>1711</v>
      </c>
      <c r="C1953" s="2" t="n">
        <v>1</v>
      </c>
      <c r="D1953" s="2" t="n">
        <v>1</v>
      </c>
      <c r="E1953" s="2" t="n">
        <v>1</v>
      </c>
      <c r="F1953" s="2" t="n">
        <v>46</v>
      </c>
      <c r="G1953" s="2" t="s">
        <v>474</v>
      </c>
      <c r="H1953" s="2" t="str">
        <f aca="false">IFERROR(__xludf.dummyfunction("IF(I1967="""", """", REGEXEXTRACT(I1967, ""Padrao/([^/]+)""))"),"Jardim Paulista")</f>
        <v>Jardim Paulista</v>
      </c>
    </row>
    <row r="1954" customFormat="false" ht="15.75" hidden="false" customHeight="false" outlineLevel="0" collapsed="false">
      <c r="A1954" s="2" t="n">
        <v>232697</v>
      </c>
      <c r="B1954" s="2" t="s">
        <v>1158</v>
      </c>
      <c r="C1954" s="2" t="n">
        <v>2</v>
      </c>
      <c r="D1954" s="2" t="n">
        <v>1</v>
      </c>
      <c r="E1954" s="2" t="n">
        <v>1</v>
      </c>
      <c r="F1954" s="2" t="n">
        <v>40</v>
      </c>
      <c r="G1954" s="2" t="s">
        <v>1712</v>
      </c>
      <c r="H1954" s="2" t="str">
        <f aca="false">IFERROR(__xludf.dummyfunction("IF(I1968="""", """", REGEXEXTRACT(I1968, ""Padrao/([^/]+)""))"),"Recreio das Acacias")</f>
        <v>Recreio das Acacias</v>
      </c>
    </row>
    <row r="1955" customFormat="false" ht="15.75" hidden="false" customHeight="false" outlineLevel="0" collapsed="false">
      <c r="A1955" s="2" t="n">
        <v>244709</v>
      </c>
      <c r="B1955" s="2" t="s">
        <v>1713</v>
      </c>
      <c r="C1955" s="2" t="n">
        <v>2</v>
      </c>
      <c r="D1955" s="2" t="n">
        <v>1</v>
      </c>
      <c r="E1955" s="2" t="n">
        <v>1</v>
      </c>
      <c r="F1955" s="2" t="n">
        <v>70</v>
      </c>
      <c r="G1955" s="2" t="s">
        <v>515</v>
      </c>
      <c r="H1955" s="2" t="str">
        <f aca="false">IFERROR(__xludf.dummyfunction("IF(I1969="""", """", REGEXEXTRACT(I1969, ""Padrao/([^/]+)""))"),"Alto da Boa Vista")</f>
        <v>Alto da Boa Vista</v>
      </c>
    </row>
    <row r="1956" customFormat="false" ht="15.75" hidden="false" customHeight="false" outlineLevel="0" collapsed="false">
      <c r="A1956" s="2" t="n">
        <v>243557</v>
      </c>
      <c r="B1956" s="2" t="s">
        <v>1714</v>
      </c>
      <c r="C1956" s="2" t="n">
        <v>2</v>
      </c>
      <c r="D1956" s="2" t="n">
        <v>1</v>
      </c>
      <c r="E1956" s="2" t="n">
        <v>1</v>
      </c>
      <c r="F1956" s="2" t="n">
        <v>49</v>
      </c>
      <c r="G1956" s="2" t="s">
        <v>515</v>
      </c>
      <c r="H1956" s="2" t="str">
        <f aca="false">IFERROR(__xludf.dummyfunction("IF(I1970="""", """", REGEXEXTRACT(I1970, ""Padrao/([^/]+)""))"),"Sumarezinho")</f>
        <v>Sumarezinho</v>
      </c>
    </row>
    <row r="1957" customFormat="false" ht="15.75" hidden="false" customHeight="false" outlineLevel="0" collapsed="false">
      <c r="A1957" s="2" t="n">
        <v>242462</v>
      </c>
      <c r="B1957" s="2" t="s">
        <v>1715</v>
      </c>
      <c r="C1957" s="2" t="n">
        <v>2</v>
      </c>
      <c r="D1957" s="2" t="n">
        <v>1</v>
      </c>
      <c r="E1957" s="2" t="n">
        <v>1</v>
      </c>
      <c r="F1957" s="2" t="n">
        <v>61</v>
      </c>
      <c r="G1957" s="2" t="s">
        <v>515</v>
      </c>
      <c r="H1957" s="2" t="str">
        <f aca="false">IFERROR(__xludf.dummyfunction("IF(I1971="""", """", REGEXEXTRACT(I1971, ""Padrao/([^/]+)""))"),"Ipiranga")</f>
        <v>Ipiranga</v>
      </c>
    </row>
    <row r="1958" customFormat="false" ht="15.75" hidden="false" customHeight="false" outlineLevel="0" collapsed="false">
      <c r="A1958" s="2" t="n">
        <v>242246</v>
      </c>
      <c r="B1958" s="2" t="s">
        <v>1716</v>
      </c>
      <c r="C1958" s="2" t="n">
        <v>2</v>
      </c>
      <c r="D1958" s="2" t="n">
        <v>1</v>
      </c>
      <c r="E1958" s="2" t="n">
        <v>1</v>
      </c>
      <c r="F1958" s="2" t="n">
        <v>42</v>
      </c>
      <c r="G1958" s="2" t="s">
        <v>515</v>
      </c>
      <c r="H1958" s="2" t="str">
        <f aca="false">IFERROR(__xludf.dummyfunction("IF(I1972="""", """", REGEXEXTRACT(I1972, ""Padrao/([^/]+)""))"),"Parque Industrial Lagoinha")</f>
        <v>Parque Industrial Lagoinha</v>
      </c>
    </row>
    <row r="1959" customFormat="false" ht="15.75" hidden="false" customHeight="false" outlineLevel="0" collapsed="false">
      <c r="A1959" s="2" t="n">
        <v>241973</v>
      </c>
      <c r="B1959" s="2" t="s">
        <v>1717</v>
      </c>
      <c r="C1959" s="2" t="n">
        <v>2</v>
      </c>
      <c r="D1959" s="2" t="n">
        <v>1</v>
      </c>
      <c r="E1959" s="2" t="n">
        <v>1</v>
      </c>
      <c r="F1959" s="2" t="n">
        <v>46</v>
      </c>
      <c r="G1959" s="2" t="s">
        <v>515</v>
      </c>
      <c r="H1959" s="2" t="str">
        <f aca="false">IFERROR(__xludf.dummyfunction("IF(I1973="""", """", REGEXEXTRACT(I1973, ""Padrao/([^/]+)""))"),"Vila Virginia")</f>
        <v>Vila Virginia</v>
      </c>
    </row>
    <row r="1960" customFormat="false" ht="15.75" hidden="false" customHeight="false" outlineLevel="0" collapsed="false">
      <c r="A1960" s="2" t="n">
        <v>240665</v>
      </c>
      <c r="B1960" s="2" t="s">
        <v>1718</v>
      </c>
      <c r="C1960" s="2" t="n">
        <v>2</v>
      </c>
      <c r="D1960" s="2" t="n">
        <v>1</v>
      </c>
      <c r="E1960" s="2" t="n">
        <v>2</v>
      </c>
      <c r="F1960" s="2" t="n">
        <v>43</v>
      </c>
      <c r="G1960" s="2" t="s">
        <v>515</v>
      </c>
      <c r="H1960" s="2" t="str">
        <f aca="false">IFERROR(__xludf.dummyfunction("IF(I1974="""", """", REGEXEXTRACT(I1974, ""Padrao/([^/]+)""))"),"Recreio das Acacias")</f>
        <v>Recreio das Acacias</v>
      </c>
    </row>
    <row r="1961" customFormat="false" ht="15.75" hidden="false" customHeight="false" outlineLevel="0" collapsed="false">
      <c r="A1961" s="2" t="n">
        <v>239063</v>
      </c>
      <c r="B1961" s="2" t="s">
        <v>1185</v>
      </c>
      <c r="C1961" s="2" t="n">
        <v>2</v>
      </c>
      <c r="D1961" s="2" t="n">
        <v>1</v>
      </c>
      <c r="E1961" s="2" t="n">
        <v>1</v>
      </c>
      <c r="F1961" s="2" t="n">
        <v>40</v>
      </c>
      <c r="G1961" s="2" t="s">
        <v>515</v>
      </c>
      <c r="H1961" s="2" t="str">
        <f aca="false">IFERROR(__xludf.dummyfunction("IF(I1975="""", """", REGEXEXTRACT(I1975, ""Padrao/([^/]+)""))"),"Jardim Cybelli")</f>
        <v>Jardim Cybelli</v>
      </c>
    </row>
    <row r="1962" customFormat="false" ht="15.75" hidden="false" customHeight="false" outlineLevel="0" collapsed="false">
      <c r="A1962" s="2" t="n">
        <v>238889</v>
      </c>
      <c r="B1962" s="2" t="s">
        <v>1719</v>
      </c>
      <c r="C1962" s="2" t="n">
        <v>2</v>
      </c>
      <c r="D1962" s="2" t="n">
        <v>1</v>
      </c>
      <c r="E1962" s="2" t="n">
        <v>1</v>
      </c>
      <c r="F1962" s="2" t="n">
        <v>47</v>
      </c>
      <c r="G1962" s="2" t="s">
        <v>515</v>
      </c>
      <c r="H1962" s="2" t="str">
        <f aca="false">IFERROR(__xludf.dummyfunction("IF(I1976="""", """", REGEXEXTRACT(I1976, ""Padrao/([^/]+)""))"),"Alto do Ipiranga")</f>
        <v>Alto do Ipiranga</v>
      </c>
    </row>
    <row r="1963" customFormat="false" ht="15.75" hidden="false" customHeight="false" outlineLevel="0" collapsed="false">
      <c r="A1963" s="2" t="n">
        <v>236972</v>
      </c>
      <c r="B1963" s="2" t="s">
        <v>1720</v>
      </c>
      <c r="C1963" s="2" t="n">
        <v>1</v>
      </c>
      <c r="D1963" s="2" t="n">
        <v>1</v>
      </c>
      <c r="E1963" s="2" t="n">
        <v>1</v>
      </c>
      <c r="F1963" s="2" t="n">
        <v>41</v>
      </c>
      <c r="G1963" s="2" t="s">
        <v>515</v>
      </c>
      <c r="H1963" s="2" t="str">
        <f aca="false">IFERROR(__xludf.dummyfunction("IF(I1977="""", """", REGEXEXTRACT(I1977, ""Padrao/([^/]+)""))"),"Campos Eliseos")</f>
        <v>Campos Eliseos</v>
      </c>
    </row>
    <row r="1964" customFormat="false" ht="15.75" hidden="false" customHeight="false" outlineLevel="0" collapsed="false">
      <c r="A1964" s="2" t="n">
        <v>233606</v>
      </c>
      <c r="B1964" s="2" t="s">
        <v>1366</v>
      </c>
      <c r="C1964" s="2" t="n">
        <v>2</v>
      </c>
      <c r="D1964" s="2" t="n">
        <v>1</v>
      </c>
      <c r="E1964" s="2" t="n">
        <v>1</v>
      </c>
      <c r="F1964" s="2" t="n">
        <v>42</v>
      </c>
      <c r="G1964" s="2" t="s">
        <v>515</v>
      </c>
      <c r="H1964" s="2" t="str">
        <f aca="false">IFERROR(__xludf.dummyfunction("IF(I1978="""", """", REGEXEXTRACT(I1978, ""Padrao/([^/]+)""))"),"Ribeirao Verde")</f>
        <v>Ribeirao Verde</v>
      </c>
    </row>
    <row r="1965" customFormat="false" ht="15.75" hidden="false" customHeight="false" outlineLevel="0" collapsed="false">
      <c r="A1965" s="2" t="n">
        <v>230120</v>
      </c>
      <c r="B1965" s="2" t="s">
        <v>1721</v>
      </c>
      <c r="C1965" s="2" t="n">
        <v>1</v>
      </c>
      <c r="D1965" s="2" t="n">
        <v>1</v>
      </c>
      <c r="E1965" s="2" t="n">
        <v>1</v>
      </c>
      <c r="F1965" s="2" t="n">
        <v>34</v>
      </c>
      <c r="G1965" s="2" t="s">
        <v>515</v>
      </c>
      <c r="H1965" s="2" t="str">
        <f aca="false">IFERROR(__xludf.dummyfunction("IF(I1979="""", """", REGEXEXTRACT(I1979, ""Padrao/([^/]+)""))"),"Quintas de Sao Jose")</f>
        <v>Quintas de Sao Jose</v>
      </c>
    </row>
    <row r="1966" customFormat="false" ht="15.75" hidden="false" customHeight="false" outlineLevel="0" collapsed="false">
      <c r="A1966" s="2" t="n">
        <v>226349</v>
      </c>
      <c r="B1966" s="2" t="s">
        <v>1255</v>
      </c>
      <c r="C1966" s="2" t="n">
        <v>2</v>
      </c>
      <c r="D1966" s="2" t="n">
        <v>1</v>
      </c>
      <c r="E1966" s="2" t="n">
        <v>1</v>
      </c>
      <c r="F1966" s="2" t="n">
        <v>44</v>
      </c>
      <c r="G1966" s="2" t="s">
        <v>515</v>
      </c>
      <c r="H1966" s="2" t="str">
        <f aca="false">IFERROR(__xludf.dummyfunction("IF(I1980="""", """", REGEXEXTRACT(I1980, ""Padrao/([^/]+)""))"),"Residencial Greenville")</f>
        <v>Residencial Greenville</v>
      </c>
    </row>
    <row r="1967" customFormat="false" ht="15.75" hidden="false" customHeight="false" outlineLevel="0" collapsed="false">
      <c r="A1967" s="2" t="n">
        <v>226019</v>
      </c>
      <c r="B1967" s="2" t="s">
        <v>1722</v>
      </c>
      <c r="C1967" s="2" t="n">
        <v>2</v>
      </c>
      <c r="D1967" s="2" t="n">
        <v>1</v>
      </c>
      <c r="E1967" s="2" t="n">
        <v>1</v>
      </c>
      <c r="F1967" s="2" t="n">
        <v>51</v>
      </c>
      <c r="G1967" s="2" t="s">
        <v>515</v>
      </c>
      <c r="H1967" s="2" t="str">
        <f aca="false">IFERROR(__xludf.dummyfunction("IF(I1981="""", """", REGEXEXTRACT(I1981, ""Padrao/([^/]+)""))"),"Alto da Boa Vista")</f>
        <v>Alto da Boa Vista</v>
      </c>
    </row>
    <row r="1968" customFormat="false" ht="15.75" hidden="false" customHeight="false" outlineLevel="0" collapsed="false">
      <c r="A1968" s="2" t="n">
        <v>224717</v>
      </c>
      <c r="B1968" s="2" t="s">
        <v>1723</v>
      </c>
      <c r="C1968" s="2" t="n">
        <v>2</v>
      </c>
      <c r="D1968" s="2" t="n">
        <v>1</v>
      </c>
      <c r="E1968" s="2" t="n">
        <v>2</v>
      </c>
      <c r="F1968" s="2" t="n">
        <v>71</v>
      </c>
      <c r="G1968" s="2" t="s">
        <v>515</v>
      </c>
      <c r="H1968" s="2" t="str">
        <f aca="false">IFERROR(__xludf.dummyfunction("IF(I1982="""", """", REGEXEXTRACT(I1982, ""Padrao/([^/]+)""))"),"Vila Elisa")</f>
        <v>Vila Elisa</v>
      </c>
    </row>
    <row r="1969" customFormat="false" ht="15.75" hidden="false" customHeight="false" outlineLevel="0" collapsed="false">
      <c r="A1969" s="2" t="n">
        <v>224393</v>
      </c>
      <c r="B1969" s="2" t="s">
        <v>1724</v>
      </c>
      <c r="C1969" s="2" t="n">
        <v>2</v>
      </c>
      <c r="D1969" s="2" t="n">
        <v>1</v>
      </c>
      <c r="E1969" s="2" t="n">
        <v>1</v>
      </c>
      <c r="F1969" s="2" t="n">
        <v>46</v>
      </c>
      <c r="G1969" s="2" t="s">
        <v>515</v>
      </c>
      <c r="H1969" s="2" t="str">
        <f aca="false">IFERROR(__xludf.dummyfunction("IF(I1983="""", """", REGEXEXTRACT(I1983, ""Padrao/([^/]+)""))"),"Ribeirania")</f>
        <v>Ribeirania</v>
      </c>
    </row>
    <row r="1970" customFormat="false" ht="15.75" hidden="false" customHeight="false" outlineLevel="0" collapsed="false">
      <c r="A1970" s="2" t="n">
        <v>224378</v>
      </c>
      <c r="B1970" s="2" t="s">
        <v>1719</v>
      </c>
      <c r="C1970" s="2" t="n">
        <v>2</v>
      </c>
      <c r="D1970" s="2" t="n">
        <v>1</v>
      </c>
      <c r="E1970" s="2" t="n">
        <v>1</v>
      </c>
      <c r="F1970" s="2" t="n">
        <v>47</v>
      </c>
      <c r="G1970" s="2" t="s">
        <v>515</v>
      </c>
      <c r="H1970" s="2" t="str">
        <f aca="false">IFERROR(__xludf.dummyfunction("IF(I1984="""", """", REGEXEXTRACT(I1984, ""Padrao/([^/]+)""))"),"Alto do Ipiranga")</f>
        <v>Alto do Ipiranga</v>
      </c>
    </row>
    <row r="1971" customFormat="false" ht="15.75" hidden="false" customHeight="false" outlineLevel="0" collapsed="false">
      <c r="A1971" s="2" t="n">
        <v>222575</v>
      </c>
      <c r="B1971" s="2" t="s">
        <v>1725</v>
      </c>
      <c r="C1971" s="2" t="n">
        <v>1</v>
      </c>
      <c r="D1971" s="2" t="n">
        <v>1</v>
      </c>
      <c r="E1971" s="2" t="n">
        <v>1</v>
      </c>
      <c r="F1971" s="2" t="n">
        <v>32</v>
      </c>
      <c r="G1971" s="2" t="s">
        <v>515</v>
      </c>
      <c r="H1971" s="2" t="str">
        <f aca="false">IFERROR(__xludf.dummyfunction("IF(I1985="""", """", REGEXEXTRACT(I1985, ""Padrao/([^/]+)""))"),"Loteamento Santa Marta")</f>
        <v>Loteamento Santa Marta</v>
      </c>
    </row>
    <row r="1972" customFormat="false" ht="15.75" hidden="false" customHeight="false" outlineLevel="0" collapsed="false">
      <c r="A1972" s="2" t="n">
        <v>222401</v>
      </c>
      <c r="B1972" s="2" t="s">
        <v>1250</v>
      </c>
      <c r="C1972" s="2" t="n">
        <v>2</v>
      </c>
      <c r="D1972" s="2" t="n">
        <v>1</v>
      </c>
      <c r="E1972" s="2" t="n">
        <v>1</v>
      </c>
      <c r="F1972" s="2" t="n">
        <v>48</v>
      </c>
      <c r="G1972" s="2" t="s">
        <v>515</v>
      </c>
      <c r="H1972" s="2" t="str">
        <f aca="false">IFERROR(__xludf.dummyfunction("IF(I1986="""", """", REGEXEXTRACT(I1986, ""Padrao/([^/]+)""))"),"Residencial Jequitiba")</f>
        <v>Residencial Jequitiba</v>
      </c>
    </row>
    <row r="1973" customFormat="false" ht="15.75" hidden="false" customHeight="false" outlineLevel="0" collapsed="false">
      <c r="A1973" s="2" t="n">
        <v>219257</v>
      </c>
      <c r="B1973" s="2" t="s">
        <v>1726</v>
      </c>
      <c r="C1973" s="2" t="n">
        <v>3</v>
      </c>
      <c r="D1973" s="2" t="n">
        <v>2</v>
      </c>
      <c r="E1973" s="2" t="n">
        <v>1</v>
      </c>
      <c r="F1973" s="2" t="n">
        <v>66</v>
      </c>
      <c r="G1973" s="2" t="s">
        <v>515</v>
      </c>
      <c r="H1973" s="2" t="str">
        <f aca="false">IFERROR(__xludf.dummyfunction("IF(I1987="""", """", REGEXEXTRACT(I1987, ""Padrao/([^/]+)""))"),"Parque Industrial Lagoinha")</f>
        <v>Parque Industrial Lagoinha</v>
      </c>
    </row>
    <row r="1974" customFormat="false" ht="15.75" hidden="false" customHeight="false" outlineLevel="0" collapsed="false">
      <c r="A1974" s="2" t="n">
        <v>216617</v>
      </c>
      <c r="B1974" s="2" t="s">
        <v>1727</v>
      </c>
      <c r="C1974" s="2" t="n">
        <v>1</v>
      </c>
      <c r="D1974" s="2" t="n">
        <v>1</v>
      </c>
      <c r="E1974" s="2" t="n">
        <v>1</v>
      </c>
      <c r="F1974" s="2" t="n">
        <v>40</v>
      </c>
      <c r="G1974" s="2" t="s">
        <v>515</v>
      </c>
      <c r="H1974" s="2" t="str">
        <f aca="false">IFERROR(__xludf.dummyfunction("IF(I1988="""", """", REGEXEXTRACT(I1988, ""Padrao/([^/]+)""))"),"Alto da Boa Vista")</f>
        <v>Alto da Boa Vista</v>
      </c>
    </row>
    <row r="1975" customFormat="false" ht="15.75" hidden="false" customHeight="false" outlineLevel="0" collapsed="false">
      <c r="A1975" s="2" t="n">
        <v>201893</v>
      </c>
      <c r="B1975" s="2" t="s">
        <v>857</v>
      </c>
      <c r="C1975" s="2" t="n">
        <v>2</v>
      </c>
      <c r="D1975" s="2" t="n">
        <v>1</v>
      </c>
      <c r="E1975" s="2" t="n">
        <v>1</v>
      </c>
      <c r="F1975" s="2" t="n">
        <v>44</v>
      </c>
      <c r="G1975" s="2" t="s">
        <v>515</v>
      </c>
      <c r="H1975" s="2" t="str">
        <f aca="false">IFERROR(__xludf.dummyfunction("IF(I1989="""", """", REGEXEXTRACT(I1989, ""Padrao/([^/]+)""))"),"Ipiranga")</f>
        <v>Ipiranga</v>
      </c>
    </row>
    <row r="1976" customFormat="false" ht="15.75" hidden="false" customHeight="false" outlineLevel="0" collapsed="false">
      <c r="A1976" s="2" t="n">
        <v>200399</v>
      </c>
      <c r="B1976" s="2" t="s">
        <v>1728</v>
      </c>
      <c r="C1976" s="2" t="n">
        <v>2</v>
      </c>
      <c r="D1976" s="2" t="n">
        <v>1</v>
      </c>
      <c r="E1976" s="2" t="n">
        <v>1</v>
      </c>
      <c r="F1976" s="2" t="n">
        <v>58</v>
      </c>
      <c r="G1976" s="2" t="s">
        <v>515</v>
      </c>
      <c r="H1976" s="2" t="str">
        <f aca="false">IFERROR(__xludf.dummyfunction("IF(I1990="""", """", REGEXEXTRACT(I1990, ""Padrao/([^/]+)""))"),"Jardim Zara")</f>
        <v>Jardim Zara</v>
      </c>
    </row>
    <row r="1977" customFormat="false" ht="15.75" hidden="false" customHeight="false" outlineLevel="0" collapsed="false">
      <c r="A1977" s="2" t="n">
        <v>199655</v>
      </c>
      <c r="B1977" s="2" t="s">
        <v>1729</v>
      </c>
      <c r="C1977" s="2" t="n">
        <v>2</v>
      </c>
      <c r="D1977" s="2" t="n">
        <v>1</v>
      </c>
      <c r="E1977" s="2" t="n">
        <v>1</v>
      </c>
      <c r="F1977" s="2" t="n">
        <v>60</v>
      </c>
      <c r="G1977" s="2" t="s">
        <v>515</v>
      </c>
      <c r="H1977" s="2" t="str">
        <f aca="false">IFERROR(__xludf.dummyfunction("IF(I1991="""", """", REGEXEXTRACT(I1991, ""Padrao/([^/]+)""))"),"Jardim Florestan Fernandes")</f>
        <v>Jardim Florestan Fernandes</v>
      </c>
    </row>
    <row r="1978" customFormat="false" ht="15.75" hidden="false" customHeight="false" outlineLevel="0" collapsed="false">
      <c r="A1978" s="2" t="n">
        <v>192785</v>
      </c>
      <c r="B1978" s="2" t="s">
        <v>1730</v>
      </c>
      <c r="C1978" s="2" t="n">
        <v>2</v>
      </c>
      <c r="D1978" s="2" t="n">
        <v>1</v>
      </c>
      <c r="E1978" s="2" t="n">
        <v>1</v>
      </c>
      <c r="F1978" s="2" t="n">
        <v>48</v>
      </c>
      <c r="G1978" s="2" t="s">
        <v>515</v>
      </c>
      <c r="H1978" s="2" t="str">
        <f aca="false">IFERROR(__xludf.dummyfunction("IF(I1992="""", """", REGEXEXTRACT(I1992, ""Padrao/([^/]+)""))"),"Alto da Boa Vista")</f>
        <v>Alto da Boa Vista</v>
      </c>
    </row>
    <row r="1979" customFormat="false" ht="15.75" hidden="false" customHeight="false" outlineLevel="0" collapsed="false">
      <c r="A1979" s="2" t="n">
        <v>187415</v>
      </c>
      <c r="B1979" s="2" t="s">
        <v>1731</v>
      </c>
      <c r="C1979" s="2" t="n">
        <v>2</v>
      </c>
      <c r="D1979" s="2" t="n">
        <v>1</v>
      </c>
      <c r="E1979" s="2" t="n">
        <v>1</v>
      </c>
      <c r="F1979" s="2" t="n">
        <v>46</v>
      </c>
      <c r="G1979" s="2" t="s">
        <v>515</v>
      </c>
      <c r="H1979" s="2" t="str">
        <f aca="false">IFERROR(__xludf.dummyfunction("IF(I1993="""", """", REGEXEXTRACT(I1993, ""Padrao/([^/]+)""))"),"Reserva Sul Condominio")</f>
        <v>Reserva Sul Condominio</v>
      </c>
    </row>
    <row r="1980" customFormat="false" ht="15.75" hidden="false" customHeight="false" outlineLevel="0" collapsed="false">
      <c r="A1980" s="2" t="n">
        <v>186122</v>
      </c>
      <c r="B1980" s="2" t="s">
        <v>1195</v>
      </c>
      <c r="C1980" s="2" t="n">
        <v>2</v>
      </c>
      <c r="D1980" s="2" t="n">
        <v>1</v>
      </c>
      <c r="E1980" s="2" t="n">
        <v>1</v>
      </c>
      <c r="F1980" s="2" t="n">
        <v>42</v>
      </c>
      <c r="G1980" s="2" t="s">
        <v>515</v>
      </c>
      <c r="H1980" s="2" t="str">
        <f aca="false">IFERROR(__xludf.dummyfunction("IF(I1994="""", """", REGEXEXTRACT(I1994, ""Padrao/([^/]+)""))"),"Jardim Santa Cecilia")</f>
        <v>Jardim Santa Cecilia</v>
      </c>
    </row>
    <row r="1981" customFormat="false" ht="15.75" hidden="false" customHeight="false" outlineLevel="0" collapsed="false">
      <c r="A1981" s="2" t="n">
        <v>183887</v>
      </c>
      <c r="B1981" s="2" t="s">
        <v>1732</v>
      </c>
      <c r="C1981" s="2" t="n">
        <v>2</v>
      </c>
      <c r="D1981" s="2" t="n">
        <v>1</v>
      </c>
      <c r="E1981" s="2" t="n">
        <v>2</v>
      </c>
      <c r="F1981" s="2" t="n">
        <v>63</v>
      </c>
      <c r="G1981" s="2" t="s">
        <v>515</v>
      </c>
      <c r="H1981" s="2" t="str">
        <f aca="false">IFERROR(__xludf.dummyfunction("IF(I1995="""", """", REGEXEXTRACT(I1995, ""Padrao/([^/]+)""))"),"Residencial e Comercial Palmares")</f>
        <v>Residencial e Comercial Palmares</v>
      </c>
    </row>
    <row r="1982" customFormat="false" ht="15.75" hidden="false" customHeight="false" outlineLevel="0" collapsed="false">
      <c r="A1982" s="2" t="n">
        <v>181745</v>
      </c>
      <c r="B1982" s="2" t="s">
        <v>1733</v>
      </c>
      <c r="C1982" s="2" t="n">
        <v>2</v>
      </c>
      <c r="D1982" s="2" t="n">
        <v>1</v>
      </c>
      <c r="E1982" s="2" t="n">
        <v>1</v>
      </c>
      <c r="F1982" s="2" t="n">
        <v>57</v>
      </c>
      <c r="G1982" s="2" t="s">
        <v>515</v>
      </c>
      <c r="H1982" s="2" t="str">
        <f aca="false">IFERROR(__xludf.dummyfunction("IF(I1996="""", """", REGEXEXTRACT(I1996, ""Padrao/([^/]+)""))"),"Republica")</f>
        <v>Republica</v>
      </c>
    </row>
    <row r="1983" customFormat="false" ht="15.75" hidden="false" customHeight="false" outlineLevel="0" collapsed="false">
      <c r="A1983" s="2" t="n">
        <v>177950</v>
      </c>
      <c r="B1983" s="2" t="s">
        <v>1734</v>
      </c>
      <c r="C1983" s="2" t="n">
        <v>2</v>
      </c>
      <c r="D1983" s="2" t="n">
        <v>1</v>
      </c>
      <c r="E1983" s="2" t="n">
        <v>1</v>
      </c>
      <c r="F1983" s="2" t="n">
        <v>45</v>
      </c>
      <c r="G1983" s="2" t="s">
        <v>515</v>
      </c>
      <c r="H1983" s="2" t="str">
        <f aca="false">IFERROR(__xludf.dummyfunction("IF(I1997="""", """", REGEXEXTRACT(I1997, ""Padrao/([^/]+)""))"),"Ribeirania")</f>
        <v>Ribeirania</v>
      </c>
    </row>
    <row r="1984" customFormat="false" ht="15.75" hidden="false" customHeight="false" outlineLevel="0" collapsed="false">
      <c r="A1984" s="2" t="n">
        <v>174902</v>
      </c>
      <c r="B1984" s="2" t="s">
        <v>1271</v>
      </c>
      <c r="C1984" s="2" t="n">
        <v>2</v>
      </c>
      <c r="D1984" s="2" t="n">
        <v>1</v>
      </c>
      <c r="E1984" s="2" t="n">
        <v>1</v>
      </c>
      <c r="F1984" s="2" t="n">
        <v>42</v>
      </c>
      <c r="G1984" s="2" t="s">
        <v>515</v>
      </c>
      <c r="H1984" s="2" t="str">
        <f aca="false">IFERROR(__xludf.dummyfunction("IF(I1998="""", """", REGEXEXTRACT(I1998, ""Padrao/([^/]+)""))"),"Jardim Maria Goretti")</f>
        <v>Jardim Maria Goretti</v>
      </c>
    </row>
    <row r="1985" customFormat="false" ht="15.75" hidden="false" customHeight="false" outlineLevel="0" collapsed="false">
      <c r="A1985" s="2" t="n">
        <v>165659</v>
      </c>
      <c r="B1985" s="2" t="s">
        <v>1735</v>
      </c>
      <c r="C1985" s="2" t="n">
        <v>2</v>
      </c>
      <c r="D1985" s="2" t="n">
        <v>1</v>
      </c>
      <c r="E1985" s="2" t="n">
        <v>1</v>
      </c>
      <c r="F1985" s="2" t="n">
        <v>67</v>
      </c>
      <c r="G1985" s="2" t="s">
        <v>515</v>
      </c>
      <c r="H1985" s="2" t="str">
        <f aca="false">IFERROR(__xludf.dummyfunction("IF(I1999="""", """", REGEXEXTRACT(I1999, ""Padrao/([^/]+)""))"),"Sumarezinho")</f>
        <v>Sumarezinho</v>
      </c>
    </row>
    <row r="1986" customFormat="false" ht="15.75" hidden="false" customHeight="false" outlineLevel="0" collapsed="false">
      <c r="A1986" s="2" t="n">
        <v>161648</v>
      </c>
      <c r="B1986" s="2" t="s">
        <v>1736</v>
      </c>
      <c r="C1986" s="2" t="n">
        <v>2</v>
      </c>
      <c r="D1986" s="2" t="n">
        <v>1</v>
      </c>
      <c r="E1986" s="2" t="n">
        <v>1</v>
      </c>
      <c r="F1986" s="2" t="n">
        <v>46</v>
      </c>
      <c r="G1986" s="2" t="s">
        <v>515</v>
      </c>
      <c r="H1986" s="2" t="str">
        <f aca="false">IFERROR(__xludf.dummyfunction("IF(I2000="""", """", REGEXEXTRACT(I2000, ""Padrao/([^/]+)""))"),"Parque Industrial Lagoinha")</f>
        <v>Parque Industrial Lagoinha</v>
      </c>
    </row>
    <row r="1987" customFormat="false" ht="15.75" hidden="false" customHeight="false" outlineLevel="0" collapsed="false">
      <c r="A1987" s="2" t="n">
        <v>161369</v>
      </c>
      <c r="B1987" s="2" t="s">
        <v>1737</v>
      </c>
      <c r="C1987" s="2" t="n">
        <v>2</v>
      </c>
      <c r="D1987" s="2" t="n">
        <v>1</v>
      </c>
      <c r="E1987" s="2" t="n">
        <v>1</v>
      </c>
      <c r="F1987" s="2" t="n">
        <v>44</v>
      </c>
      <c r="G1987" s="2" t="s">
        <v>515</v>
      </c>
      <c r="H1987" s="2" t="str">
        <f aca="false">IFERROR(__xludf.dummyfunction("IF(I2001="""", """", REGEXEXTRACT(I2001, ""Padrao/([^/]+)""))"),"Residencial Greenville")</f>
        <v>Residencial Greenville</v>
      </c>
    </row>
    <row r="1988" customFormat="false" ht="15.75" hidden="false" customHeight="false" outlineLevel="0" collapsed="false">
      <c r="A1988" s="2" t="n">
        <v>158927</v>
      </c>
      <c r="B1988" s="2" t="s">
        <v>368</v>
      </c>
      <c r="C1988" s="2" t="n">
        <v>2</v>
      </c>
      <c r="D1988" s="2" t="n">
        <v>1</v>
      </c>
      <c r="E1988" s="2" t="n">
        <v>1</v>
      </c>
      <c r="F1988" s="2" t="n">
        <v>65</v>
      </c>
      <c r="G1988" s="2" t="s">
        <v>515</v>
      </c>
      <c r="H1988" s="2" t="str">
        <f aca="false">IFERROR(__xludf.dummyfunction("IF(I2002="""", """", REGEXEXTRACT(I2002, ""Padrao/([^/]+)""))"),"Jardim Eugenio Mendes Lopes")</f>
        <v>Jardim Eugenio Mendes Lopes</v>
      </c>
    </row>
    <row r="1989" customFormat="false" ht="15.75" hidden="false" customHeight="false" outlineLevel="0" collapsed="false">
      <c r="A1989" s="2" t="n">
        <v>157586</v>
      </c>
      <c r="B1989" s="2" t="s">
        <v>1738</v>
      </c>
      <c r="C1989" s="2" t="n">
        <v>2</v>
      </c>
      <c r="D1989" s="2" t="n">
        <v>1</v>
      </c>
      <c r="E1989" s="2" t="n">
        <v>1</v>
      </c>
      <c r="F1989" s="2" t="n">
        <v>48</v>
      </c>
      <c r="G1989" s="2" t="s">
        <v>515</v>
      </c>
      <c r="H1989" s="2" t="str">
        <f aca="false">IFERROR(__xludf.dummyfunction("IF(I2003="""", """", REGEXEXTRACT(I2003, ""Padrao/([^/]+)""))"),"Jardim Sao Fernando")</f>
        <v>Jardim Sao Fernando</v>
      </c>
    </row>
    <row r="1990" customFormat="false" ht="15.75" hidden="false" customHeight="false" outlineLevel="0" collapsed="false">
      <c r="A1990" s="2" t="n">
        <v>151469</v>
      </c>
      <c r="B1990" s="2" t="s">
        <v>960</v>
      </c>
      <c r="C1990" s="2" t="n">
        <v>2</v>
      </c>
      <c r="D1990" s="2" t="n">
        <v>1</v>
      </c>
      <c r="E1990" s="2" t="n">
        <v>1</v>
      </c>
      <c r="F1990" s="2" t="n">
        <v>50</v>
      </c>
      <c r="G1990" s="2" t="s">
        <v>515</v>
      </c>
      <c r="H1990" s="2" t="str">
        <f aca="false">IFERROR(__xludf.dummyfunction("IF(I2004="""", """", REGEXEXTRACT(I2004, ""Padrao/([^/]+)""))"),"Vila Recreio")</f>
        <v>Vila Recreio</v>
      </c>
    </row>
    <row r="1991" customFormat="false" ht="15.75" hidden="false" customHeight="false" outlineLevel="0" collapsed="false">
      <c r="A1991" s="2" t="n">
        <v>148619</v>
      </c>
      <c r="B1991" s="2" t="s">
        <v>444</v>
      </c>
      <c r="C1991" s="2" t="n">
        <v>2</v>
      </c>
      <c r="D1991" s="2" t="n">
        <v>1</v>
      </c>
      <c r="E1991" s="2" t="n">
        <v>1</v>
      </c>
      <c r="F1991" s="2" t="n">
        <v>42</v>
      </c>
      <c r="G1991" s="2" t="s">
        <v>515</v>
      </c>
      <c r="H1991" s="2" t="str">
        <f aca="false">IFERROR(__xludf.dummyfunction("IF(I2005="""", """", REGEXEXTRACT(I2005, ""Padrao/([^/]+)""))"),"Jardim Interlagos")</f>
        <v>Jardim Interlagos</v>
      </c>
    </row>
    <row r="1992" customFormat="false" ht="15.75" hidden="false" customHeight="false" outlineLevel="0" collapsed="false">
      <c r="A1992" s="2" t="n">
        <v>148538</v>
      </c>
      <c r="B1992" s="2" t="s">
        <v>1739</v>
      </c>
      <c r="C1992" s="2" t="n">
        <v>3</v>
      </c>
      <c r="D1992" s="2" t="n">
        <v>2</v>
      </c>
      <c r="E1992" s="2" t="n">
        <v>1</v>
      </c>
      <c r="F1992" s="2" t="n">
        <v>70</v>
      </c>
      <c r="G1992" s="2" t="s">
        <v>515</v>
      </c>
      <c r="H1992" s="2" t="str">
        <f aca="false">IFERROR(__xludf.dummyfunction("IF(I2006="""", """", REGEXEXTRACT(I2006, ""Padrao/([^/]+)""))"),"Planalto Verde")</f>
        <v>Planalto Verde</v>
      </c>
    </row>
    <row r="1993" customFormat="false" ht="15.75" hidden="false" customHeight="false" outlineLevel="0" collapsed="false">
      <c r="A1993" s="2" t="n">
        <v>147647</v>
      </c>
      <c r="B1993" s="2" t="s">
        <v>1217</v>
      </c>
      <c r="C1993" s="2" t="n">
        <v>2</v>
      </c>
      <c r="D1993" s="2" t="n">
        <v>1</v>
      </c>
      <c r="E1993" s="2" t="n">
        <v>1</v>
      </c>
      <c r="F1993" s="2" t="n">
        <v>44</v>
      </c>
      <c r="G1993" s="2" t="s">
        <v>515</v>
      </c>
      <c r="H1993" s="2" t="str">
        <f aca="false">IFERROR(__xludf.dummyfunction("IF(I2007="""", """", REGEXEXTRACT(I2007, ""Padrao/([^/]+)""))"),"Residencial Greenville")</f>
        <v>Residencial Greenville</v>
      </c>
    </row>
    <row r="1994" customFormat="false" ht="15.75" hidden="false" customHeight="false" outlineLevel="0" collapsed="false">
      <c r="A1994" s="2" t="n">
        <v>147212</v>
      </c>
      <c r="B1994" s="2" t="s">
        <v>1740</v>
      </c>
      <c r="C1994" s="2" t="n">
        <v>3</v>
      </c>
      <c r="D1994" s="2" t="n">
        <v>2</v>
      </c>
      <c r="E1994" s="2" t="n">
        <v>1</v>
      </c>
      <c r="F1994" s="2" t="n">
        <v>59</v>
      </c>
      <c r="G1994" s="2" t="s">
        <v>515</v>
      </c>
      <c r="H1994" s="2" t="str">
        <f aca="false">IFERROR(__xludf.dummyfunction("IF(I2008="""", """", REGEXEXTRACT(I2008, ""Padrao/([^/]+)""))"),"Campos Eliseos")</f>
        <v>Campos Eliseos</v>
      </c>
    </row>
    <row r="1995" customFormat="false" ht="15.75" hidden="false" customHeight="false" outlineLevel="0" collapsed="false">
      <c r="A1995" s="2" t="n">
        <v>142937</v>
      </c>
      <c r="B1995" s="2" t="s">
        <v>1217</v>
      </c>
      <c r="C1995" s="2" t="n">
        <v>2</v>
      </c>
      <c r="D1995" s="2" t="n">
        <v>1</v>
      </c>
      <c r="E1995" s="2" t="n">
        <v>1</v>
      </c>
      <c r="F1995" s="2" t="n">
        <v>44</v>
      </c>
      <c r="G1995" s="2" t="s">
        <v>515</v>
      </c>
      <c r="H1995" s="2" t="str">
        <f aca="false">IFERROR(__xludf.dummyfunction("IF(I2009="""", """", REGEXEXTRACT(I2009, ""Padrao/([^/]+)""))"),"Residencial Greenville")</f>
        <v>Residencial Greenville</v>
      </c>
    </row>
    <row r="1996" customFormat="false" ht="15.75" hidden="false" customHeight="false" outlineLevel="0" collapsed="false">
      <c r="A1996" s="2" t="n">
        <v>140450</v>
      </c>
      <c r="B1996" s="2" t="s">
        <v>1741</v>
      </c>
      <c r="C1996" s="2" t="n">
        <v>1</v>
      </c>
      <c r="D1996" s="2" t="n">
        <v>1</v>
      </c>
      <c r="E1996" s="2" t="n">
        <v>1</v>
      </c>
      <c r="F1996" s="2" t="n">
        <v>45</v>
      </c>
      <c r="G1996" s="2" t="s">
        <v>515</v>
      </c>
      <c r="H1996" s="2" t="str">
        <f aca="false">IFERROR(__xludf.dummyfunction("IF(I2010="""", """", REGEXEXTRACT(I2010, ""Padrao/([^/]+)""))"),"Nova Alianca")</f>
        <v>Nova Alianca</v>
      </c>
    </row>
    <row r="1997" customFormat="false" ht="15.75" hidden="false" customHeight="false" outlineLevel="0" collapsed="false">
      <c r="A1997" s="2" t="n">
        <v>130760</v>
      </c>
      <c r="B1997" s="2" t="s">
        <v>162</v>
      </c>
      <c r="C1997" s="2" t="n">
        <v>2</v>
      </c>
      <c r="D1997" s="2" t="n">
        <v>1</v>
      </c>
      <c r="E1997" s="2" t="n">
        <v>1</v>
      </c>
      <c r="F1997" s="2" t="n">
        <v>44</v>
      </c>
      <c r="G1997" s="2" t="s">
        <v>515</v>
      </c>
      <c r="H1997" s="2" t="str">
        <f aca="false">IFERROR(__xludf.dummyfunction("IF(I2011="""", """", REGEXEXTRACT(I2011, ""Padrao/([^/]+)""))"),"Residencial Greenville")</f>
        <v>Residencial Greenville</v>
      </c>
    </row>
    <row r="1998" customFormat="false" ht="15.75" hidden="false" customHeight="false" outlineLevel="0" collapsed="false">
      <c r="A1998" s="2" t="n">
        <v>127439</v>
      </c>
      <c r="B1998" s="2" t="s">
        <v>1742</v>
      </c>
      <c r="C1998" s="2" t="n">
        <v>2</v>
      </c>
      <c r="D1998" s="2" t="n">
        <v>1</v>
      </c>
      <c r="E1998" s="2" t="n">
        <v>1</v>
      </c>
      <c r="F1998" s="2" t="n">
        <v>42</v>
      </c>
      <c r="G1998" s="2" t="s">
        <v>515</v>
      </c>
      <c r="H1998" s="2" t="str">
        <f aca="false">IFERROR(__xludf.dummyfunction("IF(I2012="""", """", REGEXEXTRACT(I2012, ""Padrao/([^/]+)""))"),"Planalto Verde")</f>
        <v>Planalto Verde</v>
      </c>
    </row>
    <row r="1999" customFormat="false" ht="15.75" hidden="false" customHeight="false" outlineLevel="0" collapsed="false">
      <c r="A1999" s="2" t="n">
        <v>123833</v>
      </c>
      <c r="B1999" s="2" t="s">
        <v>900</v>
      </c>
      <c r="C1999" s="2" t="n">
        <v>2</v>
      </c>
      <c r="D1999" s="2" t="n">
        <v>1</v>
      </c>
      <c r="E1999" s="2" t="n">
        <v>1</v>
      </c>
      <c r="F1999" s="2" t="n">
        <v>53</v>
      </c>
      <c r="G1999" s="2" t="s">
        <v>515</v>
      </c>
      <c r="H1999" s="2" t="str">
        <f aca="false">IFERROR(__xludf.dummyfunction("IF(I2013="""", """", REGEXEXTRACT(I2013, ""Padrao/([^/]+)""))"),"Jardim Zara")</f>
        <v>Jardim Zara</v>
      </c>
    </row>
    <row r="2000" customFormat="false" ht="15.75" hidden="false" customHeight="false" outlineLevel="0" collapsed="false">
      <c r="A2000" s="2" t="n">
        <v>123401</v>
      </c>
      <c r="B2000" s="2" t="s">
        <v>1743</v>
      </c>
      <c r="C2000" s="2" t="n">
        <v>1</v>
      </c>
      <c r="D2000" s="2" t="n">
        <v>1</v>
      </c>
      <c r="E2000" s="2" t="n">
        <v>1</v>
      </c>
      <c r="F2000" s="2" t="n">
        <v>60</v>
      </c>
      <c r="G2000" s="2" t="s">
        <v>515</v>
      </c>
      <c r="H2000" s="2" t="str">
        <f aca="false">IFERROR(__xludf.dummyfunction("IF(I2014="""", """", REGEXEXTRACT(I2014, ""Padrao/([^/]+)""))"),"Jardim Palma Travassos")</f>
        <v>Jardim Palma Travassos</v>
      </c>
    </row>
    <row r="2001" customFormat="false" ht="15.75" hidden="false" customHeight="false" outlineLevel="0" collapsed="false">
      <c r="A2001" s="2" t="n">
        <v>120470</v>
      </c>
      <c r="B2001" s="2" t="s">
        <v>1744</v>
      </c>
      <c r="C2001" s="2" t="n">
        <v>1</v>
      </c>
      <c r="D2001" s="2" t="n">
        <v>1</v>
      </c>
      <c r="E2001" s="2" t="n">
        <v>1</v>
      </c>
      <c r="F2001" s="2" t="n">
        <v>37</v>
      </c>
      <c r="G2001" s="2" t="s">
        <v>515</v>
      </c>
      <c r="H2001" s="2" t="str">
        <f aca="false">IFERROR(__xludf.dummyfunction("IF(I2015="""", """", REGEXEXTRACT(I2015, ""Padrao/([^/]+)""))"),"Nova Alianca")</f>
        <v>Nova Alianca</v>
      </c>
    </row>
    <row r="2002" customFormat="false" ht="15.75" hidden="false" customHeight="false" outlineLevel="0" collapsed="false">
      <c r="A2002" s="2" t="n">
        <v>117248</v>
      </c>
      <c r="B2002" s="2" t="s">
        <v>1745</v>
      </c>
      <c r="C2002" s="2" t="n">
        <v>2</v>
      </c>
      <c r="D2002" s="2" t="n">
        <v>1</v>
      </c>
      <c r="E2002" s="2" t="n">
        <v>1</v>
      </c>
      <c r="F2002" s="2" t="n">
        <v>45</v>
      </c>
      <c r="G2002" s="2" t="s">
        <v>515</v>
      </c>
      <c r="H2002" s="2" t="str">
        <f aca="false">IFERROR(__xludf.dummyfunction("IF(I2016="""", """", REGEXEXTRACT(I2016, ""Padrao/([^/]+)""))"),"Sumarezinho")</f>
        <v>Sumarezinho</v>
      </c>
    </row>
    <row r="2003" customFormat="false" ht="15.75" hidden="false" customHeight="false" outlineLevel="0" collapsed="false">
      <c r="A2003" s="2" t="n">
        <v>101975</v>
      </c>
      <c r="B2003" s="2" t="s">
        <v>162</v>
      </c>
      <c r="C2003" s="2" t="n">
        <v>3</v>
      </c>
      <c r="D2003" s="2" t="n">
        <v>2</v>
      </c>
      <c r="E2003" s="2" t="n">
        <v>1</v>
      </c>
      <c r="F2003" s="2" t="n">
        <v>66</v>
      </c>
      <c r="G2003" s="2" t="s">
        <v>515</v>
      </c>
      <c r="H2003" s="2" t="str">
        <f aca="false">IFERROR(__xludf.dummyfunction("IF(I2017="""", """", REGEXEXTRACT(I2017, ""Padrao/([^/]+)""))"),"Parque Industrial Lagoinha")</f>
        <v>Parque Industrial Lagoinha</v>
      </c>
    </row>
    <row r="2004" customFormat="false" ht="15.75" hidden="false" customHeight="false" outlineLevel="0" collapsed="false">
      <c r="A2004" s="2" t="n">
        <v>101666</v>
      </c>
      <c r="B2004" s="2" t="s">
        <v>1221</v>
      </c>
      <c r="C2004" s="2" t="n">
        <v>1</v>
      </c>
      <c r="D2004" s="2" t="n">
        <v>1</v>
      </c>
      <c r="E2004" s="2" t="n">
        <v>1</v>
      </c>
      <c r="F2004" s="2" t="n">
        <v>41</v>
      </c>
      <c r="G2004" s="2" t="s">
        <v>515</v>
      </c>
      <c r="H2004" s="2" t="str">
        <f aca="false">IFERROR(__xludf.dummyfunction("IF(I2018="""", """", REGEXEXTRACT(I2018, ""Padrao/([^/]+)""))"),"Jardim San Marco")</f>
        <v>Jardim San Marco</v>
      </c>
    </row>
    <row r="2005" customFormat="false" ht="15.75" hidden="false" customHeight="false" outlineLevel="0" collapsed="false">
      <c r="A2005" s="2" t="n">
        <v>100067</v>
      </c>
      <c r="B2005" s="2" t="s">
        <v>1746</v>
      </c>
      <c r="C2005" s="2" t="n">
        <v>1</v>
      </c>
      <c r="D2005" s="2" t="n">
        <v>1</v>
      </c>
      <c r="E2005" s="2" t="n">
        <v>1</v>
      </c>
      <c r="F2005" s="2" t="n">
        <v>37</v>
      </c>
      <c r="G2005" s="2" t="s">
        <v>515</v>
      </c>
      <c r="H2005" s="2" t="str">
        <f aca="false">IFERROR(__xludf.dummyfunction("IF(I2019="""", """", REGEXEXTRACT(I2019, ""Padrao/([^/]+)""))"),"Nova Alianca")</f>
        <v>Nova Alianca</v>
      </c>
    </row>
    <row r="2006" customFormat="false" ht="15.75" hidden="false" customHeight="false" outlineLevel="0" collapsed="false">
      <c r="A2006" s="2" t="n">
        <v>98309</v>
      </c>
      <c r="B2006" s="2" t="s">
        <v>1747</v>
      </c>
      <c r="C2006" s="2" t="n">
        <v>1</v>
      </c>
      <c r="D2006" s="2" t="n">
        <v>1</v>
      </c>
      <c r="E2006" s="2" t="n">
        <v>1</v>
      </c>
      <c r="F2006" s="2" t="n">
        <v>48</v>
      </c>
      <c r="G2006" s="2" t="s">
        <v>515</v>
      </c>
      <c r="H2006" s="2" t="str">
        <f aca="false">IFERROR(__xludf.dummyfunction("IF(I2020="""", """", REGEXEXTRACT(I2020, ""Padrao/([^/]+)""))"),"Jardim Macedo")</f>
        <v>Jardim Macedo</v>
      </c>
    </row>
    <row r="2007" customFormat="false" ht="15.75" hidden="false" customHeight="false" outlineLevel="0" collapsed="false">
      <c r="A2007" s="2" t="n">
        <v>90842</v>
      </c>
      <c r="B2007" s="2" t="s">
        <v>1748</v>
      </c>
      <c r="C2007" s="2" t="n">
        <v>2</v>
      </c>
      <c r="D2007" s="2" t="n">
        <v>1</v>
      </c>
      <c r="E2007" s="2" t="n">
        <v>1</v>
      </c>
      <c r="F2007" s="2" t="n">
        <v>42</v>
      </c>
      <c r="G2007" s="2" t="s">
        <v>515</v>
      </c>
      <c r="H2007" s="2" t="str">
        <f aca="false">IFERROR(__xludf.dummyfunction("IF(I2022="""", """", REGEXEXTRACT(I2022, ""Padrao/([^/]+)""))"),"Vila Virginia")</f>
        <v>Vila Virginia</v>
      </c>
    </row>
    <row r="2008" customFormat="false" ht="15.75" hidden="false" customHeight="false" outlineLevel="0" collapsed="false">
      <c r="A2008" s="2" t="n">
        <v>90131</v>
      </c>
      <c r="B2008" s="2" t="s">
        <v>1746</v>
      </c>
      <c r="C2008" s="2" t="n">
        <v>1</v>
      </c>
      <c r="D2008" s="2" t="n">
        <v>1</v>
      </c>
      <c r="E2008" s="2" t="n">
        <v>1</v>
      </c>
      <c r="F2008" s="2" t="n">
        <v>37</v>
      </c>
      <c r="G2008" s="2" t="s">
        <v>515</v>
      </c>
      <c r="H2008" s="2" t="str">
        <f aca="false">IFERROR(__xludf.dummyfunction("IF(I2023="""", """", REGEXEXTRACT(I2023, ""Padrao/([^/]+)""))"),"Nova Alianca")</f>
        <v>Nova Alianca</v>
      </c>
    </row>
    <row r="2009" customFormat="false" ht="15.75" hidden="false" customHeight="false" outlineLevel="0" collapsed="false">
      <c r="A2009" s="2" t="n">
        <v>88175</v>
      </c>
      <c r="B2009" s="2" t="s">
        <v>1749</v>
      </c>
      <c r="C2009" s="2" t="n">
        <v>2</v>
      </c>
      <c r="D2009" s="2" t="n">
        <v>2</v>
      </c>
      <c r="E2009" s="2" t="n">
        <v>1</v>
      </c>
      <c r="F2009" s="2" t="n">
        <v>69</v>
      </c>
      <c r="G2009" s="2" t="s">
        <v>515</v>
      </c>
      <c r="H2009" s="2" t="str">
        <f aca="false">IFERROR(__xludf.dummyfunction("IF(I2024="""", """", REGEXEXTRACT(I2024, ""Padrao/([^/]+)""))"),"Jardim Paulista")</f>
        <v>Jardim Paulista</v>
      </c>
    </row>
    <row r="2010" customFormat="false" ht="15.75" hidden="false" customHeight="false" outlineLevel="0" collapsed="false">
      <c r="A2010" s="2" t="n">
        <v>87560</v>
      </c>
      <c r="B2010" s="2" t="s">
        <v>1750</v>
      </c>
      <c r="C2010" s="2" t="n">
        <v>2</v>
      </c>
      <c r="D2010" s="2" t="n">
        <v>1</v>
      </c>
      <c r="E2010" s="2" t="n">
        <v>1</v>
      </c>
      <c r="F2010" s="2" t="n">
        <v>72</v>
      </c>
      <c r="G2010" s="2" t="s">
        <v>515</v>
      </c>
      <c r="H2010" s="2" t="str">
        <f aca="false">IFERROR(__xludf.dummyfunction("IF(I2025="""", """", REGEXEXTRACT(I2025, ""Padrao/([^/]+)""))"),"Presidente Medici")</f>
        <v>Presidente Medici</v>
      </c>
    </row>
    <row r="2011" customFormat="false" ht="15.75" hidden="false" customHeight="false" outlineLevel="0" collapsed="false">
      <c r="A2011" s="2" t="n">
        <v>83183</v>
      </c>
      <c r="B2011" s="2" t="s">
        <v>1751</v>
      </c>
      <c r="C2011" s="2" t="n">
        <v>3</v>
      </c>
      <c r="D2011" s="2" t="n">
        <v>1</v>
      </c>
      <c r="E2011" s="2" t="n">
        <v>1</v>
      </c>
      <c r="F2011" s="2" t="n">
        <v>65</v>
      </c>
      <c r="G2011" s="2" t="s">
        <v>515</v>
      </c>
      <c r="H2011" s="2" t="str">
        <f aca="false">IFERROR(__xludf.dummyfunction("IF(I2026="""", """", REGEXEXTRACT(I2026, ""Padrao/([^/]+)""))"),"Vila Amelia")</f>
        <v>Vila Amelia</v>
      </c>
    </row>
    <row r="2012" customFormat="false" ht="15.75" hidden="false" customHeight="false" outlineLevel="0" collapsed="false">
      <c r="A2012" s="2" t="n">
        <v>32162</v>
      </c>
      <c r="B2012" s="2" t="s">
        <v>1197</v>
      </c>
      <c r="C2012" s="2" t="n">
        <v>2</v>
      </c>
      <c r="D2012" s="2" t="n">
        <v>2</v>
      </c>
      <c r="E2012" s="2" t="n">
        <v>1</v>
      </c>
      <c r="F2012" s="2" t="n">
        <v>66</v>
      </c>
      <c r="G2012" s="2" t="s">
        <v>515</v>
      </c>
      <c r="H2012" s="2" t="str">
        <f aca="false">IFERROR(__xludf.dummyfunction("IF(I2027="""", """", REGEXEXTRACT(I2027, ""Padrao/([^/]+)""))"),"Vila Amelia")</f>
        <v>Vila Amelia</v>
      </c>
    </row>
    <row r="2013" customFormat="false" ht="15.75" hidden="false" customHeight="false" outlineLevel="0" collapsed="false">
      <c r="A2013" s="2" t="n">
        <v>99866</v>
      </c>
      <c r="B2013" s="2" t="s">
        <v>1752</v>
      </c>
      <c r="C2013" s="2" t="n">
        <v>1</v>
      </c>
      <c r="D2013" s="2" t="n">
        <v>1</v>
      </c>
      <c r="E2013" s="2" t="n">
        <v>1</v>
      </c>
      <c r="F2013" s="2" t="n">
        <v>49</v>
      </c>
      <c r="G2013" s="2" t="s">
        <v>446</v>
      </c>
      <c r="H2013" s="2" t="str">
        <f aca="false">IFERROR(__xludf.dummyfunction("IF(I2028="""", """", REGEXEXTRACT(I2028, ""Padrao/([^/]+)""))"),"Centro")</f>
        <v>Centro</v>
      </c>
    </row>
    <row r="2014" customFormat="false" ht="15.75" hidden="false" customHeight="false" outlineLevel="0" collapsed="false">
      <c r="A2014" s="2" t="n">
        <v>108713</v>
      </c>
      <c r="B2014" s="2" t="s">
        <v>882</v>
      </c>
      <c r="C2014" s="2" t="n">
        <v>2</v>
      </c>
      <c r="D2014" s="2" t="n">
        <v>1</v>
      </c>
      <c r="E2014" s="2" t="n">
        <v>1</v>
      </c>
      <c r="F2014" s="2" t="n">
        <v>45</v>
      </c>
      <c r="G2014" s="2" t="s">
        <v>464</v>
      </c>
      <c r="H2014" s="2" t="str">
        <f aca="false">IFERROR(__xludf.dummyfunction("IF(I2029="""", """", REGEXEXTRACT(I2029, ""Padrao/([^/]+)""))"),"Parque Sao Sebastiao")</f>
        <v>Parque Sao Sebastiao</v>
      </c>
    </row>
    <row r="2015" customFormat="false" ht="15.75" hidden="false" customHeight="false" outlineLevel="0" collapsed="false">
      <c r="A2015" s="2" t="n">
        <v>100562</v>
      </c>
      <c r="B2015" s="2" t="s">
        <v>1753</v>
      </c>
      <c r="C2015" s="2" t="n">
        <v>2</v>
      </c>
      <c r="D2015" s="2" t="n">
        <v>1</v>
      </c>
      <c r="E2015" s="2" t="n">
        <v>1</v>
      </c>
      <c r="F2015" s="2" t="n">
        <v>48</v>
      </c>
      <c r="G2015" s="2" t="s">
        <v>464</v>
      </c>
      <c r="H2015" s="2" t="str">
        <f aca="false">IFERROR(__xludf.dummyfunction("IF(I2030="""", """", REGEXEXTRACT(I2030, ""Padrao/([^/]+)""))"),"Reserva Sul Condominio")</f>
        <v>Reserva Sul Condominio</v>
      </c>
    </row>
    <row r="2016" customFormat="false" ht="15.75" hidden="false" customHeight="false" outlineLevel="0" collapsed="false">
      <c r="A2016" s="2" t="n">
        <v>146708</v>
      </c>
      <c r="B2016" s="2" t="s">
        <v>386</v>
      </c>
      <c r="C2016" s="2" t="n">
        <v>2</v>
      </c>
      <c r="D2016" s="2" t="n">
        <v>1</v>
      </c>
      <c r="E2016" s="2" t="n">
        <v>1</v>
      </c>
      <c r="F2016" s="2" t="n">
        <v>42</v>
      </c>
      <c r="G2016" s="2" t="s">
        <v>472</v>
      </c>
      <c r="H2016" s="2" t="str">
        <f aca="false">IFERROR(__xludf.dummyfunction("IF(I2031="""", """", REGEXEXTRACT(I2031, ""Padrao/([^/]+)""))"),"Jardim Ouro Branco")</f>
        <v>Jardim Ouro Branco</v>
      </c>
    </row>
    <row r="2017" customFormat="false" ht="15.75" hidden="false" customHeight="false" outlineLevel="0" collapsed="false">
      <c r="A2017" s="2" t="n">
        <v>158330</v>
      </c>
      <c r="B2017" s="2" t="s">
        <v>1754</v>
      </c>
      <c r="C2017" s="2" t="n">
        <v>2</v>
      </c>
      <c r="D2017" s="2" t="n">
        <v>1</v>
      </c>
      <c r="E2017" s="2" t="n">
        <v>1</v>
      </c>
      <c r="F2017" s="2" t="n">
        <v>48</v>
      </c>
      <c r="G2017" s="2" t="s">
        <v>483</v>
      </c>
      <c r="H2017" s="2" t="str">
        <f aca="false">IFERROR(__xludf.dummyfunction("IF(I2032="""", """", REGEXEXTRACT(I2032, ""Padrao/([^/]+)""))"),"Jardim Heitor Rigon")</f>
        <v>Jardim Heitor Rigon</v>
      </c>
    </row>
    <row r="2018" customFormat="false" ht="15.75" hidden="false" customHeight="false" outlineLevel="0" collapsed="false">
      <c r="A2018" s="2" t="n">
        <v>243017</v>
      </c>
      <c r="B2018" s="2" t="s">
        <v>1755</v>
      </c>
      <c r="C2018" s="2" t="n">
        <v>2</v>
      </c>
      <c r="D2018" s="2" t="n">
        <v>1</v>
      </c>
      <c r="E2018" s="2" t="n">
        <v>1</v>
      </c>
      <c r="F2018" s="2" t="n">
        <v>45</v>
      </c>
      <c r="G2018" s="2" t="s">
        <v>518</v>
      </c>
      <c r="H2018" s="2" t="str">
        <f aca="false">IFERROR(__xludf.dummyfunction("IF(I2033="""", """", REGEXEXTRACT(I2033, ""Padrao/([^/]+)""))"),"Ribeirania")</f>
        <v>Ribeirania</v>
      </c>
    </row>
    <row r="2019" customFormat="false" ht="15.75" hidden="false" customHeight="false" outlineLevel="0" collapsed="false">
      <c r="A2019" s="2" t="n">
        <v>241253</v>
      </c>
      <c r="B2019" s="2" t="s">
        <v>1051</v>
      </c>
      <c r="C2019" s="2" t="n">
        <v>2</v>
      </c>
      <c r="D2019" s="2" t="n">
        <v>1</v>
      </c>
      <c r="E2019" s="2" t="n">
        <v>1</v>
      </c>
      <c r="F2019" s="2" t="n">
        <v>43</v>
      </c>
      <c r="G2019" s="2" t="s">
        <v>518</v>
      </c>
      <c r="H2019" s="2" t="str">
        <f aca="false">IFERROR(__xludf.dummyfunction("IF(I2034="""", """", REGEXEXTRACT(I2034, ""Padrao/([^/]+)""))"),"Jardim Interlagos")</f>
        <v>Jardim Interlagos</v>
      </c>
    </row>
    <row r="2020" customFormat="false" ht="15.75" hidden="false" customHeight="false" outlineLevel="0" collapsed="false">
      <c r="A2020" s="2" t="n">
        <v>235556</v>
      </c>
      <c r="B2020" s="2" t="s">
        <v>1756</v>
      </c>
      <c r="C2020" s="2" t="n">
        <v>1</v>
      </c>
      <c r="D2020" s="2" t="n">
        <v>2</v>
      </c>
      <c r="E2020" s="2" t="n">
        <v>1</v>
      </c>
      <c r="F2020" s="2" t="n">
        <v>42</v>
      </c>
      <c r="G2020" s="2" t="s">
        <v>518</v>
      </c>
      <c r="H2020" s="2" t="str">
        <f aca="false">IFERROR(__xludf.dummyfunction("IF(I2035="""", """", REGEXEXTRACT(I2035, ""Padrao/([^/]+)""))"),"Jardim Botanico")</f>
        <v>Jardim Botanico</v>
      </c>
    </row>
    <row r="2021" customFormat="false" ht="15.75" hidden="false" customHeight="false" outlineLevel="0" collapsed="false">
      <c r="A2021" s="2" t="n">
        <v>222572</v>
      </c>
      <c r="B2021" s="2" t="s">
        <v>1757</v>
      </c>
      <c r="C2021" s="2" t="n">
        <v>2</v>
      </c>
      <c r="D2021" s="2" t="n">
        <v>1</v>
      </c>
      <c r="E2021" s="2" t="n">
        <v>1</v>
      </c>
      <c r="F2021" s="2" t="n">
        <v>47</v>
      </c>
      <c r="G2021" s="2" t="s">
        <v>518</v>
      </c>
      <c r="H2021" s="2" t="str">
        <f aca="false">IFERROR(__xludf.dummyfunction("IF(I2036="""", """", REGEXEXTRACT(I2036, ""Padrao/([^/]+)""))"),"Jardim Manoel Penna")</f>
        <v>Jardim Manoel Penna</v>
      </c>
    </row>
    <row r="2022" customFormat="false" ht="15.75" hidden="false" customHeight="false" outlineLevel="0" collapsed="false">
      <c r="A2022" s="2" t="n">
        <v>221483</v>
      </c>
      <c r="B2022" s="2" t="s">
        <v>1758</v>
      </c>
      <c r="C2022" s="2" t="n">
        <v>2</v>
      </c>
      <c r="D2022" s="2" t="n">
        <v>1</v>
      </c>
      <c r="E2022" s="2" t="n">
        <v>1</v>
      </c>
      <c r="F2022" s="2" t="n">
        <v>57</v>
      </c>
      <c r="G2022" s="2" t="s">
        <v>518</v>
      </c>
      <c r="H2022" s="2" t="str">
        <f aca="false">IFERROR(__xludf.dummyfunction("IF(I2037="""", """", REGEXEXTRACT(I2037, ""Padrao/([^/]+)""))"),"Jardim Antartica")</f>
        <v>Jardim Antartica</v>
      </c>
    </row>
    <row r="2023" customFormat="false" ht="15.75" hidden="false" customHeight="false" outlineLevel="0" collapsed="false">
      <c r="A2023" s="2" t="n">
        <v>209393</v>
      </c>
      <c r="B2023" s="2" t="s">
        <v>1759</v>
      </c>
      <c r="C2023" s="2" t="n">
        <v>2</v>
      </c>
      <c r="D2023" s="2" t="n">
        <v>1</v>
      </c>
      <c r="E2023" s="2" t="n">
        <v>1</v>
      </c>
      <c r="F2023" s="2" t="n">
        <v>40</v>
      </c>
      <c r="G2023" s="2" t="s">
        <v>518</v>
      </c>
      <c r="H2023" s="2" t="str">
        <f aca="false">IFERROR(__xludf.dummyfunction("IF(I2038="""", """", REGEXEXTRACT(I2038, ""Padrao/([^/]+)""))"),"Reserva Sao Jose")</f>
        <v>Reserva Sao Jose</v>
      </c>
    </row>
    <row r="2024" customFormat="false" ht="15.75" hidden="false" customHeight="false" outlineLevel="0" collapsed="false">
      <c r="A2024" s="2" t="n">
        <v>207785</v>
      </c>
      <c r="B2024" s="2" t="s">
        <v>1760</v>
      </c>
      <c r="C2024" s="2" t="n">
        <v>2</v>
      </c>
      <c r="D2024" s="2" t="n">
        <v>1</v>
      </c>
      <c r="E2024" s="2" t="n">
        <v>1</v>
      </c>
      <c r="F2024" s="2" t="n">
        <v>58</v>
      </c>
      <c r="G2024" s="2" t="s">
        <v>518</v>
      </c>
      <c r="H2024" s="2" t="str">
        <f aca="false">IFERROR(__xludf.dummyfunction("IF(I2039="""", """", REGEXEXTRACT(I2039, ""Padrao/([^/]+)""))"),"Ipiranga")</f>
        <v>Ipiranga</v>
      </c>
    </row>
    <row r="2025" customFormat="false" ht="15.75" hidden="false" customHeight="false" outlineLevel="0" collapsed="false">
      <c r="A2025" s="2" t="n">
        <v>202631</v>
      </c>
      <c r="B2025" s="2" t="s">
        <v>1761</v>
      </c>
      <c r="C2025" s="2" t="n">
        <v>2</v>
      </c>
      <c r="D2025" s="2" t="n">
        <v>1</v>
      </c>
      <c r="E2025" s="2" t="n">
        <v>1</v>
      </c>
      <c r="F2025" s="2" t="n">
        <v>42</v>
      </c>
      <c r="G2025" s="2" t="s">
        <v>518</v>
      </c>
      <c r="H2025" s="2" t="str">
        <f aca="false">IFERROR(__xludf.dummyfunction("IF(I2040="""", """", REGEXEXTRACT(I2040, ""Padrao/([^/]+)""))"),"Jardim Zara")</f>
        <v>Jardim Zara</v>
      </c>
    </row>
    <row r="2026" customFormat="false" ht="15.75" hidden="false" customHeight="false" outlineLevel="0" collapsed="false">
      <c r="A2026" s="2" t="n">
        <v>202391</v>
      </c>
      <c r="B2026" s="2" t="s">
        <v>1762</v>
      </c>
      <c r="C2026" s="2" t="n">
        <v>3</v>
      </c>
      <c r="D2026" s="2" t="n">
        <v>1</v>
      </c>
      <c r="E2026" s="2" t="n">
        <v>1</v>
      </c>
      <c r="F2026" s="2" t="n">
        <v>74</v>
      </c>
      <c r="G2026" s="2" t="s">
        <v>518</v>
      </c>
      <c r="H2026" s="2" t="str">
        <f aca="false">IFERROR(__xludf.dummyfunction("IF(I2041="""", """", REGEXEXTRACT(I2041, ""Padrao/([^/]+)""))"),"Jardim Paulistano")</f>
        <v>Jardim Paulistano</v>
      </c>
    </row>
    <row r="2027" customFormat="false" ht="15.75" hidden="false" customHeight="false" outlineLevel="0" collapsed="false">
      <c r="A2027" s="2" t="n">
        <v>196091</v>
      </c>
      <c r="B2027" s="2" t="s">
        <v>1763</v>
      </c>
      <c r="C2027" s="2" t="n">
        <v>2</v>
      </c>
      <c r="D2027" s="2" t="n">
        <v>1</v>
      </c>
      <c r="E2027" s="2" t="n">
        <v>1</v>
      </c>
      <c r="F2027" s="2" t="n">
        <v>46</v>
      </c>
      <c r="G2027" s="2" t="s">
        <v>518</v>
      </c>
      <c r="H2027" s="2" t="str">
        <f aca="false">IFERROR(__xludf.dummyfunction("IF(I2042="""", """", REGEXEXTRACT(I2042, ""Padrao/([^/]+)""))"),"Ribeirania")</f>
        <v>Ribeirania</v>
      </c>
    </row>
    <row r="2028" customFormat="false" ht="15.75" hidden="false" customHeight="false" outlineLevel="0" collapsed="false">
      <c r="A2028" s="2" t="n">
        <v>195272</v>
      </c>
      <c r="B2028" s="2" t="s">
        <v>1764</v>
      </c>
      <c r="C2028" s="2" t="n">
        <v>2</v>
      </c>
      <c r="D2028" s="2" t="n">
        <v>2</v>
      </c>
      <c r="E2028" s="2" t="n">
        <v>2</v>
      </c>
      <c r="F2028" s="2" t="n">
        <v>63</v>
      </c>
      <c r="G2028" s="2" t="s">
        <v>518</v>
      </c>
      <c r="H2028" s="2" t="str">
        <f aca="false">IFERROR(__xludf.dummyfunction("IF(I2043="""", """", REGEXEXTRACT(I2043, ""Padrao/([^/]+)""))"),"Residencial e Comercial Palmares")</f>
        <v>Residencial e Comercial Palmares</v>
      </c>
    </row>
    <row r="2029" customFormat="false" ht="15.75" hidden="false" customHeight="false" outlineLevel="0" collapsed="false">
      <c r="A2029" s="2" t="n">
        <v>190583</v>
      </c>
      <c r="B2029" s="2" t="s">
        <v>1765</v>
      </c>
      <c r="C2029" s="2" t="n">
        <v>2</v>
      </c>
      <c r="D2029" s="2" t="n">
        <v>1</v>
      </c>
      <c r="E2029" s="2" t="n">
        <v>1</v>
      </c>
      <c r="F2029" s="2" t="n">
        <v>44</v>
      </c>
      <c r="G2029" s="2" t="s">
        <v>518</v>
      </c>
      <c r="H2029" s="2" t="str">
        <f aca="false">IFERROR(__xludf.dummyfunction("IF(I2044="""", """", REGEXEXTRACT(I2044, ""Padrao/([^/]+)""))"),"Vila Virginia")</f>
        <v>Vila Virginia</v>
      </c>
    </row>
    <row r="2030" customFormat="false" ht="15.75" hidden="false" customHeight="false" outlineLevel="0" collapsed="false">
      <c r="A2030" s="2" t="n">
        <v>187634</v>
      </c>
      <c r="B2030" s="2" t="s">
        <v>1766</v>
      </c>
      <c r="C2030" s="2" t="n">
        <v>1</v>
      </c>
      <c r="D2030" s="2" t="n">
        <v>1</v>
      </c>
      <c r="E2030" s="2" t="n">
        <v>1</v>
      </c>
      <c r="F2030" s="2" t="n">
        <v>37</v>
      </c>
      <c r="G2030" s="2" t="s">
        <v>518</v>
      </c>
      <c r="H2030" s="2" t="str">
        <f aca="false">IFERROR(__xludf.dummyfunction("IF(I2045="""", """", REGEXEXTRACT(I2045, ""Padrao/([^/]+)""))"),"Ribeirania")</f>
        <v>Ribeirania</v>
      </c>
    </row>
    <row r="2031" customFormat="false" ht="15.75" hidden="false" customHeight="false" outlineLevel="0" collapsed="false">
      <c r="A2031" s="2" t="n">
        <v>186578</v>
      </c>
      <c r="B2031" s="2" t="s">
        <v>1767</v>
      </c>
      <c r="C2031" s="2" t="n">
        <v>2</v>
      </c>
      <c r="D2031" s="2" t="n">
        <v>2</v>
      </c>
      <c r="E2031" s="2" t="n">
        <v>1</v>
      </c>
      <c r="F2031" s="2" t="n">
        <v>59</v>
      </c>
      <c r="G2031" s="2" t="s">
        <v>518</v>
      </c>
      <c r="H2031" s="2" t="str">
        <f aca="false">IFERROR(__xludf.dummyfunction("IF(I2046="""", """", REGEXEXTRACT(I2046, ""Padrao/([^/]+)""))"),"Parque Sao Sebastiao")</f>
        <v>Parque Sao Sebastiao</v>
      </c>
    </row>
    <row r="2032" customFormat="false" ht="15.75" hidden="false" customHeight="false" outlineLevel="0" collapsed="false">
      <c r="A2032" s="2" t="n">
        <v>180461</v>
      </c>
      <c r="B2032" s="2" t="s">
        <v>876</v>
      </c>
      <c r="C2032" s="2" t="n">
        <v>2</v>
      </c>
      <c r="D2032" s="2" t="n">
        <v>1</v>
      </c>
      <c r="E2032" s="2" t="n">
        <v>1</v>
      </c>
      <c r="F2032" s="2" t="n">
        <v>41</v>
      </c>
      <c r="G2032" s="2" t="s">
        <v>518</v>
      </c>
      <c r="H2032" s="2" t="str">
        <f aca="false">IFERROR(__xludf.dummyfunction("IF(I2047="""", """", REGEXEXTRACT(I2047, ""Padrao/([^/]+)""))"),"Reserva Real")</f>
        <v>Reserva Real</v>
      </c>
    </row>
    <row r="2033" customFormat="false" ht="15.75" hidden="false" customHeight="false" outlineLevel="0" collapsed="false">
      <c r="A2033" s="2" t="n">
        <v>177623</v>
      </c>
      <c r="B2033" s="2" t="s">
        <v>1768</v>
      </c>
      <c r="C2033" s="2" t="n">
        <v>2</v>
      </c>
      <c r="D2033" s="2" t="n">
        <v>1</v>
      </c>
      <c r="E2033" s="2" t="n">
        <v>1</v>
      </c>
      <c r="F2033" s="2" t="n">
        <v>42</v>
      </c>
      <c r="G2033" s="2" t="s">
        <v>518</v>
      </c>
      <c r="H2033" s="2" t="str">
        <f aca="false">IFERROR(__xludf.dummyfunction("IF(I2048="""", """", REGEXEXTRACT(I2048, ""Padrao/([^/]+)""))"),"Jardim Jandaia")</f>
        <v>Jardim Jandaia</v>
      </c>
    </row>
    <row r="2034" customFormat="false" ht="15.75" hidden="false" customHeight="false" outlineLevel="0" collapsed="false">
      <c r="A2034" s="2" t="n">
        <v>175463</v>
      </c>
      <c r="B2034" s="2" t="s">
        <v>876</v>
      </c>
      <c r="C2034" s="2" t="n">
        <v>2</v>
      </c>
      <c r="D2034" s="2" t="n">
        <v>1</v>
      </c>
      <c r="E2034" s="2" t="n">
        <v>1</v>
      </c>
      <c r="F2034" s="2" t="n">
        <v>41</v>
      </c>
      <c r="G2034" s="2" t="s">
        <v>518</v>
      </c>
      <c r="H2034" s="2" t="str">
        <f aca="false">IFERROR(__xludf.dummyfunction("IF(I2049="""", """", REGEXEXTRACT(I2049, ""Padrao/([^/]+)""))"),"Reserva Real")</f>
        <v>Reserva Real</v>
      </c>
    </row>
    <row r="2035" customFormat="false" ht="15.75" hidden="false" customHeight="false" outlineLevel="0" collapsed="false">
      <c r="A2035" s="2" t="n">
        <v>175439</v>
      </c>
      <c r="B2035" s="2" t="s">
        <v>984</v>
      </c>
      <c r="C2035" s="2" t="n">
        <v>2</v>
      </c>
      <c r="D2035" s="2" t="n">
        <v>1</v>
      </c>
      <c r="E2035" s="2" t="n">
        <v>1</v>
      </c>
      <c r="F2035" s="2" t="n">
        <v>42</v>
      </c>
      <c r="G2035" s="2" t="s">
        <v>518</v>
      </c>
      <c r="H2035" s="2" t="str">
        <f aca="false">IFERROR(__xludf.dummyfunction("IF(I2050="""", """", REGEXEXTRACT(I2050, ""Padrao/([^/]+)""))"),"Quintino Facci II")</f>
        <v>Quintino Facci II</v>
      </c>
    </row>
    <row r="2036" customFormat="false" ht="15.75" hidden="false" customHeight="false" outlineLevel="0" collapsed="false">
      <c r="A2036" s="2" t="n">
        <v>174947</v>
      </c>
      <c r="B2036" s="2" t="s">
        <v>1769</v>
      </c>
      <c r="C2036" s="2" t="n">
        <v>3</v>
      </c>
      <c r="D2036" s="2" t="n">
        <v>2</v>
      </c>
      <c r="E2036" s="2" t="n">
        <v>1</v>
      </c>
      <c r="F2036" s="2" t="n">
        <v>58</v>
      </c>
      <c r="G2036" s="2" t="s">
        <v>518</v>
      </c>
      <c r="H2036" s="2" t="str">
        <f aca="false">IFERROR(__xludf.dummyfunction("IF(I2051="""", """", REGEXEXTRACT(I2051, ""Padrao/([^/]+)""))"),"Jardim Sumare")</f>
        <v>Jardim Sumare</v>
      </c>
    </row>
    <row r="2037" customFormat="false" ht="15.75" hidden="false" customHeight="false" outlineLevel="0" collapsed="false">
      <c r="A2037" s="2" t="n">
        <v>170639</v>
      </c>
      <c r="B2037" s="2" t="s">
        <v>1770</v>
      </c>
      <c r="C2037" s="2" t="n">
        <v>2</v>
      </c>
      <c r="D2037" s="2" t="n">
        <v>1</v>
      </c>
      <c r="E2037" s="2" t="n">
        <v>1</v>
      </c>
      <c r="F2037" s="2" t="n">
        <v>48</v>
      </c>
      <c r="G2037" s="2" t="s">
        <v>518</v>
      </c>
      <c r="H2037" s="2" t="str">
        <f aca="false">IFERROR(__xludf.dummyfunction("IF(I2052="""", """", REGEXEXTRACT(I2052, ""Padrao/([^/]+)""))"),"Geraldo Correia de Carvalho")</f>
        <v>Geraldo Correia de Carvalho</v>
      </c>
    </row>
    <row r="2038" customFormat="false" ht="15.75" hidden="false" customHeight="false" outlineLevel="0" collapsed="false">
      <c r="A2038" s="2" t="n">
        <v>167495</v>
      </c>
      <c r="B2038" s="2" t="s">
        <v>1771</v>
      </c>
      <c r="C2038" s="2" t="n">
        <v>1</v>
      </c>
      <c r="D2038" s="2" t="n">
        <v>1</v>
      </c>
      <c r="E2038" s="2" t="n">
        <v>1</v>
      </c>
      <c r="F2038" s="2" t="n">
        <v>43</v>
      </c>
      <c r="G2038" s="2" t="s">
        <v>518</v>
      </c>
      <c r="H2038" s="2" t="str">
        <f aca="false">IFERROR(__xludf.dummyfunction("IF(I2053="""", """", REGEXEXTRACT(I2053, ""Padrao/([^/]+)""))"),"Nova Alianca")</f>
        <v>Nova Alianca</v>
      </c>
    </row>
    <row r="2039" customFormat="false" ht="15.75" hidden="false" customHeight="false" outlineLevel="0" collapsed="false">
      <c r="A2039" s="2" t="n">
        <v>156050</v>
      </c>
      <c r="B2039" s="2" t="s">
        <v>1772</v>
      </c>
      <c r="C2039" s="2" t="n">
        <v>1</v>
      </c>
      <c r="D2039" s="2" t="n">
        <v>1</v>
      </c>
      <c r="E2039" s="2" t="n">
        <v>1</v>
      </c>
      <c r="F2039" s="2" t="n">
        <v>32</v>
      </c>
      <c r="G2039" s="2" t="s">
        <v>518</v>
      </c>
      <c r="H2039" s="2" t="str">
        <f aca="false">IFERROR(__xludf.dummyfunction("IF(I2054="""", """", REGEXEXTRACT(I2054, ""Padrao/([^/]+)""))"),"Jardim Paulista")</f>
        <v>Jardim Paulista</v>
      </c>
    </row>
    <row r="2040" customFormat="false" ht="15.75" hidden="false" customHeight="false" outlineLevel="0" collapsed="false">
      <c r="A2040" s="2" t="n">
        <v>155369</v>
      </c>
      <c r="B2040" s="2" t="s">
        <v>1101</v>
      </c>
      <c r="C2040" s="2" t="n">
        <v>1</v>
      </c>
      <c r="D2040" s="2" t="n">
        <v>1</v>
      </c>
      <c r="E2040" s="2" t="n">
        <v>1</v>
      </c>
      <c r="F2040" s="2" t="n">
        <v>35</v>
      </c>
      <c r="G2040" s="2" t="s">
        <v>518</v>
      </c>
      <c r="H2040" s="2" t="str">
        <f aca="false">IFERROR(__xludf.dummyfunction("IF(I2055="""", """", REGEXEXTRACT(I2055, ""Padrao/([^/]+)""))"),"Vila Amelia")</f>
        <v>Vila Amelia</v>
      </c>
    </row>
    <row r="2041" customFormat="false" ht="15.75" hidden="false" customHeight="false" outlineLevel="0" collapsed="false">
      <c r="A2041" s="2" t="n">
        <v>153932</v>
      </c>
      <c r="B2041" s="2" t="s">
        <v>1773</v>
      </c>
      <c r="C2041" s="2" t="n">
        <v>2</v>
      </c>
      <c r="D2041" s="2" t="n">
        <v>1</v>
      </c>
      <c r="E2041" s="2" t="n">
        <v>1</v>
      </c>
      <c r="F2041" s="2" t="n">
        <v>42</v>
      </c>
      <c r="G2041" s="2" t="s">
        <v>518</v>
      </c>
      <c r="H2041" s="2" t="str">
        <f aca="false">IFERROR(__xludf.dummyfunction("IF(I2056="""", """", REGEXEXTRACT(I2056, ""Padrao/([^/]+)""))"),"Jardim Florestan Fernandes")</f>
        <v>Jardim Florestan Fernandes</v>
      </c>
    </row>
    <row r="2042" customFormat="false" ht="15.75" hidden="false" customHeight="false" outlineLevel="0" collapsed="false">
      <c r="A2042" s="2" t="n">
        <v>151757</v>
      </c>
      <c r="B2042" s="2" t="s">
        <v>1652</v>
      </c>
      <c r="C2042" s="2" t="n">
        <v>2</v>
      </c>
      <c r="D2042" s="2" t="n">
        <v>1</v>
      </c>
      <c r="E2042" s="2" t="n">
        <v>1</v>
      </c>
      <c r="F2042" s="2" t="n">
        <v>47</v>
      </c>
      <c r="G2042" s="2" t="s">
        <v>518</v>
      </c>
      <c r="H2042" s="2" t="str">
        <f aca="false">IFERROR(__xludf.dummyfunction("IF(I2057="""", """", REGEXEXTRACT(I2057, ""Padrao/([^/]+)""))"),"Condominio Mirante Sul")</f>
        <v>Condominio Mirante Sul</v>
      </c>
    </row>
    <row r="2043" customFormat="false" ht="15.75" hidden="false" customHeight="false" outlineLevel="0" collapsed="false">
      <c r="A2043" s="2" t="n">
        <v>146174</v>
      </c>
      <c r="B2043" s="2" t="s">
        <v>1774</v>
      </c>
      <c r="C2043" s="2" t="n">
        <v>2</v>
      </c>
      <c r="D2043" s="2" t="n">
        <v>1</v>
      </c>
      <c r="E2043" s="2" t="n">
        <v>1</v>
      </c>
      <c r="F2043" s="2" t="n">
        <v>69</v>
      </c>
      <c r="G2043" s="2" t="s">
        <v>518</v>
      </c>
      <c r="H2043" s="2" t="str">
        <f aca="false">IFERROR(__xludf.dummyfunction("IF(I2058="""", """", REGEXEXTRACT(I2058, ""Padrao/([^/]+)""))"),"Jardim Interlagos")</f>
        <v>Jardim Interlagos</v>
      </c>
    </row>
    <row r="2044" customFormat="false" ht="15.75" hidden="false" customHeight="false" outlineLevel="0" collapsed="false">
      <c r="A2044" s="2" t="n">
        <v>142199</v>
      </c>
      <c r="B2044" s="2" t="s">
        <v>1775</v>
      </c>
      <c r="C2044" s="2" t="n">
        <v>2</v>
      </c>
      <c r="D2044" s="2" t="n">
        <v>1</v>
      </c>
      <c r="E2044" s="2" t="n">
        <v>1</v>
      </c>
      <c r="F2044" s="2" t="n">
        <v>62</v>
      </c>
      <c r="G2044" s="2" t="s">
        <v>518</v>
      </c>
      <c r="H2044" s="2" t="str">
        <f aca="false">IFERROR(__xludf.dummyfunction("IF(I2059="""", """", REGEXEXTRACT(I2059, ""Padrao/([^/]+)""))"),"Vila Tamandare")</f>
        <v>Vila Tamandare</v>
      </c>
    </row>
    <row r="2045" customFormat="false" ht="15.75" hidden="false" customHeight="false" outlineLevel="0" collapsed="false">
      <c r="A2045" s="2" t="n">
        <v>141749</v>
      </c>
      <c r="B2045" s="2" t="s">
        <v>1776</v>
      </c>
      <c r="C2045" s="2" t="n">
        <v>1</v>
      </c>
      <c r="D2045" s="2" t="n">
        <v>1</v>
      </c>
      <c r="E2045" s="2" t="n">
        <v>1</v>
      </c>
      <c r="F2045" s="2" t="n">
        <v>39</v>
      </c>
      <c r="G2045" s="2" t="s">
        <v>518</v>
      </c>
      <c r="H2045" s="2" t="str">
        <f aca="false">IFERROR(__xludf.dummyfunction("IF(I2060="""", """", REGEXEXTRACT(I2060, ""Padrao/([^/]+)""))"),"Vila Ana Maria")</f>
        <v>Vila Ana Maria</v>
      </c>
    </row>
    <row r="2046" customFormat="false" ht="15.75" hidden="false" customHeight="false" outlineLevel="0" collapsed="false">
      <c r="A2046" s="2" t="n">
        <v>141560</v>
      </c>
      <c r="B2046" s="2" t="s">
        <v>791</v>
      </c>
      <c r="C2046" s="2" t="n">
        <v>2</v>
      </c>
      <c r="D2046" s="2" t="n">
        <v>1</v>
      </c>
      <c r="E2046" s="2" t="n">
        <v>1</v>
      </c>
      <c r="F2046" s="2" t="n">
        <v>48</v>
      </c>
      <c r="G2046" s="2" t="s">
        <v>518</v>
      </c>
      <c r="H2046" s="2" t="str">
        <f aca="false">IFERROR(__xludf.dummyfunction("IF(I2061="""", """", REGEXEXTRACT(I2061, ""Padrao/([^/]+)""))"),"Parque Sao Sebastiao")</f>
        <v>Parque Sao Sebastiao</v>
      </c>
    </row>
    <row r="2047" customFormat="false" ht="15.75" hidden="false" customHeight="false" outlineLevel="0" collapsed="false">
      <c r="A2047" s="2" t="n">
        <v>138278</v>
      </c>
      <c r="B2047" s="2" t="s">
        <v>868</v>
      </c>
      <c r="C2047" s="2" t="n">
        <v>2</v>
      </c>
      <c r="D2047" s="2" t="n">
        <v>1</v>
      </c>
      <c r="E2047" s="2" t="n">
        <v>1</v>
      </c>
      <c r="F2047" s="2" t="n">
        <v>42</v>
      </c>
      <c r="G2047" s="2" t="s">
        <v>518</v>
      </c>
      <c r="H2047" s="2" t="str">
        <f aca="false">IFERROR(__xludf.dummyfunction("IF(I2062="""", """", REGEXEXTRACT(I2062, ""Padrao/([^/]+)""))"),"Vila Virginia")</f>
        <v>Vila Virginia</v>
      </c>
    </row>
    <row r="2048" customFormat="false" ht="15.75" hidden="false" customHeight="false" outlineLevel="0" collapsed="false">
      <c r="A2048" s="2" t="n">
        <v>133277</v>
      </c>
      <c r="B2048" s="2" t="s">
        <v>1777</v>
      </c>
      <c r="C2048" s="2" t="n">
        <v>2</v>
      </c>
      <c r="D2048" s="2" t="n">
        <v>1</v>
      </c>
      <c r="E2048" s="2" t="n">
        <v>1</v>
      </c>
      <c r="F2048" s="2" t="n">
        <v>76</v>
      </c>
      <c r="G2048" s="2" t="s">
        <v>518</v>
      </c>
      <c r="H2048" s="2" t="str">
        <f aca="false">IFERROR(__xludf.dummyfunction("IF(I2063="""", """", REGEXEXTRACT(I2063, ""Padrao/([^/]+)""))"),"Residencial Jequitiba")</f>
        <v>Residencial Jequitiba</v>
      </c>
    </row>
    <row r="2049" customFormat="false" ht="15.75" hidden="false" customHeight="false" outlineLevel="0" collapsed="false">
      <c r="A2049" s="2" t="n">
        <v>133001</v>
      </c>
      <c r="B2049" s="2" t="s">
        <v>162</v>
      </c>
      <c r="C2049" s="2" t="n">
        <v>2</v>
      </c>
      <c r="D2049" s="2" t="n">
        <v>1</v>
      </c>
      <c r="E2049" s="2" t="n">
        <v>1</v>
      </c>
      <c r="F2049" s="2" t="n">
        <v>45</v>
      </c>
      <c r="G2049" s="2" t="s">
        <v>518</v>
      </c>
      <c r="H2049" s="2" t="str">
        <f aca="false">IFERROR(__xludf.dummyfunction("IF(I2064="""", """", REGEXEXTRACT(I2064, ""Padrao/([^/]+)""))"),"Sumarezinho")</f>
        <v>Sumarezinho</v>
      </c>
    </row>
    <row r="2050" customFormat="false" ht="15.75" hidden="false" customHeight="false" outlineLevel="0" collapsed="false">
      <c r="A2050" s="2" t="n">
        <v>127424</v>
      </c>
      <c r="B2050" s="2" t="s">
        <v>1262</v>
      </c>
      <c r="C2050" s="2" t="n">
        <v>1</v>
      </c>
      <c r="D2050" s="2" t="n">
        <v>1</v>
      </c>
      <c r="E2050" s="2" t="n">
        <v>1</v>
      </c>
      <c r="F2050" s="2" t="n">
        <v>37</v>
      </c>
      <c r="G2050" s="2" t="s">
        <v>518</v>
      </c>
      <c r="H2050" s="2" t="str">
        <f aca="false">IFERROR(__xludf.dummyfunction("IF(I2065="""", """", REGEXEXTRACT(I2065, ""Padrao/([^/]+)""))"),"Presidente Medici")</f>
        <v>Presidente Medici</v>
      </c>
    </row>
    <row r="2051" customFormat="false" ht="15.75" hidden="false" customHeight="false" outlineLevel="0" collapsed="false">
      <c r="A2051" s="2" t="n">
        <v>122540</v>
      </c>
      <c r="B2051" s="2" t="s">
        <v>1778</v>
      </c>
      <c r="C2051" s="2" t="n">
        <v>2</v>
      </c>
      <c r="D2051" s="2" t="n">
        <v>1</v>
      </c>
      <c r="E2051" s="2" t="n">
        <v>1</v>
      </c>
      <c r="F2051" s="2" t="n">
        <v>42</v>
      </c>
      <c r="G2051" s="2" t="s">
        <v>518</v>
      </c>
      <c r="H2051" s="2" t="str">
        <f aca="false">IFERROR(__xludf.dummyfunction("IF(I2067="""", """", REGEXEXTRACT(I2067, ""Padrao/([^/]+)""))"),"Residencial Parque dos Servidores")</f>
        <v>Residencial Parque dos Servidores</v>
      </c>
    </row>
    <row r="2052" customFormat="false" ht="15.75" hidden="false" customHeight="false" outlineLevel="0" collapsed="false">
      <c r="A2052" s="2" t="n">
        <v>120713</v>
      </c>
      <c r="B2052" s="2" t="s">
        <v>1779</v>
      </c>
      <c r="C2052" s="2" t="n">
        <v>2</v>
      </c>
      <c r="D2052" s="2" t="n">
        <v>1</v>
      </c>
      <c r="E2052" s="2" t="n">
        <v>1</v>
      </c>
      <c r="F2052" s="2" t="n">
        <v>40</v>
      </c>
      <c r="G2052" s="2" t="s">
        <v>518</v>
      </c>
      <c r="H2052" s="2" t="str">
        <f aca="false">IFERROR(__xludf.dummyfunction("IF(I2068="""", """", REGEXEXTRACT(I2068, ""Padrao/([^/]+)""))"),"Campos Eliseos")</f>
        <v>Campos Eliseos</v>
      </c>
    </row>
    <row r="2053" customFormat="false" ht="15.75" hidden="false" customHeight="false" outlineLevel="0" collapsed="false">
      <c r="A2053" s="2" t="n">
        <v>106184</v>
      </c>
      <c r="B2053" s="2" t="s">
        <v>1780</v>
      </c>
      <c r="C2053" s="2" t="n">
        <v>2</v>
      </c>
      <c r="D2053" s="2" t="n">
        <v>1</v>
      </c>
      <c r="E2053" s="2" t="n">
        <v>1</v>
      </c>
      <c r="F2053" s="2" t="n">
        <v>59</v>
      </c>
      <c r="G2053" s="2" t="s">
        <v>518</v>
      </c>
      <c r="H2053" s="2" t="str">
        <f aca="false">IFERROR(__xludf.dummyfunction("IF(I2069="""", """", REGEXEXTRACT(I2069, ""Padrao/([^/]+)""))"),"Jardim Antartica")</f>
        <v>Jardim Antartica</v>
      </c>
    </row>
    <row r="2054" customFormat="false" ht="15.75" hidden="false" customHeight="false" outlineLevel="0" collapsed="false">
      <c r="A2054" s="2" t="n">
        <v>100370</v>
      </c>
      <c r="B2054" s="2" t="s">
        <v>1781</v>
      </c>
      <c r="C2054" s="2" t="n">
        <v>2</v>
      </c>
      <c r="D2054" s="2" t="n">
        <v>1</v>
      </c>
      <c r="E2054" s="2" t="n">
        <v>1</v>
      </c>
      <c r="F2054" s="2" t="n">
        <v>48</v>
      </c>
      <c r="G2054" s="2" t="s">
        <v>518</v>
      </c>
      <c r="H2054" s="2" t="str">
        <f aca="false">IFERROR(__xludf.dummyfunction("IF(I2070="""", """", REGEXEXTRACT(I2070, ""Padrao/([^/]+)""))"),"Alto da Boa Vista")</f>
        <v>Alto da Boa Vista</v>
      </c>
    </row>
    <row r="2055" customFormat="false" ht="15.75" hidden="false" customHeight="false" outlineLevel="0" collapsed="false">
      <c r="A2055" s="2" t="n">
        <v>99473</v>
      </c>
      <c r="B2055" s="2" t="s">
        <v>1782</v>
      </c>
      <c r="C2055" s="2" t="n">
        <v>2</v>
      </c>
      <c r="D2055" s="2" t="n">
        <v>1</v>
      </c>
      <c r="E2055" s="2" t="n">
        <v>1</v>
      </c>
      <c r="F2055" s="2" t="n">
        <v>48</v>
      </c>
      <c r="G2055" s="2" t="s">
        <v>518</v>
      </c>
      <c r="H2055" s="2" t="str">
        <f aca="false">IFERROR(__xludf.dummyfunction("IF(I2071="""", """", REGEXEXTRACT(I2071, ""Padrao/([^/]+)""))"),"Alto da Boa Vista")</f>
        <v>Alto da Boa Vista</v>
      </c>
    </row>
    <row r="2056" customFormat="false" ht="15.75" hidden="false" customHeight="false" outlineLevel="0" collapsed="false">
      <c r="A2056" s="2" t="n">
        <v>96872</v>
      </c>
      <c r="B2056" s="2" t="s">
        <v>1783</v>
      </c>
      <c r="C2056" s="2" t="n">
        <v>2</v>
      </c>
      <c r="D2056" s="2" t="n">
        <v>2</v>
      </c>
      <c r="E2056" s="2" t="n">
        <v>1</v>
      </c>
      <c r="F2056" s="2" t="n">
        <v>54</v>
      </c>
      <c r="G2056" s="2" t="s">
        <v>518</v>
      </c>
      <c r="H2056" s="2" t="str">
        <f aca="false">IFERROR(__xludf.dummyfunction("IF(I2072="""", """", REGEXEXTRACT(I2072, ""Padrao/([^/]+)""))"),"Republica")</f>
        <v>Republica</v>
      </c>
    </row>
    <row r="2057" customFormat="false" ht="15.75" hidden="false" customHeight="false" outlineLevel="0" collapsed="false">
      <c r="A2057" s="2" t="n">
        <v>91778</v>
      </c>
      <c r="B2057" s="2" t="s">
        <v>162</v>
      </c>
      <c r="C2057" s="2" t="n">
        <v>2</v>
      </c>
      <c r="D2057" s="2" t="n">
        <v>1</v>
      </c>
      <c r="E2057" s="2" t="n">
        <v>1</v>
      </c>
      <c r="F2057" s="2" t="n">
        <v>42</v>
      </c>
      <c r="G2057" s="2" t="s">
        <v>518</v>
      </c>
      <c r="H2057" s="2" t="str">
        <f aca="false">IFERROR(__xludf.dummyfunction("IF(I2073="""", """", REGEXEXTRACT(I2073, ""Padrao/([^/]+)""))"),"Vila Virginia")</f>
        <v>Vila Virginia</v>
      </c>
    </row>
    <row r="2058" customFormat="false" ht="15.75" hidden="false" customHeight="false" outlineLevel="0" collapsed="false">
      <c r="A2058" s="2" t="n">
        <v>80087</v>
      </c>
      <c r="B2058" s="2" t="s">
        <v>1784</v>
      </c>
      <c r="C2058" s="2" t="n">
        <v>2</v>
      </c>
      <c r="D2058" s="2" t="n">
        <v>1</v>
      </c>
      <c r="E2058" s="2" t="n">
        <v>1</v>
      </c>
      <c r="F2058" s="2" t="n">
        <v>46</v>
      </c>
      <c r="G2058" s="2" t="s">
        <v>518</v>
      </c>
      <c r="H2058" s="2" t="str">
        <f aca="false">IFERROR(__xludf.dummyfunction("IF(I2074="""", """", REGEXEXTRACT(I2074, ""Padrao/([^/]+)""))"),"City Ribeirao")</f>
        <v>City Ribeirao</v>
      </c>
    </row>
    <row r="2059" customFormat="false" ht="15.75" hidden="false" customHeight="false" outlineLevel="0" collapsed="false">
      <c r="A2059" s="2" t="n">
        <v>76295</v>
      </c>
      <c r="B2059" s="2" t="s">
        <v>1785</v>
      </c>
      <c r="C2059" s="2" t="n">
        <v>1</v>
      </c>
      <c r="D2059" s="2" t="n">
        <v>1</v>
      </c>
      <c r="E2059" s="2" t="n">
        <v>1</v>
      </c>
      <c r="F2059" s="2" t="n">
        <v>42</v>
      </c>
      <c r="G2059" s="2" t="s">
        <v>518</v>
      </c>
      <c r="H2059" s="2" t="str">
        <f aca="false">IFERROR(__xludf.dummyfunction("IF(I2075="""", """", REGEXEXTRACT(I2075, ""Padrao/([^/]+)""))"),"Vila Seixas")</f>
        <v>Vila Seixas</v>
      </c>
    </row>
    <row r="2060" customFormat="false" ht="15.75" hidden="false" customHeight="false" outlineLevel="0" collapsed="false">
      <c r="A2060" s="2" t="n">
        <v>50651</v>
      </c>
      <c r="B2060" s="2" t="s">
        <v>1786</v>
      </c>
      <c r="C2060" s="2" t="n">
        <v>1</v>
      </c>
      <c r="D2060" s="2" t="n">
        <v>1</v>
      </c>
      <c r="E2060" s="2" t="n">
        <v>1</v>
      </c>
      <c r="F2060" s="2" t="n">
        <v>39</v>
      </c>
      <c r="G2060" s="2" t="s">
        <v>518</v>
      </c>
      <c r="H2060" s="2" t="str">
        <f aca="false">IFERROR(__xludf.dummyfunction("IF(I2076="""", """", REGEXEXTRACT(I2076, ""Padrao/([^/]+)""))"),"Vila Ana Maria")</f>
        <v>Vila Ana Maria</v>
      </c>
    </row>
    <row r="2061" customFormat="false" ht="15.75" hidden="false" customHeight="false" outlineLevel="0" collapsed="false">
      <c r="A2061" s="2" t="n">
        <v>5351</v>
      </c>
      <c r="B2061" s="2" t="s">
        <v>1787</v>
      </c>
      <c r="C2061" s="2" t="n">
        <v>1</v>
      </c>
      <c r="D2061" s="2" t="n">
        <v>1</v>
      </c>
      <c r="E2061" s="2" t="n">
        <v>1</v>
      </c>
      <c r="F2061" s="2" t="n">
        <v>43</v>
      </c>
      <c r="G2061" s="2" t="s">
        <v>518</v>
      </c>
      <c r="H2061" s="2" t="str">
        <f aca="false">IFERROR(__xludf.dummyfunction("IF(I2077="""", """", REGEXEXTRACT(I2077, ""Padrao/([^/]+)""))"),"Vila Seixas")</f>
        <v>Vila Seixas</v>
      </c>
    </row>
    <row r="2062" customFormat="false" ht="15.75" hidden="false" customHeight="false" outlineLevel="0" collapsed="false">
      <c r="A2062" s="2" t="n">
        <v>230426</v>
      </c>
      <c r="B2062" s="2" t="s">
        <v>1788</v>
      </c>
      <c r="C2062" s="2" t="n">
        <v>2</v>
      </c>
      <c r="D2062" s="2" t="n">
        <v>1</v>
      </c>
      <c r="E2062" s="2" t="n">
        <v>1</v>
      </c>
      <c r="F2062" s="2" t="n">
        <v>43</v>
      </c>
      <c r="G2062" s="2" t="s">
        <v>1789</v>
      </c>
      <c r="H2062" s="2" t="str">
        <f aca="false">IFERROR(__xludf.dummyfunction("IF(I2078="""", """", REGEXEXTRACT(I2078, ""Padrao/([^/]+)""))"),"Residencial Parque dos Servidores")</f>
        <v>Residencial Parque dos Servidores</v>
      </c>
    </row>
    <row r="2063" customFormat="false" ht="15.75" hidden="false" customHeight="false" outlineLevel="0" collapsed="false">
      <c r="A2063" s="2" t="n">
        <v>155711</v>
      </c>
      <c r="B2063" s="2" t="s">
        <v>1790</v>
      </c>
      <c r="C2063" s="2" t="n">
        <v>2</v>
      </c>
      <c r="D2063" s="2" t="n">
        <v>1</v>
      </c>
      <c r="E2063" s="2" t="n">
        <v>1</v>
      </c>
      <c r="F2063" s="2" t="n">
        <v>48</v>
      </c>
      <c r="G2063" s="2" t="s">
        <v>1789</v>
      </c>
      <c r="H2063" s="2" t="str">
        <f aca="false">IFERROR(__xludf.dummyfunction("IF(I2079="""", """", REGEXEXTRACT(I2079, ""Padrao/([^/]+)""))"),"Vila Maria Luiza")</f>
        <v>Vila Maria Luiza</v>
      </c>
    </row>
    <row r="2064" customFormat="false" ht="15.75" hidden="false" customHeight="false" outlineLevel="0" collapsed="false">
      <c r="A2064" s="2" t="n">
        <v>192752</v>
      </c>
      <c r="B2064" s="2" t="s">
        <v>1791</v>
      </c>
      <c r="C2064" s="2" t="n">
        <v>1</v>
      </c>
      <c r="D2064" s="2" t="n">
        <v>1</v>
      </c>
      <c r="E2064" s="2" t="n">
        <v>1</v>
      </c>
      <c r="F2064" s="2" t="n">
        <v>42</v>
      </c>
      <c r="G2064" s="2" t="s">
        <v>1156</v>
      </c>
      <c r="H2064" s="2" t="str">
        <f aca="false">IFERROR(__xludf.dummyfunction("IF(I2080="""", """", REGEXEXTRACT(I2080, ""Padrao/([^/]+)""))"),"Jardim Bela Vista")</f>
        <v>Jardim Bela Vista</v>
      </c>
    </row>
    <row r="2065" customFormat="false" ht="15.75" hidden="false" customHeight="false" outlineLevel="0" collapsed="false">
      <c r="A2065" s="2" t="n">
        <v>87983</v>
      </c>
      <c r="B2065" s="2" t="s">
        <v>1792</v>
      </c>
      <c r="C2065" s="2" t="n">
        <v>2</v>
      </c>
      <c r="D2065" s="2" t="n">
        <v>1</v>
      </c>
      <c r="E2065" s="2" t="n">
        <v>1</v>
      </c>
      <c r="F2065" s="2" t="n">
        <v>51</v>
      </c>
      <c r="G2065" s="2" t="s">
        <v>472</v>
      </c>
      <c r="H2065" s="2" t="str">
        <f aca="false">IFERROR(__xludf.dummyfunction("IF(I2081="""", """", REGEXEXTRACT(I2081, ""Padrao/([^/]+)""))"),"Presidente Medici")</f>
        <v>Presidente Medici</v>
      </c>
    </row>
    <row r="2066" customFormat="false" ht="15.75" hidden="false" customHeight="false" outlineLevel="0" collapsed="false">
      <c r="A2066" s="2" t="n">
        <v>242222</v>
      </c>
      <c r="B2066" s="2" t="s">
        <v>1793</v>
      </c>
      <c r="C2066" s="2" t="n">
        <v>2</v>
      </c>
      <c r="D2066" s="2" t="n">
        <v>1</v>
      </c>
      <c r="E2066" s="2" t="n">
        <v>1</v>
      </c>
      <c r="F2066" s="2" t="n">
        <v>46</v>
      </c>
      <c r="G2066" s="2" t="s">
        <v>1794</v>
      </c>
      <c r="H2066" s="2" t="str">
        <f aca="false">IFERROR(__xludf.dummyfunction("IF(I2082="""", """", REGEXEXTRACT(I2082, ""Padrao/([^/]+)""))"),"Lagoinha")</f>
        <v>Lagoinha</v>
      </c>
    </row>
    <row r="2067" customFormat="false" ht="15.75" hidden="false" customHeight="false" outlineLevel="0" collapsed="false">
      <c r="A2067" s="2" t="n">
        <v>244769</v>
      </c>
      <c r="B2067" s="2" t="s">
        <v>1183</v>
      </c>
      <c r="C2067" s="2" t="n">
        <v>2</v>
      </c>
      <c r="D2067" s="2" t="n">
        <v>1</v>
      </c>
      <c r="E2067" s="2" t="n">
        <v>1</v>
      </c>
      <c r="F2067" s="2" t="n">
        <v>47</v>
      </c>
      <c r="G2067" s="2" t="s">
        <v>521</v>
      </c>
      <c r="H2067" s="2" t="str">
        <f aca="false">IFERROR(__xludf.dummyfunction("IF(I2083="""", """", REGEXEXTRACT(I2083, ""Padrao/([^/]+)""))"),"Condominio Mirante Sul")</f>
        <v>Condominio Mirante Sul</v>
      </c>
    </row>
    <row r="2068" customFormat="false" ht="15.75" hidden="false" customHeight="false" outlineLevel="0" collapsed="false">
      <c r="A2068" s="2" t="n">
        <v>242627</v>
      </c>
      <c r="B2068" s="2" t="s">
        <v>1795</v>
      </c>
      <c r="C2068" s="2" t="n">
        <v>2</v>
      </c>
      <c r="D2068" s="2" t="n">
        <v>1</v>
      </c>
      <c r="E2068" s="2" t="n">
        <v>1</v>
      </c>
      <c r="F2068" s="2" t="n">
        <v>60</v>
      </c>
      <c r="G2068" s="2" t="s">
        <v>521</v>
      </c>
      <c r="H2068" s="2" t="str">
        <f aca="false">IFERROR(__xludf.dummyfunction("IF(I2084="""", """", REGEXEXTRACT(I2084, ""Padrao/([^/]+)""))"),"Jardim Angelo Jurca")</f>
        <v>Jardim Angelo Jurca</v>
      </c>
    </row>
    <row r="2069" customFormat="false" ht="15.75" hidden="false" customHeight="false" outlineLevel="0" collapsed="false">
      <c r="A2069" s="2" t="n">
        <v>230741</v>
      </c>
      <c r="B2069" s="2" t="s">
        <v>1796</v>
      </c>
      <c r="C2069" s="2" t="n">
        <v>2</v>
      </c>
      <c r="D2069" s="2" t="n">
        <v>1</v>
      </c>
      <c r="E2069" s="2" t="n">
        <v>1</v>
      </c>
      <c r="F2069" s="2" t="n">
        <v>46</v>
      </c>
      <c r="G2069" s="2" t="s">
        <v>521</v>
      </c>
      <c r="H2069" s="2" t="str">
        <f aca="false">IFERROR(__xludf.dummyfunction("IF(I2085="""", """", REGEXEXTRACT(I2085, ""Padrao/([^/]+)""))"),"Campos Eliseos")</f>
        <v>Campos Eliseos</v>
      </c>
    </row>
    <row r="2070" customFormat="false" ht="15.75" hidden="false" customHeight="false" outlineLevel="0" collapsed="false">
      <c r="A2070" s="2" t="n">
        <v>226412</v>
      </c>
      <c r="B2070" s="2" t="s">
        <v>1797</v>
      </c>
      <c r="C2070" s="2" t="n">
        <v>2</v>
      </c>
      <c r="D2070" s="2" t="n">
        <v>1</v>
      </c>
      <c r="E2070" s="2" t="n">
        <v>1</v>
      </c>
      <c r="F2070" s="2" t="n">
        <v>39</v>
      </c>
      <c r="G2070" s="2" t="s">
        <v>521</v>
      </c>
      <c r="H2070" s="2" t="str">
        <f aca="false">IFERROR(__xludf.dummyfunction("IF(I2086="""", """", REGEXEXTRACT(I2086, ""Padrao/([^/]+)""))"),"Parque Sao Sebastiao")</f>
        <v>Parque Sao Sebastiao</v>
      </c>
    </row>
    <row r="2071" customFormat="false" ht="15.75" hidden="false" customHeight="false" outlineLevel="0" collapsed="false">
      <c r="A2071" s="2" t="n">
        <v>225608</v>
      </c>
      <c r="B2071" s="2" t="s">
        <v>904</v>
      </c>
      <c r="C2071" s="2" t="n">
        <v>2</v>
      </c>
      <c r="D2071" s="2" t="n">
        <v>1</v>
      </c>
      <c r="E2071" s="2" t="n">
        <v>1</v>
      </c>
      <c r="F2071" s="2" t="n">
        <v>40</v>
      </c>
      <c r="G2071" s="2" t="s">
        <v>521</v>
      </c>
      <c r="H2071" s="2" t="str">
        <f aca="false">IFERROR(__xludf.dummyfunction("IF(I2087="""", """", REGEXEXTRACT(I2087, ""Padrao/([^/]+)""))"),"Reserva Real")</f>
        <v>Reserva Real</v>
      </c>
    </row>
    <row r="2072" customFormat="false" ht="15.75" hidden="false" customHeight="false" outlineLevel="0" collapsed="false">
      <c r="A2072" s="2" t="n">
        <v>204995</v>
      </c>
      <c r="B2072" s="2" t="s">
        <v>1719</v>
      </c>
      <c r="C2072" s="2" t="n">
        <v>2</v>
      </c>
      <c r="D2072" s="2" t="n">
        <v>1</v>
      </c>
      <c r="E2072" s="2" t="n">
        <v>1</v>
      </c>
      <c r="F2072" s="2" t="n">
        <v>47</v>
      </c>
      <c r="G2072" s="2" t="s">
        <v>521</v>
      </c>
      <c r="H2072" s="2" t="str">
        <f aca="false">IFERROR(__xludf.dummyfunction("IF(I2088="""", """", REGEXEXTRACT(I2088, ""Padrao/([^/]+)""))"),"Alto do Ipiranga")</f>
        <v>Alto do Ipiranga</v>
      </c>
    </row>
    <row r="2073" customFormat="false" ht="15.75" hidden="false" customHeight="false" outlineLevel="0" collapsed="false">
      <c r="A2073" s="2" t="n">
        <v>199505</v>
      </c>
      <c r="B2073" s="2" t="s">
        <v>1798</v>
      </c>
      <c r="C2073" s="2" t="n">
        <v>2</v>
      </c>
      <c r="D2073" s="2" t="n">
        <v>1</v>
      </c>
      <c r="E2073" s="2" t="n">
        <v>1</v>
      </c>
      <c r="F2073" s="2" t="n">
        <v>46</v>
      </c>
      <c r="G2073" s="2" t="s">
        <v>521</v>
      </c>
      <c r="H2073" s="2" t="str">
        <f aca="false">IFERROR(__xludf.dummyfunction("IF(I2089="""", """", REGEXEXTRACT(I2089, ""Padrao/([^/]+)""))"),"Ribeirania")</f>
        <v>Ribeirania</v>
      </c>
    </row>
    <row r="2074" customFormat="false" ht="15.75" hidden="false" customHeight="false" outlineLevel="0" collapsed="false">
      <c r="A2074" s="2" t="n">
        <v>194330</v>
      </c>
      <c r="B2074" s="2" t="s">
        <v>1799</v>
      </c>
      <c r="C2074" s="2" t="n">
        <v>2</v>
      </c>
      <c r="D2074" s="2" t="n">
        <v>2</v>
      </c>
      <c r="E2074" s="2" t="n">
        <v>1</v>
      </c>
      <c r="F2074" s="2" t="n">
        <v>67</v>
      </c>
      <c r="G2074" s="2" t="s">
        <v>521</v>
      </c>
      <c r="H2074" s="2" t="str">
        <f aca="false">IFERROR(__xludf.dummyfunction("IF(I2090="""", """", REGEXEXTRACT(I2090, ""Padrao/([^/]+)""))"),"Jardim Anhanguera")</f>
        <v>Jardim Anhanguera</v>
      </c>
    </row>
    <row r="2075" customFormat="false" ht="15.75" hidden="false" customHeight="false" outlineLevel="0" collapsed="false">
      <c r="A2075" s="2" t="n">
        <v>193004</v>
      </c>
      <c r="B2075" s="2" t="s">
        <v>1800</v>
      </c>
      <c r="C2075" s="2" t="n">
        <v>2</v>
      </c>
      <c r="D2075" s="2" t="n">
        <v>1</v>
      </c>
      <c r="E2075" s="2" t="n">
        <v>1</v>
      </c>
      <c r="F2075" s="2" t="n">
        <v>48</v>
      </c>
      <c r="G2075" s="2" t="s">
        <v>521</v>
      </c>
      <c r="H2075" s="2" t="str">
        <f aca="false">IFERROR(__xludf.dummyfunction("IF(I2091="""", """", REGEXEXTRACT(I2091, ""Padrao/([^/]+)""))"),"Jardim Manoel Penna")</f>
        <v>Jardim Manoel Penna</v>
      </c>
    </row>
    <row r="2076" customFormat="false" ht="15.75" hidden="false" customHeight="false" outlineLevel="0" collapsed="false">
      <c r="A2076" s="2" t="n">
        <v>192947</v>
      </c>
      <c r="B2076" s="2" t="s">
        <v>1305</v>
      </c>
      <c r="C2076" s="2" t="n">
        <v>2</v>
      </c>
      <c r="D2076" s="2" t="n">
        <v>1</v>
      </c>
      <c r="E2076" s="2" t="n">
        <v>1</v>
      </c>
      <c r="F2076" s="2" t="n">
        <v>45</v>
      </c>
      <c r="G2076" s="2" t="s">
        <v>521</v>
      </c>
      <c r="H2076" s="2" t="str">
        <f aca="false">IFERROR(__xludf.dummyfunction("IF(I2092="""", """", REGEXEXTRACT(I2092, ""Padrao/([^/]+)""))"),"Sumarezinho")</f>
        <v>Sumarezinho</v>
      </c>
    </row>
    <row r="2077" customFormat="false" ht="15.75" hidden="false" customHeight="false" outlineLevel="0" collapsed="false">
      <c r="A2077" s="2" t="n">
        <v>189911</v>
      </c>
      <c r="B2077" s="2" t="s">
        <v>1801</v>
      </c>
      <c r="C2077" s="2" t="n">
        <v>2</v>
      </c>
      <c r="D2077" s="2" t="n">
        <v>1</v>
      </c>
      <c r="E2077" s="2" t="n">
        <v>1</v>
      </c>
      <c r="F2077" s="2" t="n">
        <v>41</v>
      </c>
      <c r="G2077" s="2" t="s">
        <v>521</v>
      </c>
      <c r="H2077" s="2" t="str">
        <f aca="false">IFERROR(__xludf.dummyfunction("IF(I2093="""", """", REGEXEXTRACT(I2093, ""Padrao/([^/]+)""))"),"Residencial Jequitiba")</f>
        <v>Residencial Jequitiba</v>
      </c>
    </row>
    <row r="2078" customFormat="false" ht="15.75" hidden="false" customHeight="false" outlineLevel="0" collapsed="false">
      <c r="A2078" s="2" t="n">
        <v>175586</v>
      </c>
      <c r="B2078" s="2" t="s">
        <v>753</v>
      </c>
      <c r="C2078" s="2" t="n">
        <v>2</v>
      </c>
      <c r="D2078" s="2" t="n">
        <v>1</v>
      </c>
      <c r="E2078" s="2" t="n">
        <v>1</v>
      </c>
      <c r="F2078" s="2" t="n">
        <v>45</v>
      </c>
      <c r="G2078" s="2" t="s">
        <v>521</v>
      </c>
      <c r="H2078" s="2" t="str">
        <f aca="false">IFERROR(__xludf.dummyfunction("IF(I2094="""", """", REGEXEXTRACT(I2094, ""Padrao/([^/]+)""))"),"Parque dos Lagos")</f>
        <v>Parque dos Lagos</v>
      </c>
    </row>
    <row r="2079" customFormat="false" ht="15.75" hidden="false" customHeight="false" outlineLevel="0" collapsed="false">
      <c r="A2079" s="2" t="n">
        <v>172034</v>
      </c>
      <c r="B2079" s="2" t="s">
        <v>1802</v>
      </c>
      <c r="C2079" s="2" t="n">
        <v>3</v>
      </c>
      <c r="D2079" s="2" t="n">
        <v>2</v>
      </c>
      <c r="E2079" s="2" t="n">
        <v>2</v>
      </c>
      <c r="F2079" s="2" t="n">
        <v>74</v>
      </c>
      <c r="G2079" s="2" t="s">
        <v>521</v>
      </c>
      <c r="H2079" s="2" t="str">
        <f aca="false">IFERROR(__xludf.dummyfunction("IF(I2095="""", """", REGEXEXTRACT(I2095, ""Padrao/([^/]+)""))"),"Residencial e Comercial Palmares")</f>
        <v>Residencial e Comercial Palmares</v>
      </c>
    </row>
    <row r="2080" customFormat="false" ht="15.75" hidden="false" customHeight="false" outlineLevel="0" collapsed="false">
      <c r="A2080" s="2" t="n">
        <v>159518</v>
      </c>
      <c r="B2080" s="2" t="s">
        <v>868</v>
      </c>
      <c r="C2080" s="2" t="n">
        <v>2</v>
      </c>
      <c r="D2080" s="2" t="n">
        <v>1</v>
      </c>
      <c r="E2080" s="2" t="n">
        <v>1</v>
      </c>
      <c r="F2080" s="2" t="n">
        <v>42</v>
      </c>
      <c r="G2080" s="2" t="s">
        <v>521</v>
      </c>
      <c r="H2080" s="2" t="str">
        <f aca="false">IFERROR(__xludf.dummyfunction("IF(I2096="""", """", REGEXEXTRACT(I2096, ""Padrao/([^/]+)""))"),"Vila Virginia")</f>
        <v>Vila Virginia</v>
      </c>
    </row>
    <row r="2081" customFormat="false" ht="15.75" hidden="false" customHeight="false" outlineLevel="0" collapsed="false">
      <c r="A2081" s="2" t="n">
        <v>155846</v>
      </c>
      <c r="B2081" s="2" t="s">
        <v>1803</v>
      </c>
      <c r="C2081" s="2" t="n">
        <v>1</v>
      </c>
      <c r="D2081" s="2" t="n">
        <v>1</v>
      </c>
      <c r="E2081" s="2" t="n">
        <v>1</v>
      </c>
      <c r="F2081" s="2" t="n">
        <v>37</v>
      </c>
      <c r="G2081" s="2" t="s">
        <v>521</v>
      </c>
      <c r="H2081" s="2" t="str">
        <f aca="false">IFERROR(__xludf.dummyfunction("IF(I2097="""", """", REGEXEXTRACT(I2097, ""Padrao/([^/]+)""))"),"Nova Alianca")</f>
        <v>Nova Alianca</v>
      </c>
    </row>
    <row r="2082" customFormat="false" ht="15.75" hidden="false" customHeight="false" outlineLevel="0" collapsed="false">
      <c r="A2082" s="2" t="n">
        <v>151808</v>
      </c>
      <c r="B2082" s="2" t="s">
        <v>1798</v>
      </c>
      <c r="C2082" s="2" t="n">
        <v>2</v>
      </c>
      <c r="D2082" s="2" t="n">
        <v>1</v>
      </c>
      <c r="E2082" s="2" t="n">
        <v>1</v>
      </c>
      <c r="F2082" s="2" t="n">
        <v>46</v>
      </c>
      <c r="G2082" s="2" t="s">
        <v>521</v>
      </c>
      <c r="H2082" s="2" t="str">
        <f aca="false">IFERROR(__xludf.dummyfunction("IF(I2098="""", """", REGEXEXTRACT(I2098, ""Padrao/([^/]+)""))"),"Ribeirania")</f>
        <v>Ribeirania</v>
      </c>
    </row>
    <row r="2083" customFormat="false" ht="15.75" hidden="false" customHeight="false" outlineLevel="0" collapsed="false">
      <c r="A2083" s="2" t="n">
        <v>149288</v>
      </c>
      <c r="B2083" s="2" t="s">
        <v>1066</v>
      </c>
      <c r="C2083" s="2" t="n">
        <v>2</v>
      </c>
      <c r="D2083" s="2" t="n">
        <v>1</v>
      </c>
      <c r="E2083" s="2" t="n">
        <v>1</v>
      </c>
      <c r="F2083" s="2" t="n">
        <v>46</v>
      </c>
      <c r="G2083" s="2" t="s">
        <v>521</v>
      </c>
      <c r="H2083" s="2" t="str">
        <f aca="false">IFERROR(__xludf.dummyfunction("IF(I2099="""", """", REGEXEXTRACT(I2099, ""Padrao/([^/]+)""))"),"Parque Industrial Lagoinha")</f>
        <v>Parque Industrial Lagoinha</v>
      </c>
    </row>
    <row r="2084" customFormat="false" ht="15.75" hidden="false" customHeight="false" outlineLevel="0" collapsed="false">
      <c r="A2084" s="2" t="n">
        <v>148502</v>
      </c>
      <c r="B2084" s="2" t="s">
        <v>1804</v>
      </c>
      <c r="C2084" s="2" t="n">
        <v>2</v>
      </c>
      <c r="D2084" s="2" t="n">
        <v>1</v>
      </c>
      <c r="E2084" s="2" t="n">
        <v>1</v>
      </c>
      <c r="F2084" s="2" t="n">
        <v>48</v>
      </c>
      <c r="G2084" s="2" t="s">
        <v>521</v>
      </c>
      <c r="H2084" s="2" t="str">
        <f aca="false">IFERROR(__xludf.dummyfunction("IF(I2100="""", """", REGEXEXTRACT(I2100, ""Padrao/([^/]+)""))"),"Condominio Mirante Sul")</f>
        <v>Condominio Mirante Sul</v>
      </c>
    </row>
    <row r="2085" customFormat="false" ht="15.75" hidden="false" customHeight="false" outlineLevel="0" collapsed="false">
      <c r="A2085" s="2" t="n">
        <v>143894</v>
      </c>
      <c r="B2085" s="2" t="s">
        <v>1805</v>
      </c>
      <c r="C2085" s="2" t="n">
        <v>1</v>
      </c>
      <c r="D2085" s="2" t="n">
        <v>1</v>
      </c>
      <c r="E2085" s="2" t="n">
        <v>1</v>
      </c>
      <c r="F2085" s="2" t="n">
        <v>45</v>
      </c>
      <c r="G2085" s="2" t="s">
        <v>521</v>
      </c>
      <c r="H2085" s="2" t="str">
        <f aca="false">IFERROR(__xludf.dummyfunction("IF(I2101="""", """", REGEXEXTRACT(I2101, ""Padrao/([^/]+)""))"),"Nova Alianca")</f>
        <v>Nova Alianca</v>
      </c>
    </row>
    <row r="2086" customFormat="false" ht="15.75" hidden="false" customHeight="false" outlineLevel="0" collapsed="false">
      <c r="A2086" s="2" t="n">
        <v>141686</v>
      </c>
      <c r="B2086" s="2" t="s">
        <v>1633</v>
      </c>
      <c r="C2086" s="2" t="n">
        <v>2</v>
      </c>
      <c r="D2086" s="2" t="n">
        <v>1</v>
      </c>
      <c r="E2086" s="2" t="n">
        <v>1</v>
      </c>
      <c r="F2086" s="2" t="n">
        <v>44</v>
      </c>
      <c r="G2086" s="2" t="s">
        <v>521</v>
      </c>
      <c r="H2086" s="2" t="str">
        <f aca="false">IFERROR(__xludf.dummyfunction("IF(I2102="""", """", REGEXEXTRACT(I2102, ""Padrao/([^/]+)""))"),"Ipiranga")</f>
        <v>Ipiranga</v>
      </c>
    </row>
    <row r="2087" customFormat="false" ht="15.75" hidden="false" customHeight="false" outlineLevel="0" collapsed="false">
      <c r="A2087" s="2" t="n">
        <v>136349</v>
      </c>
      <c r="B2087" s="2" t="s">
        <v>1806</v>
      </c>
      <c r="C2087" s="2" t="n">
        <v>2</v>
      </c>
      <c r="D2087" s="2" t="n">
        <v>1</v>
      </c>
      <c r="E2087" s="2" t="n">
        <v>1</v>
      </c>
      <c r="F2087" s="2" t="n">
        <v>41</v>
      </c>
      <c r="G2087" s="2" t="s">
        <v>521</v>
      </c>
      <c r="H2087" s="2" t="str">
        <f aca="false">IFERROR(__xludf.dummyfunction("IF(I2103="""", """", REGEXEXTRACT(I2103, ""Padrao/([^/]+)""))"),"Jardim Jose Sampaio Junior")</f>
        <v>Jardim Jose Sampaio Junior</v>
      </c>
    </row>
    <row r="2088" customFormat="false" ht="15.75" hidden="false" customHeight="false" outlineLevel="0" collapsed="false">
      <c r="A2088" s="2" t="n">
        <v>132593</v>
      </c>
      <c r="B2088" s="2" t="s">
        <v>1807</v>
      </c>
      <c r="C2088" s="2" t="n">
        <v>2</v>
      </c>
      <c r="D2088" s="2" t="n">
        <v>1</v>
      </c>
      <c r="E2088" s="2" t="n">
        <v>1</v>
      </c>
      <c r="F2088" s="2" t="n">
        <v>48</v>
      </c>
      <c r="G2088" s="2" t="s">
        <v>521</v>
      </c>
      <c r="H2088" s="2" t="str">
        <f aca="false">IFERROR(__xludf.dummyfunction("IF(I2104="""", """", REGEXEXTRACT(I2104, ""Padrao/([^/]+)""))"),"Jardim Manoel Penna")</f>
        <v>Jardim Manoel Penna</v>
      </c>
    </row>
    <row r="2089" customFormat="false" ht="15.75" hidden="false" customHeight="false" outlineLevel="0" collapsed="false">
      <c r="A2089" s="2" t="n">
        <v>103091</v>
      </c>
      <c r="B2089" s="2" t="s">
        <v>1808</v>
      </c>
      <c r="C2089" s="2" t="n">
        <v>2</v>
      </c>
      <c r="D2089" s="2" t="n">
        <v>1</v>
      </c>
      <c r="E2089" s="2" t="n">
        <v>1</v>
      </c>
      <c r="F2089" s="2" t="n">
        <v>45</v>
      </c>
      <c r="G2089" s="2" t="s">
        <v>521</v>
      </c>
      <c r="H2089" s="2" t="str">
        <f aca="false">IFERROR(__xludf.dummyfunction("IF(I2105="""", """", REGEXEXTRACT(I2105, ""Padrao/([^/]+)""))"),"Ribeirania")</f>
        <v>Ribeirania</v>
      </c>
    </row>
    <row r="2090" customFormat="false" ht="15.75" hidden="false" customHeight="false" outlineLevel="0" collapsed="false">
      <c r="A2090" s="2" t="n">
        <v>101936</v>
      </c>
      <c r="B2090" s="2" t="s">
        <v>1809</v>
      </c>
      <c r="C2090" s="2" t="n">
        <v>1</v>
      </c>
      <c r="D2090" s="2" t="n">
        <v>1</v>
      </c>
      <c r="E2090" s="2" t="n">
        <v>1</v>
      </c>
      <c r="F2090" s="2" t="n">
        <v>36</v>
      </c>
      <c r="G2090" s="2" t="s">
        <v>521</v>
      </c>
      <c r="H2090" s="2" t="str">
        <f aca="false">IFERROR(__xludf.dummyfunction("IF(I2106="""", """", REGEXEXTRACT(I2106, ""Padrao/([^/]+)""))"),"Jardim California")</f>
        <v>Jardim California</v>
      </c>
    </row>
    <row r="2091" customFormat="false" ht="15.75" hidden="false" customHeight="false" outlineLevel="0" collapsed="false">
      <c r="A2091" s="2" t="n">
        <v>98000</v>
      </c>
      <c r="B2091" s="2" t="s">
        <v>1356</v>
      </c>
      <c r="C2091" s="2" t="n">
        <v>1</v>
      </c>
      <c r="D2091" s="2" t="n">
        <v>1</v>
      </c>
      <c r="E2091" s="2" t="n">
        <v>1</v>
      </c>
      <c r="F2091" s="2" t="n">
        <v>36</v>
      </c>
      <c r="G2091" s="2" t="s">
        <v>521</v>
      </c>
      <c r="H2091" s="2" t="str">
        <f aca="false">IFERROR(__xludf.dummyfunction("IF(I2107="""", """", REGEXEXTRACT(I2107, ""Padrao/([^/]+)""))"),"Jardim California")</f>
        <v>Jardim California</v>
      </c>
    </row>
    <row r="2092" customFormat="false" ht="15.75" hidden="false" customHeight="false" outlineLevel="0" collapsed="false">
      <c r="A2092" s="2" t="n">
        <v>91097</v>
      </c>
      <c r="B2092" s="2" t="s">
        <v>1810</v>
      </c>
      <c r="C2092" s="2" t="n">
        <v>1</v>
      </c>
      <c r="D2092" s="2" t="n">
        <v>1</v>
      </c>
      <c r="E2092" s="2" t="n">
        <v>1</v>
      </c>
      <c r="F2092" s="2" t="n">
        <v>39</v>
      </c>
      <c r="G2092" s="2" t="s">
        <v>521</v>
      </c>
      <c r="H2092" s="2" t="str">
        <f aca="false">IFERROR(__xludf.dummyfunction("IF(I2108="""", """", REGEXEXTRACT(I2108, ""Padrao/([^/]+)""))"),"Nova Alianca")</f>
        <v>Nova Alianca</v>
      </c>
    </row>
    <row r="2093" customFormat="false" ht="15.75" hidden="false" customHeight="false" outlineLevel="0" collapsed="false">
      <c r="A2093" s="2" t="n">
        <v>83054</v>
      </c>
      <c r="B2093" s="2" t="s">
        <v>1811</v>
      </c>
      <c r="C2093" s="2" t="n">
        <v>2</v>
      </c>
      <c r="D2093" s="2" t="n">
        <v>2</v>
      </c>
      <c r="E2093" s="2" t="n">
        <v>1</v>
      </c>
      <c r="F2093" s="2" t="n">
        <v>55</v>
      </c>
      <c r="G2093" s="2" t="s">
        <v>521</v>
      </c>
      <c r="H2093" s="2" t="str">
        <f aca="false">IFERROR(__xludf.dummyfunction("IF(I2109="""", """", REGEXEXTRACT(I2109, ""Padrao/([^/]+)""))"),"Reserva Sul Condominio")</f>
        <v>Reserva Sul Condominio</v>
      </c>
    </row>
    <row r="2094" customFormat="false" ht="15.75" hidden="false" customHeight="false" outlineLevel="0" collapsed="false">
      <c r="A2094" s="2" t="n">
        <v>81893</v>
      </c>
      <c r="B2094" s="2" t="s">
        <v>162</v>
      </c>
      <c r="C2094" s="2" t="n">
        <v>1</v>
      </c>
      <c r="D2094" s="2" t="n">
        <v>1</v>
      </c>
      <c r="E2094" s="2" t="n">
        <v>1</v>
      </c>
      <c r="F2094" s="2" t="n">
        <v>55</v>
      </c>
      <c r="G2094" s="2" t="s">
        <v>521</v>
      </c>
      <c r="H2094" s="2" t="str">
        <f aca="false">IFERROR(__xludf.dummyfunction("IF(I2110="""", """", REGEXEXTRACT(I2110, ""Padrao/([^/]+)""))"),"Centro")</f>
        <v>Centro</v>
      </c>
    </row>
    <row r="2095" customFormat="false" ht="15.75" hidden="false" customHeight="false" outlineLevel="0" collapsed="false">
      <c r="A2095" s="2" t="n">
        <v>78032</v>
      </c>
      <c r="B2095" s="2" t="s">
        <v>1812</v>
      </c>
      <c r="C2095" s="2" t="n">
        <v>1</v>
      </c>
      <c r="D2095" s="2" t="n">
        <v>1</v>
      </c>
      <c r="E2095" s="2" t="n">
        <v>1</v>
      </c>
      <c r="F2095" s="2" t="n">
        <v>38</v>
      </c>
      <c r="G2095" s="2" t="s">
        <v>521</v>
      </c>
      <c r="H2095" s="2" t="str">
        <f aca="false">IFERROR(__xludf.dummyfunction("IF(I2111="""", """", REGEXEXTRACT(I2111, ""Padrao/([^/]+)""))"),"Presidente Medici")</f>
        <v>Presidente Medici</v>
      </c>
    </row>
    <row r="2096" customFormat="false" ht="15.75" hidden="false" customHeight="false" outlineLevel="0" collapsed="false">
      <c r="A2096" s="2" t="n">
        <v>57284</v>
      </c>
      <c r="B2096" s="2" t="s">
        <v>1813</v>
      </c>
      <c r="C2096" s="2" t="n">
        <v>1</v>
      </c>
      <c r="D2096" s="2" t="n">
        <v>1</v>
      </c>
      <c r="E2096" s="2" t="n">
        <v>1</v>
      </c>
      <c r="F2096" s="2" t="n">
        <v>43</v>
      </c>
      <c r="G2096" s="2" t="s">
        <v>521</v>
      </c>
      <c r="H2096" s="2" t="str">
        <f aca="false">IFERROR(__xludf.dummyfunction("IF(I2112="""", """", REGEXEXTRACT(I2112, ""Padrao/([^/]+)""))"),"Vila Seixas")</f>
        <v>Vila Seixas</v>
      </c>
    </row>
    <row r="2097" customFormat="false" ht="15.75" hidden="false" customHeight="false" outlineLevel="0" collapsed="false">
      <c r="A2097" s="2" t="n">
        <v>51713</v>
      </c>
      <c r="B2097" s="2" t="s">
        <v>1814</v>
      </c>
      <c r="C2097" s="2" t="n">
        <v>1</v>
      </c>
      <c r="D2097" s="2" t="n">
        <v>1</v>
      </c>
      <c r="E2097" s="2" t="n">
        <v>1</v>
      </c>
      <c r="F2097" s="2" t="n">
        <v>55</v>
      </c>
      <c r="G2097" s="2" t="s">
        <v>521</v>
      </c>
      <c r="H2097" s="2" t="str">
        <f aca="false">IFERROR(__xludf.dummyfunction("IF(I2113="""", """", REGEXEXTRACT(I2113, ""Padrao/([^/]+)""))"),"Vila Virginia")</f>
        <v>Vila Virginia</v>
      </c>
    </row>
    <row r="2098" customFormat="false" ht="15.75" hidden="false" customHeight="false" outlineLevel="0" collapsed="false">
      <c r="A2098" s="2" t="n">
        <v>189602</v>
      </c>
      <c r="B2098" s="2" t="s">
        <v>1815</v>
      </c>
      <c r="C2098" s="2" t="n">
        <v>2</v>
      </c>
      <c r="D2098" s="2" t="n">
        <v>1</v>
      </c>
      <c r="E2098" s="2" t="n">
        <v>1</v>
      </c>
      <c r="F2098" s="2" t="n">
        <v>42</v>
      </c>
      <c r="G2098" s="2" t="s">
        <v>1816</v>
      </c>
      <c r="H2098" s="2" t="str">
        <f aca="false">IFERROR(__xludf.dummyfunction("IF(I2114="""", """", REGEXEXTRACT(I2114, ""Padrao/([^/]+)""))"),"Parque Industrial Lagoinha")</f>
        <v>Parque Industrial Lagoinha</v>
      </c>
    </row>
    <row r="2099" customFormat="false" ht="15.75" hidden="false" customHeight="false" outlineLevel="0" collapsed="false">
      <c r="A2099" s="2" t="n">
        <v>187190</v>
      </c>
      <c r="B2099" s="2" t="s">
        <v>1817</v>
      </c>
      <c r="C2099" s="2" t="n">
        <v>2</v>
      </c>
      <c r="D2099" s="2" t="n">
        <v>1</v>
      </c>
      <c r="E2099" s="2" t="n">
        <v>1</v>
      </c>
      <c r="F2099" s="2" t="n">
        <v>47</v>
      </c>
      <c r="G2099" s="2" t="s">
        <v>515</v>
      </c>
      <c r="H2099" s="2" t="str">
        <f aca="false">IFERROR(__xludf.dummyfunction("IF(I2115="""", """", REGEXEXTRACT(I2115, ""Padrao/([^/]+)""))"),"Jardim Jose Figueira")</f>
        <v>Jardim Jose Figueira</v>
      </c>
    </row>
    <row r="2100" customFormat="false" ht="15.75" hidden="false" customHeight="false" outlineLevel="0" collapsed="false">
      <c r="A2100" s="2" t="n">
        <v>226805</v>
      </c>
      <c r="B2100" s="2" t="s">
        <v>1818</v>
      </c>
      <c r="C2100" s="2" t="n">
        <v>2</v>
      </c>
      <c r="D2100" s="2" t="n">
        <v>1</v>
      </c>
      <c r="E2100" s="2" t="n">
        <v>1</v>
      </c>
      <c r="F2100" s="2" t="n">
        <v>43</v>
      </c>
      <c r="G2100" s="2" t="s">
        <v>492</v>
      </c>
      <c r="H2100" s="2" t="str">
        <f aca="false">IFERROR(__xludf.dummyfunction("IF(I2116="""", """", REGEXEXTRACT(I2116, ""Padrao/([^/]+)""))"),"Reserva Macauba")</f>
        <v>Reserva Macauba</v>
      </c>
    </row>
    <row r="2101" customFormat="false" ht="15.75" hidden="false" customHeight="false" outlineLevel="0" collapsed="false">
      <c r="A2101" s="2" t="n">
        <v>238169</v>
      </c>
      <c r="B2101" s="2" t="s">
        <v>1819</v>
      </c>
      <c r="C2101" s="2" t="n">
        <v>2</v>
      </c>
      <c r="D2101" s="2" t="n">
        <v>1</v>
      </c>
      <c r="E2101" s="2" t="n">
        <v>1</v>
      </c>
      <c r="F2101" s="2" t="n">
        <v>48</v>
      </c>
      <c r="G2101" s="2" t="s">
        <v>1820</v>
      </c>
      <c r="H2101" s="2" t="str">
        <f aca="false">IFERROR(__xludf.dummyfunction("IF(I2117="""", """", REGEXEXTRACT(I2117, ""Padrao/([^/]+)""))"),"Jardim Sao Fernando")</f>
        <v>Jardim Sao Fernando</v>
      </c>
    </row>
    <row r="2102" customFormat="false" ht="15.75" hidden="false" customHeight="false" outlineLevel="0" collapsed="false">
      <c r="A2102" s="2" t="n">
        <v>225449</v>
      </c>
      <c r="B2102" s="2" t="s">
        <v>1821</v>
      </c>
      <c r="C2102" s="2" t="n">
        <v>2</v>
      </c>
      <c r="D2102" s="2" t="n">
        <v>1</v>
      </c>
      <c r="E2102" s="2" t="n">
        <v>1</v>
      </c>
      <c r="F2102" s="2" t="n">
        <v>48</v>
      </c>
      <c r="G2102" s="2" t="s">
        <v>435</v>
      </c>
      <c r="H2102" s="2" t="str">
        <f aca="false">IFERROR(__xludf.dummyfunction("IF(I2118="""", """", REGEXEXTRACT(I2118, ""Padrao/([^/]+)""))"),"Jardim Jose Sampaio Junior")</f>
        <v>Jardim Jose Sampaio Junior</v>
      </c>
    </row>
    <row r="2103" customFormat="false" ht="15.75" hidden="false" customHeight="false" outlineLevel="0" collapsed="false">
      <c r="A2103" s="2" t="n">
        <v>161756</v>
      </c>
      <c r="B2103" s="2" t="s">
        <v>1822</v>
      </c>
      <c r="C2103" s="2" t="n">
        <v>1</v>
      </c>
      <c r="D2103" s="2" t="n">
        <v>1</v>
      </c>
      <c r="E2103" s="2" t="n">
        <v>1</v>
      </c>
      <c r="F2103" s="2" t="n">
        <v>50</v>
      </c>
      <c r="G2103" s="2" t="s">
        <v>1823</v>
      </c>
      <c r="H2103" s="2" t="str">
        <f aca="false">IFERROR(__xludf.dummyfunction("IF(I2119="""", """", REGEXEXTRACT(I2119, ""Padrao/([^/]+)""))"),"Jardim Paulistano")</f>
        <v>Jardim Paulistano</v>
      </c>
    </row>
    <row r="2104" customFormat="false" ht="15.75" hidden="false" customHeight="false" outlineLevel="0" collapsed="false">
      <c r="A2104" s="2" t="n">
        <v>196358</v>
      </c>
      <c r="B2104" s="2" t="s">
        <v>1824</v>
      </c>
      <c r="C2104" s="2" t="n">
        <v>2</v>
      </c>
      <c r="D2104" s="2" t="n">
        <v>1</v>
      </c>
      <c r="E2104" s="2" t="n">
        <v>1</v>
      </c>
      <c r="F2104" s="2" t="n">
        <v>44</v>
      </c>
      <c r="G2104" s="2" t="s">
        <v>464</v>
      </c>
      <c r="H2104" s="2" t="str">
        <f aca="false">IFERROR(__xludf.dummyfunction("IF(I2120="""", """", REGEXEXTRACT(I2120, ""Padrao/([^/]+)""))"),"Residencial Greenville")</f>
        <v>Residencial Greenville</v>
      </c>
    </row>
    <row r="2105" customFormat="false" ht="15.75" hidden="false" customHeight="false" outlineLevel="0" collapsed="false">
      <c r="A2105" s="2" t="n">
        <v>220016</v>
      </c>
      <c r="B2105" s="2" t="s">
        <v>1825</v>
      </c>
      <c r="C2105" s="2" t="n">
        <v>3</v>
      </c>
      <c r="D2105" s="2" t="n">
        <v>2</v>
      </c>
      <c r="E2105" s="2" t="n">
        <v>1</v>
      </c>
      <c r="F2105" s="2" t="n">
        <v>63</v>
      </c>
      <c r="G2105" s="2" t="s">
        <v>472</v>
      </c>
      <c r="H2105" s="2" t="str">
        <f aca="false">IFERROR(__xludf.dummyfunction("IF(I2121="""", """", REGEXEXTRACT(I2121, ""Padrao/([^/]+)""))"),"Jardim Anhanguera")</f>
        <v>Jardim Anhanguera</v>
      </c>
    </row>
    <row r="2106" customFormat="false" ht="15.75" hidden="false" customHeight="false" outlineLevel="0" collapsed="false">
      <c r="A2106" s="2" t="n">
        <v>202820</v>
      </c>
      <c r="B2106" s="2" t="s">
        <v>1826</v>
      </c>
      <c r="C2106" s="2" t="n">
        <v>2</v>
      </c>
      <c r="D2106" s="2" t="n">
        <v>2</v>
      </c>
      <c r="E2106" s="2" t="n">
        <v>1</v>
      </c>
      <c r="F2106" s="2" t="n">
        <v>55</v>
      </c>
      <c r="G2106" s="2" t="s">
        <v>474</v>
      </c>
      <c r="H2106" s="2" t="str">
        <f aca="false">IFERROR(__xludf.dummyfunction("IF(I2122="""", """", REGEXEXTRACT(I2122, ""Padrao/([^/]+)""))"),"Residencial e Comercial Palmares")</f>
        <v>Residencial e Comercial Palmares</v>
      </c>
    </row>
    <row r="2107" customFormat="false" ht="15.75" hidden="false" customHeight="false" outlineLevel="0" collapsed="false">
      <c r="A2107" s="2" t="n">
        <v>158996</v>
      </c>
      <c r="B2107" s="2" t="s">
        <v>1083</v>
      </c>
      <c r="C2107" s="2" t="n">
        <v>2</v>
      </c>
      <c r="D2107" s="2" t="n">
        <v>1</v>
      </c>
      <c r="E2107" s="2" t="n">
        <v>1</v>
      </c>
      <c r="F2107" s="2" t="n">
        <v>45</v>
      </c>
      <c r="G2107" s="2" t="s">
        <v>474</v>
      </c>
      <c r="H2107" s="2" t="str">
        <f aca="false">IFERROR(__xludf.dummyfunction("IF(I2123="""", """", REGEXEXTRACT(I2123, ""Padrao/([^/]+)""))"),"Residencial Parque dos Servidores")</f>
        <v>Residencial Parque dos Servidores</v>
      </c>
    </row>
    <row r="2108" customFormat="false" ht="15.75" hidden="false" customHeight="false" outlineLevel="0" collapsed="false">
      <c r="A2108" s="2" t="n">
        <v>243287</v>
      </c>
      <c r="B2108" s="2" t="s">
        <v>1827</v>
      </c>
      <c r="C2108" s="2" t="n">
        <v>2</v>
      </c>
      <c r="D2108" s="2" t="n">
        <v>1</v>
      </c>
      <c r="E2108" s="2" t="n">
        <v>1</v>
      </c>
      <c r="F2108" s="2" t="n">
        <v>66</v>
      </c>
      <c r="G2108" s="2" t="s">
        <v>483</v>
      </c>
      <c r="H2108" s="2" t="str">
        <f aca="false">IFERROR(__xludf.dummyfunction("IF(I2124="""", """", REGEXEXTRACT(I2124, ""Padrao/([^/]+)""))"),"Parque dos Bandeirantes")</f>
        <v>Parque dos Bandeirantes</v>
      </c>
    </row>
    <row r="2109" customFormat="false" ht="15.75" hidden="false" customHeight="false" outlineLevel="0" collapsed="false">
      <c r="A2109" s="2" t="n">
        <v>235448</v>
      </c>
      <c r="B2109" s="2" t="s">
        <v>1828</v>
      </c>
      <c r="C2109" s="2" t="n">
        <v>2</v>
      </c>
      <c r="D2109" s="2" t="n">
        <v>1</v>
      </c>
      <c r="E2109" s="2" t="n">
        <v>1</v>
      </c>
      <c r="F2109" s="2" t="n">
        <v>55</v>
      </c>
      <c r="G2109" s="2" t="s">
        <v>502</v>
      </c>
      <c r="H2109" s="2" t="str">
        <f aca="false">IFERROR(__xludf.dummyfunction("IF(I2125="""", """", REGEXEXTRACT(I2125, ""Padrao/([^/]+)""))"),"Vila Maria Luiza")</f>
        <v>Vila Maria Luiza</v>
      </c>
    </row>
    <row r="2110" customFormat="false" ht="15.75" hidden="false" customHeight="false" outlineLevel="0" collapsed="false">
      <c r="A2110" s="2" t="n">
        <v>193604</v>
      </c>
      <c r="B2110" s="2" t="s">
        <v>851</v>
      </c>
      <c r="C2110" s="2" t="n">
        <v>3</v>
      </c>
      <c r="D2110" s="2" t="n">
        <v>2</v>
      </c>
      <c r="E2110" s="2" t="n">
        <v>1</v>
      </c>
      <c r="F2110" s="2" t="n">
        <v>70</v>
      </c>
      <c r="G2110" s="2" t="s">
        <v>502</v>
      </c>
      <c r="H2110" s="2" t="str">
        <f aca="false">IFERROR(__xludf.dummyfunction("IF(I2126="""", """", REGEXEXTRACT(I2126, ""Padrao/([^/]+)""))"),"Ipiranga")</f>
        <v>Ipiranga</v>
      </c>
    </row>
    <row r="2111" customFormat="false" ht="15.75" hidden="false" customHeight="false" outlineLevel="0" collapsed="false">
      <c r="A2111" s="2" t="n">
        <v>155144</v>
      </c>
      <c r="B2111" s="2" t="s">
        <v>973</v>
      </c>
      <c r="C2111" s="2" t="n">
        <v>2</v>
      </c>
      <c r="D2111" s="2" t="n">
        <v>1</v>
      </c>
      <c r="E2111" s="2" t="n">
        <v>1</v>
      </c>
      <c r="F2111" s="2" t="n">
        <v>46</v>
      </c>
      <c r="G2111" s="2" t="s">
        <v>502</v>
      </c>
      <c r="H2111" s="2" t="str">
        <f aca="false">IFERROR(__xludf.dummyfunction("IF(I2127="""", """", REGEXEXTRACT(I2127, ""Padrao/([^/]+)""))"),"Vila Virginia")</f>
        <v>Vila Virginia</v>
      </c>
    </row>
    <row r="2112" customFormat="false" ht="15.75" hidden="false" customHeight="false" outlineLevel="0" collapsed="false">
      <c r="A2112" s="2" t="n">
        <v>64898</v>
      </c>
      <c r="B2112" s="2" t="s">
        <v>1621</v>
      </c>
      <c r="C2112" s="2" t="n">
        <v>2</v>
      </c>
      <c r="D2112" s="2" t="n">
        <v>1</v>
      </c>
      <c r="E2112" s="2" t="n">
        <v>1</v>
      </c>
      <c r="F2112" s="2" t="n">
        <v>65</v>
      </c>
      <c r="G2112" s="2" t="s">
        <v>502</v>
      </c>
      <c r="H2112" s="2" t="str">
        <f aca="false">IFERROR(__xludf.dummyfunction("IF(I2129="""", """", REGEXEXTRACT(I2129, ""Padrao/([^/]+)""))"),"Centro")</f>
        <v>Centro</v>
      </c>
    </row>
    <row r="2113" customFormat="false" ht="15.75" hidden="false" customHeight="false" outlineLevel="0" collapsed="false">
      <c r="A2113" s="2" t="n">
        <v>118235</v>
      </c>
      <c r="B2113" s="2" t="s">
        <v>1829</v>
      </c>
      <c r="C2113" s="2" t="n">
        <v>1</v>
      </c>
      <c r="D2113" s="2" t="n">
        <v>1</v>
      </c>
      <c r="E2113" s="2" t="n">
        <v>1</v>
      </c>
      <c r="F2113" s="2" t="n">
        <v>38</v>
      </c>
      <c r="G2113" s="2" t="s">
        <v>509</v>
      </c>
      <c r="H2113" s="2" t="str">
        <f aca="false">IFERROR(__xludf.dummyfunction("IF(I2130="""", """", REGEXEXTRACT(I2130, ""Padrao/([^/]+)""))"),"Jardim Iraja")</f>
        <v>Jardim Iraja</v>
      </c>
    </row>
    <row r="2114" customFormat="false" ht="15.75" hidden="false" customHeight="false" outlineLevel="0" collapsed="false">
      <c r="A2114" s="2" t="n">
        <v>137465</v>
      </c>
      <c r="B2114" s="2" t="s">
        <v>1830</v>
      </c>
      <c r="C2114" s="2" t="n">
        <v>1</v>
      </c>
      <c r="D2114" s="2" t="n">
        <v>1</v>
      </c>
      <c r="E2114" s="2" t="n">
        <v>1</v>
      </c>
      <c r="F2114" s="2" t="n">
        <v>44</v>
      </c>
      <c r="G2114" s="2" t="s">
        <v>515</v>
      </c>
      <c r="H2114" s="2" t="str">
        <f aca="false">IFERROR(__xludf.dummyfunction("IF(I2131="""", """", REGEXEXTRACT(I2131, ""Padrao/([^/]+)""))"),"Jardim Botanico")</f>
        <v>Jardim Botanico</v>
      </c>
    </row>
    <row r="2115" customFormat="false" ht="15.75" hidden="false" customHeight="false" outlineLevel="0" collapsed="false">
      <c r="A2115" s="2" t="n">
        <v>130514</v>
      </c>
      <c r="B2115" s="2" t="s">
        <v>1097</v>
      </c>
      <c r="C2115" s="2" t="n">
        <v>2</v>
      </c>
      <c r="D2115" s="2" t="n">
        <v>1</v>
      </c>
      <c r="E2115" s="2" t="n">
        <v>1</v>
      </c>
      <c r="F2115" s="2" t="n">
        <v>43</v>
      </c>
      <c r="G2115" s="2" t="s">
        <v>515</v>
      </c>
      <c r="H2115" s="2" t="str">
        <f aca="false">IFERROR(__xludf.dummyfunction("IF(I2132="""", """", REGEXEXTRACT(I2132, ""Padrao/([^/]+)""))"),"Residencial Parque dos Servidores")</f>
        <v>Residencial Parque dos Servidores</v>
      </c>
    </row>
    <row r="2116" customFormat="false" ht="15.75" hidden="false" customHeight="false" outlineLevel="0" collapsed="false">
      <c r="A2116" s="2" t="n">
        <v>175646</v>
      </c>
      <c r="B2116" s="2" t="s">
        <v>1831</v>
      </c>
      <c r="C2116" s="2" t="n">
        <v>2</v>
      </c>
      <c r="D2116" s="2" t="n">
        <v>1</v>
      </c>
      <c r="E2116" s="2" t="n">
        <v>1</v>
      </c>
      <c r="F2116" s="2" t="n">
        <v>49</v>
      </c>
      <c r="G2116" s="2" t="s">
        <v>518</v>
      </c>
      <c r="H2116" s="2" t="str">
        <f aca="false">IFERROR(__xludf.dummyfunction("IF(I2133="""", """", REGEXEXTRACT(I2133, ""Padrao/([^/]+)""))"),"City Ribeirao")</f>
        <v>City Ribeirao</v>
      </c>
    </row>
    <row r="2117" customFormat="false" ht="15.75" hidden="false" customHeight="false" outlineLevel="0" collapsed="false">
      <c r="A2117" s="2" t="n">
        <v>154754</v>
      </c>
      <c r="B2117" s="2" t="s">
        <v>1832</v>
      </c>
      <c r="C2117" s="2" t="n">
        <v>2</v>
      </c>
      <c r="D2117" s="2" t="n">
        <v>1</v>
      </c>
      <c r="E2117" s="2" t="n">
        <v>1</v>
      </c>
      <c r="F2117" s="2" t="n">
        <v>48</v>
      </c>
      <c r="G2117" s="2" t="s">
        <v>518</v>
      </c>
      <c r="H2117" s="2" t="str">
        <f aca="false">IFERROR(__xludf.dummyfunction("IF(I2134="""", """", REGEXEXTRACT(I2134, ""Padrao/([^/]+)""))"),"Reserva Sul Condominio")</f>
        <v>Reserva Sul Condominio</v>
      </c>
    </row>
    <row r="2118" customFormat="false" ht="15.75" hidden="false" customHeight="false" outlineLevel="0" collapsed="false">
      <c r="A2118" s="2" t="n">
        <v>91484</v>
      </c>
      <c r="B2118" s="2" t="s">
        <v>440</v>
      </c>
      <c r="C2118" s="2" t="n">
        <v>1</v>
      </c>
      <c r="D2118" s="2" t="n">
        <v>1</v>
      </c>
      <c r="E2118" s="2" t="n">
        <v>1</v>
      </c>
      <c r="F2118" s="2" t="n">
        <v>42</v>
      </c>
      <c r="G2118" s="2" t="s">
        <v>518</v>
      </c>
      <c r="H2118" s="2" t="str">
        <f aca="false">IFERROR(__xludf.dummyfunction("IF(I2135="""", """", REGEXEXTRACT(I2135, ""Padrao/([^/]+)""))"),"Centro")</f>
        <v>Centro</v>
      </c>
    </row>
    <row r="2119" customFormat="false" ht="15.75" hidden="false" customHeight="false" outlineLevel="0" collapsed="false">
      <c r="A2119" s="2" t="n">
        <v>243491</v>
      </c>
      <c r="B2119" s="2" t="s">
        <v>1833</v>
      </c>
      <c r="C2119" s="2" t="n">
        <v>2</v>
      </c>
      <c r="D2119" s="2" t="n">
        <v>1</v>
      </c>
      <c r="E2119" s="2" t="n">
        <v>1</v>
      </c>
      <c r="F2119" s="2" t="n">
        <v>42</v>
      </c>
      <c r="G2119" s="2" t="s">
        <v>525</v>
      </c>
      <c r="H2119" s="2" t="str">
        <f aca="false">IFERROR(__xludf.dummyfunction("IF(I2136="""", """", REGEXEXTRACT(I2136, ""Padrao/([^/]+)""))"),"Jardim Jose Wilson Toni")</f>
        <v>Jardim Jose Wilson Toni</v>
      </c>
    </row>
    <row r="2120" customFormat="false" ht="15.75" hidden="false" customHeight="false" outlineLevel="0" collapsed="false">
      <c r="A2120" s="2" t="n">
        <v>242612</v>
      </c>
      <c r="B2120" s="2" t="s">
        <v>819</v>
      </c>
      <c r="C2120" s="2" t="n">
        <v>2</v>
      </c>
      <c r="D2120" s="2" t="n">
        <v>1</v>
      </c>
      <c r="E2120" s="2" t="n">
        <v>1</v>
      </c>
      <c r="F2120" s="2" t="n">
        <v>42</v>
      </c>
      <c r="G2120" s="2" t="s">
        <v>525</v>
      </c>
      <c r="H2120" s="2" t="str">
        <f aca="false">IFERROR(__xludf.dummyfunction("IF(I2137="""", """", REGEXEXTRACT(I2137, ""Padrao/([^/]+)""))"),"Valentina Figueiredo")</f>
        <v>Valentina Figueiredo</v>
      </c>
    </row>
    <row r="2121" customFormat="false" ht="15.75" hidden="false" customHeight="false" outlineLevel="0" collapsed="false">
      <c r="A2121" s="2" t="n">
        <v>240248</v>
      </c>
      <c r="B2121" s="2" t="s">
        <v>1834</v>
      </c>
      <c r="C2121" s="2" t="n">
        <v>1</v>
      </c>
      <c r="D2121" s="2" t="n">
        <v>1</v>
      </c>
      <c r="E2121" s="2" t="n">
        <v>1</v>
      </c>
      <c r="F2121" s="2" t="n">
        <v>39</v>
      </c>
      <c r="G2121" s="2" t="s">
        <v>525</v>
      </c>
      <c r="H2121" s="2" t="str">
        <f aca="false">IFERROR(__xludf.dummyfunction("IF(I2138="""", """", REGEXEXTRACT(I2138, ""Padrao/([^/]+)""))"),"Jardim Iraja")</f>
        <v>Jardim Iraja</v>
      </c>
    </row>
    <row r="2122" customFormat="false" ht="15.75" hidden="false" customHeight="false" outlineLevel="0" collapsed="false">
      <c r="A2122" s="2" t="n">
        <v>240062</v>
      </c>
      <c r="B2122" s="2" t="s">
        <v>1835</v>
      </c>
      <c r="C2122" s="2" t="n">
        <v>2</v>
      </c>
      <c r="D2122" s="2" t="n">
        <v>1</v>
      </c>
      <c r="E2122" s="2" t="n">
        <v>1</v>
      </c>
      <c r="F2122" s="2" t="n">
        <v>63</v>
      </c>
      <c r="G2122" s="2" t="s">
        <v>525</v>
      </c>
      <c r="H2122" s="2" t="str">
        <f aca="false">IFERROR(__xludf.dummyfunction("IF(I2139="""", """", REGEXEXTRACT(I2139, ""Padrao/([^/]+)""))"),"Jardim Interlagos")</f>
        <v>Jardim Interlagos</v>
      </c>
    </row>
    <row r="2123" customFormat="false" ht="15.75" hidden="false" customHeight="false" outlineLevel="0" collapsed="false">
      <c r="A2123" s="2" t="n">
        <v>235751</v>
      </c>
      <c r="B2123" s="2" t="s">
        <v>1836</v>
      </c>
      <c r="C2123" s="2" t="n">
        <v>1</v>
      </c>
      <c r="D2123" s="2" t="n">
        <v>1</v>
      </c>
      <c r="E2123" s="2" t="n">
        <v>1</v>
      </c>
      <c r="F2123" s="2" t="n">
        <v>38</v>
      </c>
      <c r="G2123" s="2" t="s">
        <v>525</v>
      </c>
      <c r="H2123" s="2" t="str">
        <f aca="false">IFERROR(__xludf.dummyfunction("IF(I2140="""", """", REGEXEXTRACT(I2140, ""Padrao/([^/]+)""))"),"Residencial Florida")</f>
        <v>Residencial Florida</v>
      </c>
    </row>
    <row r="2124" customFormat="false" ht="15.75" hidden="false" customHeight="false" outlineLevel="0" collapsed="false">
      <c r="A2124" s="2" t="n">
        <v>235442</v>
      </c>
      <c r="B2124" s="2" t="s">
        <v>1837</v>
      </c>
      <c r="C2124" s="2" t="n">
        <v>2</v>
      </c>
      <c r="D2124" s="2" t="n">
        <v>1</v>
      </c>
      <c r="E2124" s="2" t="n">
        <v>1</v>
      </c>
      <c r="F2124" s="2" t="n">
        <v>46</v>
      </c>
      <c r="G2124" s="2" t="s">
        <v>525</v>
      </c>
      <c r="H2124" s="2" t="str">
        <f aca="false">IFERROR(__xludf.dummyfunction("IF(I2141="""", """", REGEXEXTRACT(I2141, ""Padrao/([^/]+)""))"),"Vila Abranches")</f>
        <v>Vila Abranches</v>
      </c>
    </row>
    <row r="2125" customFormat="false" ht="15.75" hidden="false" customHeight="false" outlineLevel="0" collapsed="false">
      <c r="A2125" s="2" t="n">
        <v>234026</v>
      </c>
      <c r="B2125" s="2" t="s">
        <v>1838</v>
      </c>
      <c r="C2125" s="2" t="n">
        <v>2</v>
      </c>
      <c r="D2125" s="2" t="n">
        <v>1</v>
      </c>
      <c r="E2125" s="2" t="n">
        <v>1</v>
      </c>
      <c r="F2125" s="2" t="n">
        <v>42</v>
      </c>
      <c r="G2125" s="2" t="s">
        <v>525</v>
      </c>
      <c r="H2125" s="2" t="str">
        <f aca="false">IFERROR(__xludf.dummyfunction("IF(I2142="""", """", REGEXEXTRACT(I2142, ""Padrao/([^/]+)""))"),"Jardim Cybelli")</f>
        <v>Jardim Cybelli</v>
      </c>
    </row>
    <row r="2126" customFormat="false" ht="15.75" hidden="false" customHeight="false" outlineLevel="0" collapsed="false">
      <c r="A2126" s="2" t="n">
        <v>233201</v>
      </c>
      <c r="B2126" s="2" t="s">
        <v>1839</v>
      </c>
      <c r="C2126" s="2" t="n">
        <v>1</v>
      </c>
      <c r="D2126" s="2" t="n">
        <v>1</v>
      </c>
      <c r="E2126" s="2" t="n">
        <v>1</v>
      </c>
      <c r="F2126" s="2" t="n">
        <v>48</v>
      </c>
      <c r="G2126" s="2" t="s">
        <v>525</v>
      </c>
      <c r="H2126" s="2" t="str">
        <f aca="false">IFERROR(__xludf.dummyfunction("IF(I2143="""", """", REGEXEXTRACT(I2143, ""Padrao/([^/]+)""))"),"Vila Seixas")</f>
        <v>Vila Seixas</v>
      </c>
    </row>
    <row r="2127" customFormat="false" ht="15.75" hidden="false" customHeight="false" outlineLevel="0" collapsed="false">
      <c r="A2127" s="2" t="n">
        <v>233045</v>
      </c>
      <c r="B2127" s="2" t="s">
        <v>1840</v>
      </c>
      <c r="C2127" s="2" t="n">
        <v>2</v>
      </c>
      <c r="D2127" s="2" t="n">
        <v>1</v>
      </c>
      <c r="E2127" s="2" t="n">
        <v>1</v>
      </c>
      <c r="F2127" s="2" t="n">
        <v>70</v>
      </c>
      <c r="G2127" s="2" t="s">
        <v>525</v>
      </c>
      <c r="H2127" s="2" t="str">
        <f aca="false">IFERROR(__xludf.dummyfunction("IF(I2144="""", """", REGEXEXTRACT(I2144, ""Padrao/([^/]+)""))"),"Centro")</f>
        <v>Centro</v>
      </c>
    </row>
    <row r="2128" customFormat="false" ht="15.75" hidden="false" customHeight="false" outlineLevel="0" collapsed="false">
      <c r="A2128" s="2" t="n">
        <v>230447</v>
      </c>
      <c r="B2128" s="2" t="s">
        <v>1841</v>
      </c>
      <c r="C2128" s="2" t="n">
        <v>2</v>
      </c>
      <c r="D2128" s="2" t="n">
        <v>1</v>
      </c>
      <c r="E2128" s="2" t="n">
        <v>1</v>
      </c>
      <c r="F2128" s="2" t="n">
        <v>40</v>
      </c>
      <c r="G2128" s="2" t="s">
        <v>525</v>
      </c>
      <c r="H2128" s="2" t="str">
        <f aca="false">IFERROR(__xludf.dummyfunction("IF(I2145="""", """", REGEXEXTRACT(I2145, ""Padrao/([^/]+)""))"),"Bonfim Paulista")</f>
        <v>Bonfim Paulista</v>
      </c>
    </row>
    <row r="2129" customFormat="false" ht="15.75" hidden="false" customHeight="false" outlineLevel="0" collapsed="false">
      <c r="A2129" s="2" t="n">
        <v>230393</v>
      </c>
      <c r="B2129" s="2" t="s">
        <v>1842</v>
      </c>
      <c r="C2129" s="2" t="n">
        <v>2</v>
      </c>
      <c r="D2129" s="2" t="n">
        <v>2</v>
      </c>
      <c r="E2129" s="2" t="n">
        <v>1</v>
      </c>
      <c r="F2129" s="2" t="n">
        <v>47</v>
      </c>
      <c r="G2129" s="2" t="s">
        <v>525</v>
      </c>
      <c r="H2129" s="2" t="str">
        <f aca="false">IFERROR(__xludf.dummyfunction("IF(I2146="""", """", REGEXEXTRACT(I2146, ""Padrao/([^/]+)""))"),"Parque dos Bandeirantes")</f>
        <v>Parque dos Bandeirantes</v>
      </c>
    </row>
    <row r="2130" customFormat="false" ht="15.75" hidden="false" customHeight="false" outlineLevel="0" collapsed="false">
      <c r="A2130" s="2" t="n">
        <v>229352</v>
      </c>
      <c r="B2130" s="2" t="s">
        <v>1843</v>
      </c>
      <c r="C2130" s="2" t="n">
        <v>2</v>
      </c>
      <c r="D2130" s="2" t="n">
        <v>1</v>
      </c>
      <c r="E2130" s="2" t="n">
        <v>1</v>
      </c>
      <c r="F2130" s="2" t="n">
        <v>42</v>
      </c>
      <c r="G2130" s="2" t="s">
        <v>525</v>
      </c>
      <c r="H2130" s="2" t="str">
        <f aca="false">IFERROR(__xludf.dummyfunction("IF(I2147="""", """", REGEXEXTRACT(I2147, ""Padrao/([^/]+)""))"),"Valentina Figueiredo")</f>
        <v>Valentina Figueiredo</v>
      </c>
    </row>
    <row r="2131" customFormat="false" ht="15.75" hidden="false" customHeight="false" outlineLevel="0" collapsed="false">
      <c r="A2131" s="2" t="n">
        <v>228938</v>
      </c>
      <c r="B2131" s="2" t="s">
        <v>1844</v>
      </c>
      <c r="C2131" s="2" t="n">
        <v>2</v>
      </c>
      <c r="D2131" s="2" t="n">
        <v>1</v>
      </c>
      <c r="E2131" s="2" t="n">
        <v>1</v>
      </c>
      <c r="F2131" s="2" t="n">
        <v>46</v>
      </c>
      <c r="G2131" s="2" t="s">
        <v>525</v>
      </c>
      <c r="H2131" s="2" t="str">
        <f aca="false">IFERROR(__xludf.dummyfunction("IF(I2148="""", """", REGEXEXTRACT(I2148, ""Padrao/([^/]+)""))"),"Ribeirania")</f>
        <v>Ribeirania</v>
      </c>
    </row>
    <row r="2132" customFormat="false" ht="15.75" hidden="false" customHeight="false" outlineLevel="0" collapsed="false">
      <c r="A2132" s="2" t="n">
        <v>228617</v>
      </c>
      <c r="B2132" s="2" t="s">
        <v>1366</v>
      </c>
      <c r="C2132" s="2" t="n">
        <v>2</v>
      </c>
      <c r="D2132" s="2" t="n">
        <v>1</v>
      </c>
      <c r="E2132" s="2" t="n">
        <v>1</v>
      </c>
      <c r="F2132" s="2" t="n">
        <v>42</v>
      </c>
      <c r="G2132" s="2" t="s">
        <v>525</v>
      </c>
      <c r="H2132" s="2" t="str">
        <f aca="false">IFERROR(__xludf.dummyfunction("IF(I2149="""", """", REGEXEXTRACT(I2149, ""Padrao/([^/]+)""))"),"Jardim Florestan Fernandes")</f>
        <v>Jardim Florestan Fernandes</v>
      </c>
    </row>
    <row r="2133" customFormat="false" ht="15.75" hidden="false" customHeight="false" outlineLevel="0" collapsed="false">
      <c r="A2133" s="2" t="n">
        <v>228095</v>
      </c>
      <c r="B2133" s="2" t="s">
        <v>1185</v>
      </c>
      <c r="C2133" s="2" t="n">
        <v>2</v>
      </c>
      <c r="D2133" s="2" t="n">
        <v>1</v>
      </c>
      <c r="E2133" s="2" t="n">
        <v>1</v>
      </c>
      <c r="F2133" s="2" t="n">
        <v>40</v>
      </c>
      <c r="G2133" s="2" t="s">
        <v>525</v>
      </c>
      <c r="H2133" s="2" t="str">
        <f aca="false">IFERROR(__xludf.dummyfunction("IF(I2150="""", """", REGEXEXTRACT(I2150, ""Padrao/([^/]+)""))"),"Jardim Cybelli")</f>
        <v>Jardim Cybelli</v>
      </c>
    </row>
    <row r="2134" customFormat="false" ht="15.75" hidden="false" customHeight="false" outlineLevel="0" collapsed="false">
      <c r="A2134" s="2" t="n">
        <v>227282</v>
      </c>
      <c r="B2134" s="2" t="s">
        <v>1845</v>
      </c>
      <c r="C2134" s="2" t="n">
        <v>2</v>
      </c>
      <c r="D2134" s="2" t="n">
        <v>1</v>
      </c>
      <c r="E2134" s="2" t="n">
        <v>1</v>
      </c>
      <c r="F2134" s="2" t="n">
        <v>49</v>
      </c>
      <c r="G2134" s="2" t="s">
        <v>525</v>
      </c>
      <c r="H2134" s="2" t="str">
        <f aca="false">IFERROR(__xludf.dummyfunction("IF(I2151="""", """", REGEXEXTRACT(I2151, ""Padrao/([^/]+)""))"),"Ipiranga")</f>
        <v>Ipiranga</v>
      </c>
    </row>
    <row r="2135" customFormat="false" ht="15.75" hidden="false" customHeight="false" outlineLevel="0" collapsed="false">
      <c r="A2135" s="2" t="n">
        <v>226706</v>
      </c>
      <c r="B2135" s="2" t="s">
        <v>1846</v>
      </c>
      <c r="C2135" s="2" t="n">
        <v>2</v>
      </c>
      <c r="D2135" s="2" t="n">
        <v>1</v>
      </c>
      <c r="E2135" s="2" t="n">
        <v>1</v>
      </c>
      <c r="F2135" s="2" t="n">
        <v>41</v>
      </c>
      <c r="G2135" s="2" t="s">
        <v>525</v>
      </c>
      <c r="H2135" s="2" t="str">
        <f aca="false">IFERROR(__xludf.dummyfunction("IF(I2152="""", """", REGEXEXTRACT(I2152, ""Padrao/([^/]+)""))"),"Reserva Real")</f>
        <v>Reserva Real</v>
      </c>
    </row>
    <row r="2136" customFormat="false" ht="15.75" hidden="false" customHeight="false" outlineLevel="0" collapsed="false">
      <c r="A2136" s="2" t="n">
        <v>226157</v>
      </c>
      <c r="B2136" s="2" t="s">
        <v>454</v>
      </c>
      <c r="C2136" s="2" t="n">
        <v>2</v>
      </c>
      <c r="D2136" s="2" t="n">
        <v>1</v>
      </c>
      <c r="E2136" s="2" t="n">
        <v>1</v>
      </c>
      <c r="F2136" s="2" t="n">
        <v>41</v>
      </c>
      <c r="G2136" s="2" t="s">
        <v>525</v>
      </c>
      <c r="H2136" s="2" t="str">
        <f aca="false">IFERROR(__xludf.dummyfunction("IF(I2153="""", """", REGEXEXTRACT(I2153, ""Padrao/([^/]+)""))"),"Reserva Real")</f>
        <v>Reserva Real</v>
      </c>
    </row>
    <row r="2137" customFormat="false" ht="15.75" hidden="false" customHeight="false" outlineLevel="0" collapsed="false">
      <c r="A2137" s="2" t="n">
        <v>225956</v>
      </c>
      <c r="B2137" s="2" t="s">
        <v>454</v>
      </c>
      <c r="C2137" s="2" t="n">
        <v>2</v>
      </c>
      <c r="D2137" s="2" t="n">
        <v>1</v>
      </c>
      <c r="E2137" s="2" t="n">
        <v>1</v>
      </c>
      <c r="F2137" s="2" t="n">
        <v>41</v>
      </c>
      <c r="G2137" s="2" t="s">
        <v>525</v>
      </c>
      <c r="H2137" s="2" t="str">
        <f aca="false">IFERROR(__xludf.dummyfunction("IF(I2154="""", """", REGEXEXTRACT(I2154, ""Padrao/([^/]+)""))"),"Reserva Real")</f>
        <v>Reserva Real</v>
      </c>
    </row>
    <row r="2138" customFormat="false" ht="15.75" hidden="false" customHeight="false" outlineLevel="0" collapsed="false">
      <c r="A2138" s="2" t="n">
        <v>224279</v>
      </c>
      <c r="B2138" s="2" t="s">
        <v>1847</v>
      </c>
      <c r="C2138" s="2" t="n">
        <v>2</v>
      </c>
      <c r="D2138" s="2" t="n">
        <v>1</v>
      </c>
      <c r="E2138" s="2" t="n">
        <v>1</v>
      </c>
      <c r="F2138" s="2" t="n">
        <v>60</v>
      </c>
      <c r="G2138" s="2" t="s">
        <v>525</v>
      </c>
      <c r="H2138" s="2" t="str">
        <f aca="false">IFERROR(__xludf.dummyfunction("IF(I2155="""", """", REGEXEXTRACT(I2155, ""Padrao/([^/]+)""))"),"Planalto Verde")</f>
        <v>Planalto Verde</v>
      </c>
    </row>
    <row r="2139" customFormat="false" ht="15.75" hidden="false" customHeight="false" outlineLevel="0" collapsed="false">
      <c r="A2139" s="2" t="n">
        <v>223232</v>
      </c>
      <c r="B2139" s="2" t="s">
        <v>1848</v>
      </c>
      <c r="C2139" s="2" t="n">
        <v>2</v>
      </c>
      <c r="D2139" s="2" t="n">
        <v>1</v>
      </c>
      <c r="E2139" s="2" t="n">
        <v>1</v>
      </c>
      <c r="F2139" s="2" t="n">
        <v>49</v>
      </c>
      <c r="G2139" s="2" t="s">
        <v>525</v>
      </c>
      <c r="H2139" s="2" t="str">
        <f aca="false">IFERROR(__xludf.dummyfunction("IF(I2156="""", """", REGEXEXTRACT(I2156, ""Padrao/([^/]+)""))"),"Campos Eliseos")</f>
        <v>Campos Eliseos</v>
      </c>
    </row>
    <row r="2140" customFormat="false" ht="15.75" hidden="false" customHeight="false" outlineLevel="0" collapsed="false">
      <c r="A2140" s="2" t="n">
        <v>220154</v>
      </c>
      <c r="B2140" s="2" t="s">
        <v>1849</v>
      </c>
      <c r="C2140" s="2" t="n">
        <v>2</v>
      </c>
      <c r="D2140" s="2" t="n">
        <v>1</v>
      </c>
      <c r="E2140" s="2" t="n">
        <v>1</v>
      </c>
      <c r="F2140" s="2" t="n">
        <v>59</v>
      </c>
      <c r="G2140" s="2" t="s">
        <v>525</v>
      </c>
      <c r="H2140" s="2" t="str">
        <f aca="false">IFERROR(__xludf.dummyfunction("IF(I2157="""", """", REGEXEXTRACT(I2157, ""Padrao/([^/]+)""))"),"Parque Anhanguera")</f>
        <v>Parque Anhanguera</v>
      </c>
    </row>
    <row r="2141" customFormat="false" ht="15.75" hidden="false" customHeight="false" outlineLevel="0" collapsed="false">
      <c r="A2141" s="2" t="n">
        <v>218858</v>
      </c>
      <c r="B2141" s="2" t="s">
        <v>1121</v>
      </c>
      <c r="C2141" s="2" t="n">
        <v>2</v>
      </c>
      <c r="D2141" s="2" t="n">
        <v>1</v>
      </c>
      <c r="E2141" s="2" t="n">
        <v>1</v>
      </c>
      <c r="F2141" s="2" t="n">
        <v>49</v>
      </c>
      <c r="G2141" s="2" t="s">
        <v>525</v>
      </c>
      <c r="H2141" s="2" t="str">
        <f aca="false">IFERROR(__xludf.dummyfunction("IF(I2158="""", """", REGEXEXTRACT(I2158, ""Padrao/([^/]+)""))"),"Residencial das Americas")</f>
        <v>Residencial das Americas</v>
      </c>
    </row>
    <row r="2142" customFormat="false" ht="15.75" hidden="false" customHeight="false" outlineLevel="0" collapsed="false">
      <c r="A2142" s="2" t="n">
        <v>218825</v>
      </c>
      <c r="B2142" s="2" t="s">
        <v>1850</v>
      </c>
      <c r="C2142" s="2" t="n">
        <v>2</v>
      </c>
      <c r="D2142" s="2" t="n">
        <v>2</v>
      </c>
      <c r="E2142" s="2" t="n">
        <v>1</v>
      </c>
      <c r="F2142" s="2" t="n">
        <v>49</v>
      </c>
      <c r="G2142" s="2" t="s">
        <v>525</v>
      </c>
      <c r="H2142" s="2" t="str">
        <f aca="false">IFERROR(__xludf.dummyfunction("IF(I2159="""", """", REGEXEXTRACT(I2159, ""Padrao/([^/]+)""))"),"City Ribeirao")</f>
        <v>City Ribeirao</v>
      </c>
    </row>
    <row r="2143" customFormat="false" ht="15.75" hidden="false" customHeight="false" outlineLevel="0" collapsed="false">
      <c r="A2143" s="2" t="n">
        <v>213872</v>
      </c>
      <c r="B2143" s="2" t="s">
        <v>1851</v>
      </c>
      <c r="C2143" s="2" t="n">
        <v>2</v>
      </c>
      <c r="D2143" s="2" t="n">
        <v>1</v>
      </c>
      <c r="E2143" s="2" t="n">
        <v>1</v>
      </c>
      <c r="F2143" s="2" t="n">
        <v>77</v>
      </c>
      <c r="G2143" s="2" t="s">
        <v>525</v>
      </c>
      <c r="H2143" s="2" t="str">
        <f aca="false">IFERROR(__xludf.dummyfunction("IF(I2160="""", """", REGEXEXTRACT(I2160, ""Padrao/([^/]+)""))"),"Campos Eliseos")</f>
        <v>Campos Eliseos</v>
      </c>
    </row>
    <row r="2144" customFormat="false" ht="15.75" hidden="false" customHeight="false" outlineLevel="0" collapsed="false">
      <c r="A2144" s="2" t="n">
        <v>211916</v>
      </c>
      <c r="B2144" s="2" t="s">
        <v>1852</v>
      </c>
      <c r="C2144" s="2" t="n">
        <v>3</v>
      </c>
      <c r="D2144" s="2" t="n">
        <v>1</v>
      </c>
      <c r="E2144" s="2" t="n">
        <v>1</v>
      </c>
      <c r="F2144" s="2" t="n">
        <v>76</v>
      </c>
      <c r="G2144" s="2" t="s">
        <v>525</v>
      </c>
      <c r="H2144" s="2" t="str">
        <f aca="false">IFERROR(__xludf.dummyfunction("IF(I2161="""", """", REGEXEXTRACT(I2161, ""Padrao/([^/]+)""))"),"Parque dos Bandeirantes")</f>
        <v>Parque dos Bandeirantes</v>
      </c>
    </row>
    <row r="2145" customFormat="false" ht="15.75" hidden="false" customHeight="false" outlineLevel="0" collapsed="false">
      <c r="A2145" s="2" t="n">
        <v>209459</v>
      </c>
      <c r="B2145" s="2" t="s">
        <v>1853</v>
      </c>
      <c r="C2145" s="2" t="n">
        <v>2</v>
      </c>
      <c r="D2145" s="2" t="n">
        <v>1</v>
      </c>
      <c r="E2145" s="2" t="n">
        <v>1</v>
      </c>
      <c r="F2145" s="2" t="n">
        <v>45</v>
      </c>
      <c r="G2145" s="2" t="s">
        <v>525</v>
      </c>
      <c r="H2145" s="2" t="str">
        <f aca="false">IFERROR(__xludf.dummyfunction("IF(I2162="""", """", REGEXEXTRACT(I2162, ""Padrao/([^/]+)""))"),"Loteamento Santa Marta")</f>
        <v>Loteamento Santa Marta</v>
      </c>
    </row>
    <row r="2146" customFormat="false" ht="15.75" hidden="false" customHeight="false" outlineLevel="0" collapsed="false">
      <c r="A2146" s="2" t="n">
        <v>208100</v>
      </c>
      <c r="B2146" s="2" t="s">
        <v>1854</v>
      </c>
      <c r="C2146" s="2" t="n">
        <v>1</v>
      </c>
      <c r="D2146" s="2" t="n">
        <v>1</v>
      </c>
      <c r="E2146" s="2" t="n">
        <v>1</v>
      </c>
      <c r="F2146" s="2" t="n">
        <v>31</v>
      </c>
      <c r="G2146" s="2" t="s">
        <v>525</v>
      </c>
      <c r="H2146" s="2" t="str">
        <f aca="false">IFERROR(__xludf.dummyfunction("IF(I2163="""", """", REGEXEXTRACT(I2163, ""Padrao/([^/]+)""))"),"Vila Monte Alegre")</f>
        <v>Vila Monte Alegre</v>
      </c>
    </row>
    <row r="2147" customFormat="false" ht="15.75" hidden="false" customHeight="false" outlineLevel="0" collapsed="false">
      <c r="A2147" s="2" t="n">
        <v>204881</v>
      </c>
      <c r="B2147" s="2" t="s">
        <v>841</v>
      </c>
      <c r="C2147" s="2" t="n">
        <v>2</v>
      </c>
      <c r="D2147" s="2" t="n">
        <v>1</v>
      </c>
      <c r="E2147" s="2" t="n">
        <v>1</v>
      </c>
      <c r="F2147" s="2" t="n">
        <v>42</v>
      </c>
      <c r="G2147" s="2" t="s">
        <v>525</v>
      </c>
      <c r="H2147" s="2" t="str">
        <f aca="false">IFERROR(__xludf.dummyfunction("IF(I2164="""", """", REGEXEXTRACT(I2164, ""Padrao/([^/]+)""))"),"Jardim Florestan Fernandes")</f>
        <v>Jardim Florestan Fernandes</v>
      </c>
    </row>
    <row r="2148" customFormat="false" ht="15.75" hidden="false" customHeight="false" outlineLevel="0" collapsed="false">
      <c r="A2148" s="2" t="n">
        <v>202070</v>
      </c>
      <c r="B2148" s="2" t="s">
        <v>402</v>
      </c>
      <c r="C2148" s="2" t="n">
        <v>2</v>
      </c>
      <c r="D2148" s="2" t="n">
        <v>1</v>
      </c>
      <c r="E2148" s="2" t="n">
        <v>1</v>
      </c>
      <c r="F2148" s="2" t="n">
        <v>42</v>
      </c>
      <c r="G2148" s="2" t="s">
        <v>525</v>
      </c>
      <c r="H2148" s="2" t="str">
        <f aca="false">IFERROR(__xludf.dummyfunction("IF(I2165="""", """", REGEXEXTRACT(I2165, ""Padrao/([^/]+)""))"),"Vila Virginia")</f>
        <v>Vila Virginia</v>
      </c>
    </row>
    <row r="2149" customFormat="false" ht="15.75" hidden="false" customHeight="false" outlineLevel="0" collapsed="false">
      <c r="A2149" s="2" t="n">
        <v>201431</v>
      </c>
      <c r="B2149" s="2" t="s">
        <v>1649</v>
      </c>
      <c r="C2149" s="2" t="n">
        <v>3</v>
      </c>
      <c r="D2149" s="2" t="n">
        <v>2</v>
      </c>
      <c r="E2149" s="2" t="n">
        <v>1</v>
      </c>
      <c r="F2149" s="2" t="n">
        <v>59</v>
      </c>
      <c r="G2149" s="2" t="s">
        <v>525</v>
      </c>
      <c r="H2149" s="2" t="str">
        <f aca="false">IFERROR(__xludf.dummyfunction("IF(I2166="""", """", REGEXEXTRACT(I2166, ""Padrao/([^/]+)""))"),"Jardim Sumare")</f>
        <v>Jardim Sumare</v>
      </c>
    </row>
    <row r="2150" customFormat="false" ht="15.75" hidden="false" customHeight="false" outlineLevel="0" collapsed="false">
      <c r="A2150" s="2" t="n">
        <v>201263</v>
      </c>
      <c r="B2150" s="2" t="s">
        <v>1855</v>
      </c>
      <c r="C2150" s="2" t="n">
        <v>2</v>
      </c>
      <c r="D2150" s="2" t="n">
        <v>1</v>
      </c>
      <c r="E2150" s="2" t="n">
        <v>1</v>
      </c>
      <c r="F2150" s="2" t="n">
        <v>51</v>
      </c>
      <c r="G2150" s="2" t="s">
        <v>525</v>
      </c>
      <c r="H2150" s="2" t="str">
        <f aca="false">IFERROR(__xludf.dummyfunction("IF(I2167="""", """", REGEXEXTRACT(I2167, ""Padrao/([^/]+)""))"),"Presidente Medici")</f>
        <v>Presidente Medici</v>
      </c>
    </row>
    <row r="2151" customFormat="false" ht="15.75" hidden="false" customHeight="false" outlineLevel="0" collapsed="false">
      <c r="A2151" s="2" t="n">
        <v>198836</v>
      </c>
      <c r="B2151" s="2" t="s">
        <v>1856</v>
      </c>
      <c r="C2151" s="2" t="n">
        <v>1</v>
      </c>
      <c r="D2151" s="2" t="n">
        <v>1</v>
      </c>
      <c r="E2151" s="2" t="n">
        <v>1</v>
      </c>
      <c r="F2151" s="2" t="n">
        <v>41</v>
      </c>
      <c r="G2151" s="2" t="s">
        <v>525</v>
      </c>
      <c r="H2151" s="2" t="str">
        <f aca="false">IFERROR(__xludf.dummyfunction("IF(I2168="""", """", REGEXEXTRACT(I2168, ""Padrao/([^/]+)""))"),"Vila Seixas")</f>
        <v>Vila Seixas</v>
      </c>
    </row>
    <row r="2152" customFormat="false" ht="15.75" hidden="false" customHeight="false" outlineLevel="0" collapsed="false">
      <c r="A2152" s="2" t="n">
        <v>197198</v>
      </c>
      <c r="B2152" s="2" t="s">
        <v>1857</v>
      </c>
      <c r="C2152" s="2" t="n">
        <v>2</v>
      </c>
      <c r="D2152" s="2" t="n">
        <v>1</v>
      </c>
      <c r="E2152" s="2" t="n">
        <v>1</v>
      </c>
      <c r="F2152" s="2" t="n">
        <v>40</v>
      </c>
      <c r="G2152" s="2" t="s">
        <v>525</v>
      </c>
      <c r="H2152" s="2" t="str">
        <f aca="false">IFERROR(__xludf.dummyfunction("IF(I2169="""", """", REGEXEXTRACT(I2169, ""Padrao/([^/]+)""))"),"Recreio das Acacias")</f>
        <v>Recreio das Acacias</v>
      </c>
    </row>
    <row r="2153" customFormat="false" ht="15.75" hidden="false" customHeight="false" outlineLevel="0" collapsed="false">
      <c r="A2153" s="2" t="n">
        <v>194087</v>
      </c>
      <c r="B2153" s="2" t="s">
        <v>1075</v>
      </c>
      <c r="C2153" s="2" t="n">
        <v>2</v>
      </c>
      <c r="D2153" s="2" t="n">
        <v>2</v>
      </c>
      <c r="E2153" s="2" t="n">
        <v>1</v>
      </c>
      <c r="F2153" s="2" t="n">
        <v>68</v>
      </c>
      <c r="G2153" s="2" t="s">
        <v>525</v>
      </c>
      <c r="H2153" s="2" t="str">
        <f aca="false">IFERROR(__xludf.dummyfunction("IF(I2170="""", """", REGEXEXTRACT(I2170, ""Padrao/([^/]+)""))"),"Vila Amelia")</f>
        <v>Vila Amelia</v>
      </c>
    </row>
    <row r="2154" customFormat="false" ht="15.75" hidden="false" customHeight="false" outlineLevel="0" collapsed="false">
      <c r="A2154" s="2" t="n">
        <v>193748</v>
      </c>
      <c r="B2154" s="2" t="s">
        <v>1858</v>
      </c>
      <c r="C2154" s="2" t="n">
        <v>2</v>
      </c>
      <c r="D2154" s="2" t="n">
        <v>1</v>
      </c>
      <c r="E2154" s="2" t="n">
        <v>1</v>
      </c>
      <c r="F2154" s="2" t="n">
        <v>63</v>
      </c>
      <c r="G2154" s="2" t="s">
        <v>525</v>
      </c>
      <c r="H2154" s="2" t="str">
        <f aca="false">IFERROR(__xludf.dummyfunction("IF(I2171="""", """", REGEXEXTRACT(I2171, ""Padrao/([^/]+)""))"),"Reserva Real")</f>
        <v>Reserva Real</v>
      </c>
    </row>
    <row r="2155" customFormat="false" ht="15.75" hidden="false" customHeight="false" outlineLevel="0" collapsed="false">
      <c r="A2155" s="2" t="n">
        <v>193583</v>
      </c>
      <c r="B2155" s="2" t="s">
        <v>1859</v>
      </c>
      <c r="C2155" s="2" t="n">
        <v>2</v>
      </c>
      <c r="D2155" s="2" t="n">
        <v>1</v>
      </c>
      <c r="E2155" s="2" t="n">
        <v>1</v>
      </c>
      <c r="F2155" s="2" t="n">
        <v>43</v>
      </c>
      <c r="G2155" s="2" t="s">
        <v>525</v>
      </c>
      <c r="H2155" s="2" t="str">
        <f aca="false">IFERROR(__xludf.dummyfunction("IF(I2172="""", """", REGEXEXTRACT(I2172, ""Padrao/([^/]+)""))"),"Bonfim Paulista")</f>
        <v>Bonfim Paulista</v>
      </c>
    </row>
    <row r="2156" customFormat="false" ht="15.75" hidden="false" customHeight="false" outlineLevel="0" collapsed="false">
      <c r="A2156" s="2" t="n">
        <v>192263</v>
      </c>
      <c r="B2156" s="2" t="s">
        <v>1409</v>
      </c>
      <c r="C2156" s="2" t="n">
        <v>2</v>
      </c>
      <c r="D2156" s="2" t="n">
        <v>1</v>
      </c>
      <c r="E2156" s="2" t="n">
        <v>1</v>
      </c>
      <c r="F2156" s="2" t="n">
        <v>68</v>
      </c>
      <c r="G2156" s="2" t="s">
        <v>525</v>
      </c>
      <c r="H2156" s="2" t="str">
        <f aca="false">IFERROR(__xludf.dummyfunction("IF(I2173="""", """", REGEXEXTRACT(I2173, ""Padrao/([^/]+)""))"),"Vila Amelia")</f>
        <v>Vila Amelia</v>
      </c>
    </row>
    <row r="2157" customFormat="false" ht="15.75" hidden="false" customHeight="false" outlineLevel="0" collapsed="false">
      <c r="A2157" s="2" t="n">
        <v>191489</v>
      </c>
      <c r="B2157" s="2" t="s">
        <v>1860</v>
      </c>
      <c r="C2157" s="2" t="n">
        <v>1</v>
      </c>
      <c r="D2157" s="2" t="n">
        <v>1</v>
      </c>
      <c r="E2157" s="2" t="n">
        <v>1</v>
      </c>
      <c r="F2157" s="2" t="n">
        <v>44</v>
      </c>
      <c r="G2157" s="2" t="s">
        <v>525</v>
      </c>
      <c r="H2157" s="2" t="str">
        <f aca="false">IFERROR(__xludf.dummyfunction("IF(I2174="""", """", REGEXEXTRACT(I2174, ""Padrao/([^/]+)""))"),"Nova Alianca")</f>
        <v>Nova Alianca</v>
      </c>
    </row>
    <row r="2158" customFormat="false" ht="15.75" hidden="false" customHeight="false" outlineLevel="0" collapsed="false">
      <c r="A2158" s="2" t="n">
        <v>191432</v>
      </c>
      <c r="B2158" s="2" t="s">
        <v>1861</v>
      </c>
      <c r="C2158" s="2" t="n">
        <v>3</v>
      </c>
      <c r="D2158" s="2" t="n">
        <v>3</v>
      </c>
      <c r="E2158" s="2" t="n">
        <v>1</v>
      </c>
      <c r="F2158" s="2" t="n">
        <v>58</v>
      </c>
      <c r="G2158" s="2" t="s">
        <v>525</v>
      </c>
      <c r="H2158" s="2" t="str">
        <f aca="false">IFERROR(__xludf.dummyfunction("IF(I2175="""", """", REGEXEXTRACT(I2175, ""Padrao/([^/]+)""))"),"Jardim Sumare")</f>
        <v>Jardim Sumare</v>
      </c>
    </row>
    <row r="2159" customFormat="false" ht="15.75" hidden="false" customHeight="false" outlineLevel="0" collapsed="false">
      <c r="A2159" s="2" t="n">
        <v>190949</v>
      </c>
      <c r="B2159" s="2" t="s">
        <v>1348</v>
      </c>
      <c r="C2159" s="2" t="n">
        <v>2</v>
      </c>
      <c r="D2159" s="2" t="n">
        <v>1</v>
      </c>
      <c r="E2159" s="2" t="n">
        <v>1</v>
      </c>
      <c r="F2159" s="2" t="n">
        <v>43</v>
      </c>
      <c r="G2159" s="2" t="s">
        <v>525</v>
      </c>
      <c r="H2159" s="2" t="str">
        <f aca="false">IFERROR(__xludf.dummyfunction("IF(I2176="""", """", REGEXEXTRACT(I2176, ""Padrao/([^/]+)""))"),"Loteamento Santa Marta")</f>
        <v>Loteamento Santa Marta</v>
      </c>
    </row>
    <row r="2160" customFormat="false" ht="15.75" hidden="false" customHeight="false" outlineLevel="0" collapsed="false">
      <c r="A2160" s="2" t="n">
        <v>190301</v>
      </c>
      <c r="B2160" s="2" t="s">
        <v>1862</v>
      </c>
      <c r="C2160" s="2" t="n">
        <v>2</v>
      </c>
      <c r="D2160" s="2" t="n">
        <v>1</v>
      </c>
      <c r="E2160" s="2" t="n">
        <v>1</v>
      </c>
      <c r="F2160" s="2" t="n">
        <v>40</v>
      </c>
      <c r="G2160" s="2" t="s">
        <v>525</v>
      </c>
      <c r="H2160" s="2" t="str">
        <f aca="false">IFERROR(__xludf.dummyfunction("IF(I2177="""", """", REGEXEXTRACT(I2177, ""Padrao/([^/]+)""))"),"Jardim Ouro Branco")</f>
        <v>Jardim Ouro Branco</v>
      </c>
    </row>
    <row r="2161" customFormat="false" ht="15.75" hidden="false" customHeight="false" outlineLevel="0" collapsed="false">
      <c r="A2161" s="2" t="n">
        <v>188528</v>
      </c>
      <c r="B2161" s="2" t="s">
        <v>1698</v>
      </c>
      <c r="C2161" s="2" t="n">
        <v>2</v>
      </c>
      <c r="D2161" s="2" t="n">
        <v>1</v>
      </c>
      <c r="E2161" s="2" t="n">
        <v>1</v>
      </c>
      <c r="F2161" s="2" t="n">
        <v>46</v>
      </c>
      <c r="G2161" s="2" t="s">
        <v>525</v>
      </c>
      <c r="H2161" s="2" t="str">
        <f aca="false">IFERROR(__xludf.dummyfunction("IF(I2178="""", """", REGEXEXTRACT(I2178, ""Padrao/([^/]+)""))"),"Parque Industrial Lagoinha")</f>
        <v>Parque Industrial Lagoinha</v>
      </c>
    </row>
    <row r="2162" customFormat="false" ht="15.75" hidden="false" customHeight="false" outlineLevel="0" collapsed="false">
      <c r="A2162" s="2" t="n">
        <v>185867</v>
      </c>
      <c r="B2162" s="2" t="s">
        <v>1863</v>
      </c>
      <c r="C2162" s="2" t="n">
        <v>2</v>
      </c>
      <c r="D2162" s="2" t="n">
        <v>1</v>
      </c>
      <c r="E2162" s="2" t="n">
        <v>1</v>
      </c>
      <c r="F2162" s="2" t="n">
        <v>43</v>
      </c>
      <c r="G2162" s="2" t="s">
        <v>525</v>
      </c>
      <c r="H2162" s="2" t="str">
        <f aca="false">IFERROR(__xludf.dummyfunction("IF(I2179="""", """", REGEXEXTRACT(I2179, ""Padrao/([^/]+)""))"),"Loteamento Santa Marta")</f>
        <v>Loteamento Santa Marta</v>
      </c>
    </row>
    <row r="2163" customFormat="false" ht="15.75" hidden="false" customHeight="false" outlineLevel="0" collapsed="false">
      <c r="A2163" s="2" t="n">
        <v>184883</v>
      </c>
      <c r="B2163" s="2" t="s">
        <v>1833</v>
      </c>
      <c r="C2163" s="2" t="n">
        <v>2</v>
      </c>
      <c r="D2163" s="2" t="n">
        <v>1</v>
      </c>
      <c r="E2163" s="2" t="n">
        <v>1</v>
      </c>
      <c r="F2163" s="2" t="n">
        <v>42</v>
      </c>
      <c r="G2163" s="2" t="s">
        <v>525</v>
      </c>
      <c r="H2163" s="2" t="str">
        <f aca="false">IFERROR(__xludf.dummyfunction("IF(I2180="""", """", REGEXEXTRACT(I2180, ""Padrao/([^/]+)""))"),"Jardim Jose Wilson Toni")</f>
        <v>Jardim Jose Wilson Toni</v>
      </c>
    </row>
    <row r="2164" customFormat="false" ht="15.75" hidden="false" customHeight="false" outlineLevel="0" collapsed="false">
      <c r="A2164" s="2" t="n">
        <v>178436</v>
      </c>
      <c r="B2164" s="2" t="s">
        <v>1221</v>
      </c>
      <c r="C2164" s="2" t="n">
        <v>2</v>
      </c>
      <c r="D2164" s="2" t="n">
        <v>2</v>
      </c>
      <c r="E2164" s="2" t="n">
        <v>1</v>
      </c>
      <c r="F2164" s="2" t="n">
        <v>56</v>
      </c>
      <c r="G2164" s="2" t="s">
        <v>525</v>
      </c>
      <c r="H2164" s="2" t="str">
        <f aca="false">IFERROR(__xludf.dummyfunction("IF(I2181="""", """", REGEXEXTRACT(I2181, ""Padrao/([^/]+)""))"),"Chacaras Pedro Correa de Carvalho")</f>
        <v>Chacaras Pedro Correa de Carvalho</v>
      </c>
    </row>
    <row r="2165" customFormat="false" ht="15.75" hidden="false" customHeight="false" outlineLevel="0" collapsed="false">
      <c r="A2165" s="2" t="n">
        <v>177302</v>
      </c>
      <c r="B2165" s="2" t="s">
        <v>961</v>
      </c>
      <c r="C2165" s="2" t="n">
        <v>2</v>
      </c>
      <c r="D2165" s="2" t="n">
        <v>2</v>
      </c>
      <c r="E2165" s="2" t="n">
        <v>1</v>
      </c>
      <c r="F2165" s="2" t="n">
        <v>70</v>
      </c>
      <c r="G2165" s="2" t="s">
        <v>525</v>
      </c>
      <c r="H2165" s="2" t="str">
        <f aca="false">IFERROR(__xludf.dummyfunction("IF(I2182="""", """", REGEXEXTRACT(I2182, ""Padrao/([^/]+)""))"),"Vila Seixas")</f>
        <v>Vila Seixas</v>
      </c>
    </row>
    <row r="2166" customFormat="false" ht="15.75" hidden="false" customHeight="false" outlineLevel="0" collapsed="false">
      <c r="A2166" s="2" t="n">
        <v>176042</v>
      </c>
      <c r="B2166" s="2" t="s">
        <v>956</v>
      </c>
      <c r="C2166" s="2" t="n">
        <v>2</v>
      </c>
      <c r="D2166" s="2" t="n">
        <v>1</v>
      </c>
      <c r="E2166" s="2" t="n">
        <v>1</v>
      </c>
      <c r="F2166" s="2" t="n">
        <v>69</v>
      </c>
      <c r="G2166" s="2" t="s">
        <v>525</v>
      </c>
      <c r="H2166" s="2" t="str">
        <f aca="false">IFERROR(__xludf.dummyfunction("IF(I2183="""", """", REGEXEXTRACT(I2183, ""Padrao/([^/]+)""))"),"Ipiranga")</f>
        <v>Ipiranga</v>
      </c>
    </row>
    <row r="2167" customFormat="false" ht="15.75" hidden="false" customHeight="false" outlineLevel="0" collapsed="false">
      <c r="A2167" s="2" t="n">
        <v>175130</v>
      </c>
      <c r="B2167" s="2" t="s">
        <v>851</v>
      </c>
      <c r="C2167" s="2" t="n">
        <v>2</v>
      </c>
      <c r="D2167" s="2" t="n">
        <v>1</v>
      </c>
      <c r="E2167" s="2" t="n">
        <v>1</v>
      </c>
      <c r="F2167" s="2" t="n">
        <v>40</v>
      </c>
      <c r="G2167" s="2" t="s">
        <v>525</v>
      </c>
      <c r="H2167" s="2" t="str">
        <f aca="false">IFERROR(__xludf.dummyfunction("IF(I2184="""", """", REGEXEXTRACT(I2184, ""Padrao/([^/]+)""))"),"Ipiranga")</f>
        <v>Ipiranga</v>
      </c>
    </row>
    <row r="2168" customFormat="false" ht="15.75" hidden="false" customHeight="false" outlineLevel="0" collapsed="false">
      <c r="A2168" s="2" t="n">
        <v>174671</v>
      </c>
      <c r="B2168" s="2" t="s">
        <v>1864</v>
      </c>
      <c r="C2168" s="2" t="n">
        <v>2</v>
      </c>
      <c r="D2168" s="2" t="n">
        <v>2</v>
      </c>
      <c r="E2168" s="2" t="n">
        <v>1</v>
      </c>
      <c r="F2168" s="2" t="n">
        <v>56</v>
      </c>
      <c r="G2168" s="2" t="s">
        <v>525</v>
      </c>
      <c r="H2168" s="2" t="str">
        <f aca="false">IFERROR(__xludf.dummyfunction("IF(I2185="""", """", REGEXEXTRACT(I2185, ""Padrao/([^/]+)""))"),"Valentina Figueiredo")</f>
        <v>Valentina Figueiredo</v>
      </c>
    </row>
    <row r="2169" customFormat="false" ht="15.75" hidden="false" customHeight="false" outlineLevel="0" collapsed="false">
      <c r="A2169" s="2" t="n">
        <v>174446</v>
      </c>
      <c r="B2169" s="2" t="s">
        <v>984</v>
      </c>
      <c r="C2169" s="2" t="n">
        <v>2</v>
      </c>
      <c r="D2169" s="2" t="n">
        <v>1</v>
      </c>
      <c r="E2169" s="2" t="n">
        <v>1</v>
      </c>
      <c r="F2169" s="2" t="n">
        <v>52</v>
      </c>
      <c r="G2169" s="2" t="s">
        <v>525</v>
      </c>
      <c r="H2169" s="2" t="str">
        <f aca="false">IFERROR(__xludf.dummyfunction("IF(I2186="""", """", REGEXEXTRACT(I2186, ""Padrao/([^/]+)""))"),"Chacaras Pedro Correa de Carvalho")</f>
        <v>Chacaras Pedro Correa de Carvalho</v>
      </c>
    </row>
    <row r="2170" customFormat="false" ht="15.75" hidden="false" customHeight="false" outlineLevel="0" collapsed="false">
      <c r="A2170" s="2" t="n">
        <v>174341</v>
      </c>
      <c r="B2170" s="2" t="s">
        <v>1275</v>
      </c>
      <c r="C2170" s="2" t="n">
        <v>2</v>
      </c>
      <c r="D2170" s="2" t="n">
        <v>1</v>
      </c>
      <c r="E2170" s="2" t="n">
        <v>1</v>
      </c>
      <c r="F2170" s="2" t="n">
        <v>42</v>
      </c>
      <c r="G2170" s="2" t="s">
        <v>525</v>
      </c>
      <c r="H2170" s="2" t="str">
        <f aca="false">IFERROR(__xludf.dummyfunction("IF(I2187="""", """", REGEXEXTRACT(I2187, ""Padrao/([^/]+)""))"),"Jardim Jose Wilson Toni")</f>
        <v>Jardim Jose Wilson Toni</v>
      </c>
    </row>
    <row r="2171" customFormat="false" ht="15.75" hidden="false" customHeight="false" outlineLevel="0" collapsed="false">
      <c r="A2171" s="2" t="n">
        <v>170786</v>
      </c>
      <c r="B2171" s="2" t="s">
        <v>162</v>
      </c>
      <c r="C2171" s="2" t="n">
        <v>2</v>
      </c>
      <c r="D2171" s="2" t="n">
        <v>1</v>
      </c>
      <c r="E2171" s="2" t="n">
        <v>1</v>
      </c>
      <c r="F2171" s="2" t="n">
        <v>46</v>
      </c>
      <c r="G2171" s="2" t="s">
        <v>525</v>
      </c>
      <c r="H2171" s="2" t="str">
        <f aca="false">IFERROR(__xludf.dummyfunction("IF(I2188="""", """", REGEXEXTRACT(I2188, ""Padrao/([^/]+)""))"),"Vila Virginia")</f>
        <v>Vila Virginia</v>
      </c>
    </row>
    <row r="2172" customFormat="false" ht="15.75" hidden="false" customHeight="false" outlineLevel="0" collapsed="false">
      <c r="A2172" s="2" t="n">
        <v>168917</v>
      </c>
      <c r="B2172" s="2" t="s">
        <v>1865</v>
      </c>
      <c r="C2172" s="2" t="n">
        <v>2</v>
      </c>
      <c r="D2172" s="2" t="n">
        <v>1</v>
      </c>
      <c r="E2172" s="2" t="n">
        <v>1</v>
      </c>
      <c r="F2172" s="2" t="n">
        <v>51</v>
      </c>
      <c r="G2172" s="2" t="s">
        <v>525</v>
      </c>
      <c r="H2172" s="2" t="str">
        <f aca="false">IFERROR(__xludf.dummyfunction("IF(I2189="""", """", REGEXEXTRACT(I2189, ""Padrao/([^/]+)""))"),"Presidente Medici")</f>
        <v>Presidente Medici</v>
      </c>
    </row>
    <row r="2173" customFormat="false" ht="15.75" hidden="false" customHeight="false" outlineLevel="0" collapsed="false">
      <c r="A2173" s="2" t="n">
        <v>166721</v>
      </c>
      <c r="B2173" s="2" t="s">
        <v>1866</v>
      </c>
      <c r="C2173" s="2" t="n">
        <v>2</v>
      </c>
      <c r="D2173" s="2" t="n">
        <v>2</v>
      </c>
      <c r="E2173" s="2" t="n">
        <v>1</v>
      </c>
      <c r="F2173" s="2" t="n">
        <v>74</v>
      </c>
      <c r="G2173" s="2" t="s">
        <v>525</v>
      </c>
      <c r="H2173" s="2" t="str">
        <f aca="false">IFERROR(__xludf.dummyfunction("IF(I2190="""", """", REGEXEXTRACT(I2190, ""Padrao/([^/]+)""))"),"Parque dos Bandeirantes")</f>
        <v>Parque dos Bandeirantes</v>
      </c>
    </row>
    <row r="2174" customFormat="false" ht="15.75" hidden="false" customHeight="false" outlineLevel="0" collapsed="false">
      <c r="A2174" s="2" t="n">
        <v>163520</v>
      </c>
      <c r="B2174" s="2" t="s">
        <v>1101</v>
      </c>
      <c r="C2174" s="2" t="n">
        <v>2</v>
      </c>
      <c r="D2174" s="2" t="n">
        <v>1</v>
      </c>
      <c r="E2174" s="2" t="n">
        <v>1</v>
      </c>
      <c r="F2174" s="2" t="n">
        <v>56</v>
      </c>
      <c r="G2174" s="2" t="s">
        <v>525</v>
      </c>
      <c r="H2174" s="2" t="str">
        <f aca="false">IFERROR(__xludf.dummyfunction("IF(I2191="""", """", REGEXEXTRACT(I2191, ""Padrao/([^/]+)""))"),"Vila Amelia")</f>
        <v>Vila Amelia</v>
      </c>
    </row>
    <row r="2175" customFormat="false" ht="15.75" hidden="false" customHeight="false" outlineLevel="0" collapsed="false">
      <c r="A2175" s="2" t="n">
        <v>162728</v>
      </c>
      <c r="B2175" s="2" t="s">
        <v>1867</v>
      </c>
      <c r="C2175" s="2" t="n">
        <v>3</v>
      </c>
      <c r="D2175" s="2" t="n">
        <v>2</v>
      </c>
      <c r="E2175" s="2" t="n">
        <v>1</v>
      </c>
      <c r="F2175" s="2" t="n">
        <v>59</v>
      </c>
      <c r="G2175" s="2" t="s">
        <v>525</v>
      </c>
      <c r="H2175" s="2" t="str">
        <f aca="false">IFERROR(__xludf.dummyfunction("IF(I2192="""", """", REGEXEXTRACT(I2192, ""Padrao/([^/]+)""))"),"Campos Eliseos")</f>
        <v>Campos Eliseos</v>
      </c>
    </row>
    <row r="2176" customFormat="false" ht="15.75" hidden="false" customHeight="false" outlineLevel="0" collapsed="false">
      <c r="A2176" s="2" t="n">
        <v>160973</v>
      </c>
      <c r="B2176" s="2" t="s">
        <v>1868</v>
      </c>
      <c r="C2176" s="2" t="n">
        <v>2</v>
      </c>
      <c r="D2176" s="2" t="n">
        <v>1</v>
      </c>
      <c r="E2176" s="2" t="n">
        <v>1</v>
      </c>
      <c r="F2176" s="2" t="n">
        <v>42</v>
      </c>
      <c r="G2176" s="2" t="s">
        <v>525</v>
      </c>
      <c r="H2176" s="2" t="str">
        <f aca="false">IFERROR(__xludf.dummyfunction("IF(I2193="""", """", REGEXEXTRACT(I2193, ""Padrao/([^/]+)""))"),"Jardim Itau")</f>
        <v>Jardim Itau</v>
      </c>
    </row>
    <row r="2177" customFormat="false" ht="15.75" hidden="false" customHeight="false" outlineLevel="0" collapsed="false">
      <c r="A2177" s="2" t="n">
        <v>157739</v>
      </c>
      <c r="B2177" s="2" t="s">
        <v>1262</v>
      </c>
      <c r="C2177" s="2" t="n">
        <v>2</v>
      </c>
      <c r="D2177" s="2" t="n">
        <v>1</v>
      </c>
      <c r="E2177" s="2" t="n">
        <v>1</v>
      </c>
      <c r="F2177" s="2" t="n">
        <v>51</v>
      </c>
      <c r="G2177" s="2" t="s">
        <v>525</v>
      </c>
      <c r="H2177" s="2" t="str">
        <f aca="false">IFERROR(__xludf.dummyfunction("IF(I2194="""", """", REGEXEXTRACT(I2194, ""Padrao/([^/]+)""))"),"Presidente Medici")</f>
        <v>Presidente Medici</v>
      </c>
    </row>
    <row r="2178" customFormat="false" ht="15.75" hidden="false" customHeight="false" outlineLevel="0" collapsed="false">
      <c r="A2178" s="2" t="n">
        <v>154412</v>
      </c>
      <c r="B2178" s="2" t="s">
        <v>1869</v>
      </c>
      <c r="C2178" s="2" t="n">
        <v>1</v>
      </c>
      <c r="D2178" s="2" t="n">
        <v>1</v>
      </c>
      <c r="E2178" s="2" t="n">
        <v>1</v>
      </c>
      <c r="F2178" s="2" t="n">
        <v>39</v>
      </c>
      <c r="G2178" s="2" t="s">
        <v>525</v>
      </c>
      <c r="H2178" s="2" t="str">
        <f aca="false">IFERROR(__xludf.dummyfunction("IF(I2195="""", """", REGEXEXTRACT(I2195, ""Padrao/([^/]+)""))"),"Vila Seixas")</f>
        <v>Vila Seixas</v>
      </c>
    </row>
    <row r="2179" customFormat="false" ht="15.75" hidden="false" customHeight="false" outlineLevel="0" collapsed="false">
      <c r="A2179" s="2" t="n">
        <v>151481</v>
      </c>
      <c r="B2179" s="2" t="s">
        <v>1870</v>
      </c>
      <c r="C2179" s="2" t="n">
        <v>2</v>
      </c>
      <c r="D2179" s="2" t="n">
        <v>1</v>
      </c>
      <c r="E2179" s="2" t="n">
        <v>1</v>
      </c>
      <c r="F2179" s="2" t="n">
        <v>46</v>
      </c>
      <c r="G2179" s="2" t="s">
        <v>525</v>
      </c>
      <c r="H2179" s="2" t="str">
        <f aca="false">IFERROR(__xludf.dummyfunction("IF(I2196="""", """", REGEXEXTRACT(I2196, ""Padrao/([^/]+)""))"),"Parque Industrial Lagoinha")</f>
        <v>Parque Industrial Lagoinha</v>
      </c>
    </row>
    <row r="2180" customFormat="false" ht="15.75" hidden="false" customHeight="false" outlineLevel="0" collapsed="false">
      <c r="A2180" s="2" t="n">
        <v>149906</v>
      </c>
      <c r="B2180" s="2" t="s">
        <v>1221</v>
      </c>
      <c r="C2180" s="2" t="n">
        <v>1</v>
      </c>
      <c r="D2180" s="2" t="n">
        <v>1</v>
      </c>
      <c r="E2180" s="2" t="n">
        <v>1</v>
      </c>
      <c r="F2180" s="2" t="n">
        <v>35</v>
      </c>
      <c r="G2180" s="2" t="s">
        <v>525</v>
      </c>
      <c r="H2180" s="2" t="str">
        <f aca="false">IFERROR(__xludf.dummyfunction("IF(I2197="""", """", REGEXEXTRACT(I2197, ""Padrao/([^/]+)""))"),"Quintas de Sao Jose")</f>
        <v>Quintas de Sao Jose</v>
      </c>
    </row>
    <row r="2181" customFormat="false" ht="15.75" hidden="false" customHeight="false" outlineLevel="0" collapsed="false">
      <c r="A2181" s="2" t="n">
        <v>146909</v>
      </c>
      <c r="B2181" s="2" t="s">
        <v>1871</v>
      </c>
      <c r="C2181" s="2" t="n">
        <v>1</v>
      </c>
      <c r="D2181" s="2" t="n">
        <v>1</v>
      </c>
      <c r="E2181" s="2" t="n">
        <v>1</v>
      </c>
      <c r="F2181" s="2" t="n">
        <v>42</v>
      </c>
      <c r="G2181" s="2" t="s">
        <v>525</v>
      </c>
      <c r="H2181" s="2" t="str">
        <f aca="false">IFERROR(__xludf.dummyfunction("IF(I2198="""", """", REGEXEXTRACT(I2198, ""Padrao/([^/]+)""))"),"Nova Alianca")</f>
        <v>Nova Alianca</v>
      </c>
    </row>
    <row r="2182" customFormat="false" ht="15.75" hidden="false" customHeight="false" outlineLevel="0" collapsed="false">
      <c r="A2182" s="2" t="n">
        <v>146153</v>
      </c>
      <c r="B2182" s="2" t="s">
        <v>1872</v>
      </c>
      <c r="C2182" s="2" t="n">
        <v>2</v>
      </c>
      <c r="D2182" s="2" t="n">
        <v>1</v>
      </c>
      <c r="E2182" s="2" t="n">
        <v>1</v>
      </c>
      <c r="F2182" s="2" t="n">
        <v>66</v>
      </c>
      <c r="G2182" s="2" t="s">
        <v>525</v>
      </c>
      <c r="H2182" s="2" t="str">
        <f aca="false">IFERROR(__xludf.dummyfunction("IF(I2199="""", """", REGEXEXTRACT(I2199, ""Padrao/([^/]+)""))"),"Republica")</f>
        <v>Republica</v>
      </c>
    </row>
    <row r="2183" customFormat="false" ht="15.75" hidden="false" customHeight="false" outlineLevel="0" collapsed="false">
      <c r="A2183" s="2" t="n">
        <v>145244</v>
      </c>
      <c r="B2183" s="2" t="s">
        <v>440</v>
      </c>
      <c r="C2183" s="2" t="n">
        <v>1</v>
      </c>
      <c r="D2183" s="2" t="n">
        <v>1</v>
      </c>
      <c r="E2183" s="2" t="n">
        <v>1</v>
      </c>
      <c r="F2183" s="2" t="n">
        <v>43</v>
      </c>
      <c r="G2183" s="2" t="s">
        <v>525</v>
      </c>
      <c r="H2183" s="2" t="str">
        <f aca="false">IFERROR(__xludf.dummyfunction("IF(I2200="""", """", REGEXEXTRACT(I2200, ""Padrao/([^/]+)""))"),"Centro")</f>
        <v>Centro</v>
      </c>
    </row>
    <row r="2184" customFormat="false" ht="15.75" hidden="false" customHeight="false" outlineLevel="0" collapsed="false">
      <c r="A2184" s="2" t="n">
        <v>144404</v>
      </c>
      <c r="B2184" s="2" t="s">
        <v>1790</v>
      </c>
      <c r="C2184" s="2" t="n">
        <v>2</v>
      </c>
      <c r="D2184" s="2" t="n">
        <v>1</v>
      </c>
      <c r="E2184" s="2" t="n">
        <v>1</v>
      </c>
      <c r="F2184" s="2" t="n">
        <v>48</v>
      </c>
      <c r="G2184" s="2" t="s">
        <v>525</v>
      </c>
      <c r="H2184" s="2" t="str">
        <f aca="false">IFERROR(__xludf.dummyfunction("IF(I2201="""", """", REGEXEXTRACT(I2201, ""Padrao/([^/]+)""))"),"Vila Maria Luiza")</f>
        <v>Vila Maria Luiza</v>
      </c>
    </row>
    <row r="2185" customFormat="false" ht="15.75" hidden="false" customHeight="false" outlineLevel="0" collapsed="false">
      <c r="A2185" s="2" t="n">
        <v>142808</v>
      </c>
      <c r="B2185" s="2" t="s">
        <v>1873</v>
      </c>
      <c r="C2185" s="2" t="n">
        <v>3</v>
      </c>
      <c r="D2185" s="2" t="n">
        <v>2</v>
      </c>
      <c r="E2185" s="2" t="n">
        <v>1</v>
      </c>
      <c r="F2185" s="2" t="n">
        <v>71</v>
      </c>
      <c r="G2185" s="2" t="s">
        <v>525</v>
      </c>
      <c r="H2185" s="2" t="str">
        <f aca="false">IFERROR(__xludf.dummyfunction("IF(I2202="""", """", REGEXEXTRACT(I2202, ""Padrao/([^/]+)""))"),"Independencia")</f>
        <v>Independencia</v>
      </c>
    </row>
    <row r="2186" customFormat="false" ht="15.75" hidden="false" customHeight="false" outlineLevel="0" collapsed="false">
      <c r="A2186" s="2" t="n">
        <v>142583</v>
      </c>
      <c r="B2186" s="2" t="s">
        <v>1874</v>
      </c>
      <c r="C2186" s="2" t="n">
        <v>3</v>
      </c>
      <c r="D2186" s="2" t="n">
        <v>1</v>
      </c>
      <c r="E2186" s="2" t="n">
        <v>1</v>
      </c>
      <c r="F2186" s="2" t="n">
        <v>63</v>
      </c>
      <c r="G2186" s="2" t="s">
        <v>525</v>
      </c>
      <c r="H2186" s="2" t="str">
        <f aca="false">IFERROR(__xludf.dummyfunction("IF(I2203="""", """", REGEXEXTRACT(I2203, ""Padrao/([^/]+)""))"),"Jardim Interlagos")</f>
        <v>Jardim Interlagos</v>
      </c>
    </row>
    <row r="2187" customFormat="false" ht="15.75" hidden="false" customHeight="false" outlineLevel="0" collapsed="false">
      <c r="A2187" s="2" t="n">
        <v>136586</v>
      </c>
      <c r="B2187" s="2" t="s">
        <v>1875</v>
      </c>
      <c r="C2187" s="2" t="n">
        <v>2</v>
      </c>
      <c r="D2187" s="2" t="n">
        <v>1</v>
      </c>
      <c r="E2187" s="2" t="n">
        <v>1</v>
      </c>
      <c r="F2187" s="2" t="n">
        <v>43</v>
      </c>
      <c r="G2187" s="2" t="s">
        <v>525</v>
      </c>
      <c r="H2187" s="2" t="str">
        <f aca="false">IFERROR(__xludf.dummyfunction("IF(I2204="""", """", REGEXEXTRACT(I2204, ""Padrao/([^/]+)""))"),"Parque dos Lagos")</f>
        <v>Parque dos Lagos</v>
      </c>
    </row>
    <row r="2188" customFormat="false" ht="15.75" hidden="false" customHeight="false" outlineLevel="0" collapsed="false">
      <c r="A2188" s="2" t="n">
        <v>136508</v>
      </c>
      <c r="B2188" s="2" t="s">
        <v>1876</v>
      </c>
      <c r="C2188" s="2" t="n">
        <v>1</v>
      </c>
      <c r="D2188" s="2" t="n">
        <v>1</v>
      </c>
      <c r="E2188" s="2" t="n">
        <v>1</v>
      </c>
      <c r="F2188" s="2" t="n">
        <v>56</v>
      </c>
      <c r="G2188" s="2" t="s">
        <v>525</v>
      </c>
      <c r="H2188" s="2" t="str">
        <f aca="false">IFERROR(__xludf.dummyfunction("IF(I2205="""", """", REGEXEXTRACT(I2205, ""Padrao/([^/]+)""))"),"Vila Monte Alegre")</f>
        <v>Vila Monte Alegre</v>
      </c>
    </row>
    <row r="2189" customFormat="false" ht="15.75" hidden="false" customHeight="false" outlineLevel="0" collapsed="false">
      <c r="A2189" s="2" t="n">
        <v>133712</v>
      </c>
      <c r="B2189" s="2" t="s">
        <v>1877</v>
      </c>
      <c r="C2189" s="2" t="n">
        <v>2</v>
      </c>
      <c r="D2189" s="2" t="n">
        <v>1</v>
      </c>
      <c r="E2189" s="2" t="n">
        <v>1</v>
      </c>
      <c r="F2189" s="2" t="n">
        <v>40</v>
      </c>
      <c r="G2189" s="2" t="s">
        <v>525</v>
      </c>
      <c r="H2189" s="2" t="str">
        <f aca="false">IFERROR(__xludf.dummyfunction("IF(I2206="""", """", REGEXEXTRACT(I2206, ""Padrao/([^/]+)""))"),"Jardim Castelo Branco")</f>
        <v>Jardim Castelo Branco</v>
      </c>
    </row>
    <row r="2190" customFormat="false" ht="15.75" hidden="false" customHeight="false" outlineLevel="0" collapsed="false">
      <c r="A2190" s="2" t="n">
        <v>133166</v>
      </c>
      <c r="B2190" s="2" t="s">
        <v>162</v>
      </c>
      <c r="C2190" s="2" t="n">
        <v>2</v>
      </c>
      <c r="D2190" s="2" t="n">
        <v>1</v>
      </c>
      <c r="E2190" s="2" t="n">
        <v>1</v>
      </c>
      <c r="F2190" s="2" t="n">
        <v>47</v>
      </c>
      <c r="G2190" s="2" t="s">
        <v>525</v>
      </c>
      <c r="H2190" s="2" t="str">
        <f aca="false">IFERROR(__xludf.dummyfunction("IF(I2207="""", """", REGEXEXTRACT(I2207, ""Padrao/([^/]+)""))"),"Residencial Jequitiba")</f>
        <v>Residencial Jequitiba</v>
      </c>
    </row>
    <row r="2191" customFormat="false" ht="15.75" hidden="false" customHeight="false" outlineLevel="0" collapsed="false">
      <c r="A2191" s="2" t="n">
        <v>132260</v>
      </c>
      <c r="B2191" s="2" t="s">
        <v>162</v>
      </c>
      <c r="C2191" s="2" t="n">
        <v>3</v>
      </c>
      <c r="D2191" s="2" t="n">
        <v>2</v>
      </c>
      <c r="E2191" s="2" t="n">
        <v>1</v>
      </c>
      <c r="F2191" s="2" t="n">
        <v>59</v>
      </c>
      <c r="G2191" s="2" t="s">
        <v>525</v>
      </c>
      <c r="H2191" s="2" t="str">
        <f aca="false">IFERROR(__xludf.dummyfunction("IF(I2208="""", """", REGEXEXTRACT(I2208, ""Padrao/([^/]+)""))"),"Campos Eliseos")</f>
        <v>Campos Eliseos</v>
      </c>
    </row>
    <row r="2192" customFormat="false" ht="15.75" hidden="false" customHeight="false" outlineLevel="0" collapsed="false">
      <c r="A2192" s="2" t="n">
        <v>129629</v>
      </c>
      <c r="B2192" s="2" t="s">
        <v>1878</v>
      </c>
      <c r="C2192" s="2" t="n">
        <v>1</v>
      </c>
      <c r="D2192" s="2" t="n">
        <v>1</v>
      </c>
      <c r="E2192" s="2" t="n">
        <v>1</v>
      </c>
      <c r="F2192" s="2" t="n">
        <v>54</v>
      </c>
      <c r="G2192" s="2" t="s">
        <v>525</v>
      </c>
      <c r="H2192" s="2" t="str">
        <f aca="false">IFERROR(__xludf.dummyfunction("IF(I2209="""", """", REGEXEXTRACT(I2209, ""Padrao/([^/]+)""))"),"Centro")</f>
        <v>Centro</v>
      </c>
    </row>
    <row r="2193" customFormat="false" ht="15.75" hidden="false" customHeight="false" outlineLevel="0" collapsed="false">
      <c r="A2193" s="2" t="n">
        <v>129395</v>
      </c>
      <c r="B2193" s="2" t="s">
        <v>1879</v>
      </c>
      <c r="C2193" s="2" t="n">
        <v>2</v>
      </c>
      <c r="D2193" s="2" t="n">
        <v>1</v>
      </c>
      <c r="E2193" s="2" t="n">
        <v>1</v>
      </c>
      <c r="F2193" s="2" t="n">
        <v>46</v>
      </c>
      <c r="G2193" s="2" t="s">
        <v>525</v>
      </c>
      <c r="H2193" s="2" t="str">
        <f aca="false">IFERROR(__xludf.dummyfunction("IF(I2210="""", """", REGEXEXTRACT(I2210, ""Padrao/([^/]+)""))"),"Residencial Jequitiba")</f>
        <v>Residencial Jequitiba</v>
      </c>
    </row>
    <row r="2194" customFormat="false" ht="15.75" hidden="false" customHeight="false" outlineLevel="0" collapsed="false">
      <c r="A2194" s="2" t="n">
        <v>126293</v>
      </c>
      <c r="B2194" s="2" t="s">
        <v>1880</v>
      </c>
      <c r="C2194" s="2" t="n">
        <v>1</v>
      </c>
      <c r="D2194" s="2" t="n">
        <v>1</v>
      </c>
      <c r="E2194" s="2" t="n">
        <v>1</v>
      </c>
      <c r="F2194" s="2" t="n">
        <v>27</v>
      </c>
      <c r="G2194" s="2" t="s">
        <v>525</v>
      </c>
      <c r="H2194" s="2" t="str">
        <f aca="false">IFERROR(__xludf.dummyfunction("IF(I2211="""", """", REGEXEXTRACT(I2211, ""Padrao/([^/]+)""))"),"Jardim Paulista")</f>
        <v>Jardim Paulista</v>
      </c>
    </row>
    <row r="2195" customFormat="false" ht="15.75" hidden="false" customHeight="false" outlineLevel="0" collapsed="false">
      <c r="A2195" s="2" t="n">
        <v>122132</v>
      </c>
      <c r="B2195" s="2" t="s">
        <v>1881</v>
      </c>
      <c r="C2195" s="2" t="n">
        <v>2</v>
      </c>
      <c r="D2195" s="2" t="n">
        <v>1</v>
      </c>
      <c r="E2195" s="2" t="n">
        <v>1</v>
      </c>
      <c r="F2195" s="2" t="n">
        <v>44</v>
      </c>
      <c r="G2195" s="2" t="s">
        <v>525</v>
      </c>
      <c r="H2195" s="2" t="str">
        <f aca="false">IFERROR(__xludf.dummyfunction("IF(I2212="""", """", REGEXEXTRACT(I2212, ""Padrao/([^/]+)""))"),"Residencial Greenville")</f>
        <v>Residencial Greenville</v>
      </c>
    </row>
    <row r="2196" customFormat="false" ht="15.75" hidden="false" customHeight="false" outlineLevel="0" collapsed="false">
      <c r="A2196" s="2" t="n">
        <v>121601</v>
      </c>
      <c r="B2196" s="2" t="s">
        <v>1882</v>
      </c>
      <c r="C2196" s="2" t="n">
        <v>2</v>
      </c>
      <c r="D2196" s="2" t="n">
        <v>1</v>
      </c>
      <c r="E2196" s="2" t="n">
        <v>1</v>
      </c>
      <c r="F2196" s="2" t="n">
        <v>50</v>
      </c>
      <c r="G2196" s="2" t="s">
        <v>525</v>
      </c>
      <c r="H2196" s="2" t="str">
        <f aca="false">IFERROR(__xludf.dummyfunction("IF(I2213="""", """", REGEXEXTRACT(I2213, ""Padrao/([^/]+)""))"),"Vila Maria Luiza")</f>
        <v>Vila Maria Luiza</v>
      </c>
    </row>
    <row r="2197" customFormat="false" ht="15.75" hidden="false" customHeight="false" outlineLevel="0" collapsed="false">
      <c r="A2197" s="2" t="n">
        <v>116426</v>
      </c>
      <c r="B2197" s="2" t="s">
        <v>1883</v>
      </c>
      <c r="C2197" s="2" t="n">
        <v>2</v>
      </c>
      <c r="D2197" s="2" t="n">
        <v>1</v>
      </c>
      <c r="E2197" s="2" t="n">
        <v>1</v>
      </c>
      <c r="F2197" s="2" t="n">
        <v>48</v>
      </c>
      <c r="G2197" s="2" t="s">
        <v>525</v>
      </c>
      <c r="H2197" s="2" t="str">
        <f aca="false">IFERROR(__xludf.dummyfunction("IF(I2214="""", """", REGEXEXTRACT(I2214, ""Padrao/([^/]+)""))"),"Vila Virginia")</f>
        <v>Vila Virginia</v>
      </c>
    </row>
    <row r="2198" customFormat="false" ht="15.75" hidden="false" customHeight="false" outlineLevel="0" collapsed="false">
      <c r="A2198" s="2" t="n">
        <v>113858</v>
      </c>
      <c r="B2198" s="2" t="s">
        <v>1884</v>
      </c>
      <c r="C2198" s="2" t="n">
        <v>2</v>
      </c>
      <c r="D2198" s="2" t="n">
        <v>1</v>
      </c>
      <c r="E2198" s="2" t="n">
        <v>1</v>
      </c>
      <c r="F2198" s="2" t="n">
        <v>47</v>
      </c>
      <c r="G2198" s="2" t="s">
        <v>525</v>
      </c>
      <c r="H2198" s="2" t="str">
        <f aca="false">IFERROR(__xludf.dummyfunction("IF(I2215="""", """", REGEXEXTRACT(I2215, ""Padrao/([^/]+)""))"),"Campos Eliseos")</f>
        <v>Campos Eliseos</v>
      </c>
    </row>
    <row r="2199" customFormat="false" ht="15.75" hidden="false" customHeight="false" outlineLevel="0" collapsed="false">
      <c r="A2199" s="2" t="n">
        <v>112790</v>
      </c>
      <c r="B2199" s="2" t="s">
        <v>162</v>
      </c>
      <c r="C2199" s="2" t="n">
        <v>2</v>
      </c>
      <c r="D2199" s="2" t="n">
        <v>1</v>
      </c>
      <c r="E2199" s="2" t="n">
        <v>1</v>
      </c>
      <c r="F2199" s="2" t="n">
        <v>47</v>
      </c>
      <c r="G2199" s="2" t="s">
        <v>525</v>
      </c>
      <c r="H2199" s="2" t="str">
        <f aca="false">IFERROR(__xludf.dummyfunction("IF(I2216="""", """", REGEXEXTRACT(I2216, ""Padrao/([^/]+)""))"),"City Ribeirao")</f>
        <v>City Ribeirao</v>
      </c>
    </row>
    <row r="2200" customFormat="false" ht="15.75" hidden="false" customHeight="false" outlineLevel="0" collapsed="false">
      <c r="A2200" s="2" t="n">
        <v>103355</v>
      </c>
      <c r="B2200" s="2" t="s">
        <v>1885</v>
      </c>
      <c r="C2200" s="2" t="n">
        <v>1</v>
      </c>
      <c r="D2200" s="2" t="n">
        <v>1</v>
      </c>
      <c r="E2200" s="2" t="n">
        <v>1</v>
      </c>
      <c r="F2200" s="2" t="n">
        <v>48</v>
      </c>
      <c r="G2200" s="2" t="s">
        <v>525</v>
      </c>
      <c r="H2200" s="2" t="str">
        <f aca="false">IFERROR(__xludf.dummyfunction("IF(I2217="""", """", REGEXEXTRACT(I2217, ""Padrao/([^/]+)""))"),"Centro")</f>
        <v>Centro</v>
      </c>
    </row>
    <row r="2201" customFormat="false" ht="15.75" hidden="false" customHeight="false" outlineLevel="0" collapsed="false">
      <c r="A2201" s="2" t="n">
        <v>99071</v>
      </c>
      <c r="B2201" s="2" t="s">
        <v>1886</v>
      </c>
      <c r="C2201" s="2" t="n">
        <v>2</v>
      </c>
      <c r="D2201" s="2" t="n">
        <v>2</v>
      </c>
      <c r="E2201" s="2" t="n">
        <v>1</v>
      </c>
      <c r="F2201" s="2" t="n">
        <v>57</v>
      </c>
      <c r="G2201" s="2" t="s">
        <v>525</v>
      </c>
      <c r="H2201" s="2" t="str">
        <f aca="false">IFERROR(__xludf.dummyfunction("IF(I2218="""", """", REGEXEXTRACT(I2218, ""Padrao/([^/]+)""))"),"Jardim Paulista")</f>
        <v>Jardim Paulista</v>
      </c>
    </row>
    <row r="2202" customFormat="false" ht="15.75" hidden="false" customHeight="false" outlineLevel="0" collapsed="false">
      <c r="A2202" s="2" t="n">
        <v>94844</v>
      </c>
      <c r="B2202" s="2" t="s">
        <v>1887</v>
      </c>
      <c r="C2202" s="2" t="n">
        <v>1</v>
      </c>
      <c r="D2202" s="2" t="n">
        <v>1</v>
      </c>
      <c r="E2202" s="2" t="n">
        <v>1</v>
      </c>
      <c r="F2202" s="2" t="n">
        <v>41</v>
      </c>
      <c r="G2202" s="2" t="s">
        <v>525</v>
      </c>
      <c r="H2202" s="2" t="str">
        <f aca="false">IFERROR(__xludf.dummyfunction("IF(I2219="""", """", REGEXEXTRACT(I2219, ""Padrao/([^/]+)""))"),"Vila Amelia")</f>
        <v>Vila Amelia</v>
      </c>
    </row>
    <row r="2203" customFormat="false" ht="15.75" hidden="false" customHeight="false" outlineLevel="0" collapsed="false">
      <c r="A2203" s="2" t="n">
        <v>89603</v>
      </c>
      <c r="B2203" s="2" t="s">
        <v>162</v>
      </c>
      <c r="C2203" s="2" t="n">
        <v>2</v>
      </c>
      <c r="D2203" s="2" t="n">
        <v>1</v>
      </c>
      <c r="E2203" s="2" t="n">
        <v>1</v>
      </c>
      <c r="F2203" s="2" t="n">
        <v>77</v>
      </c>
      <c r="G2203" s="2" t="s">
        <v>525</v>
      </c>
      <c r="H2203" s="2" t="str">
        <f aca="false">IFERROR(__xludf.dummyfunction("IF(I2220="""", """", REGEXEXTRACT(I2220, ""Padrao/([^/]+)""))"),"Jardim Antartica")</f>
        <v>Jardim Antartica</v>
      </c>
    </row>
    <row r="2204" customFormat="false" ht="15.75" hidden="false" customHeight="false" outlineLevel="0" collapsed="false">
      <c r="A2204" s="2" t="n">
        <v>89396</v>
      </c>
      <c r="B2204" s="2" t="s">
        <v>1888</v>
      </c>
      <c r="C2204" s="2" t="n">
        <v>2</v>
      </c>
      <c r="D2204" s="2" t="n">
        <v>1</v>
      </c>
      <c r="E2204" s="2" t="n">
        <v>1</v>
      </c>
      <c r="F2204" s="2" t="n">
        <v>48</v>
      </c>
      <c r="G2204" s="2" t="s">
        <v>525</v>
      </c>
      <c r="H2204" s="2" t="str">
        <f aca="false">IFERROR(__xludf.dummyfunction("IF(I2221="""", """", REGEXEXTRACT(I2221, ""Padrao/([^/]+)""))"),"Alto da Boa Vista")</f>
        <v>Alto da Boa Vista</v>
      </c>
    </row>
    <row r="2205" customFormat="false" ht="15.75" hidden="false" customHeight="false" outlineLevel="0" collapsed="false">
      <c r="A2205" s="2" t="n">
        <v>88349</v>
      </c>
      <c r="B2205" s="2" t="s">
        <v>1889</v>
      </c>
      <c r="C2205" s="2" t="n">
        <v>1</v>
      </c>
      <c r="D2205" s="2" t="n">
        <v>1</v>
      </c>
      <c r="E2205" s="2" t="n">
        <v>1</v>
      </c>
      <c r="F2205" s="2" t="n">
        <v>38</v>
      </c>
      <c r="G2205" s="2" t="s">
        <v>525</v>
      </c>
      <c r="H2205" s="2" t="str">
        <f aca="false">IFERROR(__xludf.dummyfunction("IF(I2222="""", """", REGEXEXTRACT(I2222, ""Padrao/([^/]+)""))"),"Presidente Medici")</f>
        <v>Presidente Medici</v>
      </c>
    </row>
    <row r="2206" customFormat="false" ht="15.75" hidden="false" customHeight="false" outlineLevel="0" collapsed="false">
      <c r="A2206" s="2" t="n">
        <v>88268</v>
      </c>
      <c r="B2206" s="2" t="s">
        <v>1890</v>
      </c>
      <c r="C2206" s="2" t="n">
        <v>2</v>
      </c>
      <c r="D2206" s="2" t="n">
        <v>2</v>
      </c>
      <c r="E2206" s="2" t="n">
        <v>1</v>
      </c>
      <c r="F2206" s="2" t="n">
        <v>69</v>
      </c>
      <c r="G2206" s="2" t="s">
        <v>525</v>
      </c>
      <c r="H2206" s="2" t="str">
        <f aca="false">IFERROR(__xludf.dummyfunction("IF(I2223="""", """", REGEXEXTRACT(I2223, ""Padrao/([^/]+)""))"),"Independencia")</f>
        <v>Independencia</v>
      </c>
    </row>
    <row r="2207" customFormat="false" ht="15.75" hidden="false" customHeight="false" outlineLevel="0" collapsed="false">
      <c r="A2207" s="2" t="n">
        <v>87797</v>
      </c>
      <c r="B2207" s="2" t="s">
        <v>1745</v>
      </c>
      <c r="C2207" s="2" t="n">
        <v>2</v>
      </c>
      <c r="D2207" s="2" t="n">
        <v>1</v>
      </c>
      <c r="E2207" s="2" t="n">
        <v>1</v>
      </c>
      <c r="F2207" s="2" t="n">
        <v>45</v>
      </c>
      <c r="G2207" s="2" t="s">
        <v>525</v>
      </c>
      <c r="H2207" s="2" t="str">
        <f aca="false">IFERROR(__xludf.dummyfunction("IF(I2224="""", """", REGEXEXTRACT(I2224, ""Padrao/([^/]+)""))"),"Sumarezinho")</f>
        <v>Sumarezinho</v>
      </c>
    </row>
    <row r="2208" customFormat="false" ht="15.75" hidden="false" customHeight="false" outlineLevel="0" collapsed="false">
      <c r="A2208" s="2" t="n">
        <v>85553</v>
      </c>
      <c r="B2208" s="2" t="s">
        <v>602</v>
      </c>
      <c r="C2208" s="2" t="n">
        <v>1</v>
      </c>
      <c r="D2208" s="2" t="n">
        <v>1</v>
      </c>
      <c r="E2208" s="2" t="n">
        <v>1</v>
      </c>
      <c r="F2208" s="2" t="n">
        <v>64</v>
      </c>
      <c r="G2208" s="2" t="s">
        <v>525</v>
      </c>
      <c r="H2208" s="2" t="str">
        <f aca="false">IFERROR(__xludf.dummyfunction("IF(I2225="""", """", REGEXEXTRACT(I2225, ""Padrao/([^/]+)""))"),"Centro")</f>
        <v>Centro</v>
      </c>
    </row>
    <row r="2209" customFormat="false" ht="15.75" hidden="false" customHeight="false" outlineLevel="0" collapsed="false">
      <c r="A2209" s="2" t="n">
        <v>84761</v>
      </c>
      <c r="B2209" s="2" t="s">
        <v>1891</v>
      </c>
      <c r="C2209" s="2" t="n">
        <v>2</v>
      </c>
      <c r="D2209" s="2" t="n">
        <v>1</v>
      </c>
      <c r="E2209" s="2" t="n">
        <v>1</v>
      </c>
      <c r="F2209" s="2" t="n">
        <v>50</v>
      </c>
      <c r="G2209" s="2" t="s">
        <v>525</v>
      </c>
      <c r="H2209" s="2" t="str">
        <f aca="false">IFERROR(__xludf.dummyfunction("IF(I2226="""", """", REGEXEXTRACT(I2226, ""Padrao/([^/]+)""))"),"Residencial Greenville")</f>
        <v>Residencial Greenville</v>
      </c>
    </row>
    <row r="2210" customFormat="false" ht="15.75" hidden="false" customHeight="false" outlineLevel="0" collapsed="false">
      <c r="A2210" s="2" t="n">
        <v>84503</v>
      </c>
      <c r="B2210" s="2" t="s">
        <v>1892</v>
      </c>
      <c r="C2210" s="2" t="n">
        <v>2</v>
      </c>
      <c r="D2210" s="2" t="n">
        <v>1</v>
      </c>
      <c r="E2210" s="2" t="n">
        <v>1</v>
      </c>
      <c r="F2210" s="2" t="n">
        <v>47</v>
      </c>
      <c r="G2210" s="2" t="s">
        <v>525</v>
      </c>
      <c r="H2210" s="2" t="str">
        <f aca="false">IFERROR(__xludf.dummyfunction("IF(I2227="""", """", REGEXEXTRACT(I2227, ""Padrao/([^/]+)""))"),"Reserva Sul Condominio")</f>
        <v>Reserva Sul Condominio</v>
      </c>
    </row>
    <row r="2211" customFormat="false" ht="15.75" hidden="false" customHeight="false" outlineLevel="0" collapsed="false">
      <c r="A2211" s="2" t="n">
        <v>81056</v>
      </c>
      <c r="B2211" s="2" t="s">
        <v>1893</v>
      </c>
      <c r="C2211" s="2" t="n">
        <v>2</v>
      </c>
      <c r="D2211" s="2" t="n">
        <v>2</v>
      </c>
      <c r="E2211" s="2" t="n">
        <v>2</v>
      </c>
      <c r="F2211" s="2" t="n">
        <v>57</v>
      </c>
      <c r="G2211" s="2" t="s">
        <v>525</v>
      </c>
      <c r="H2211" s="2" t="str">
        <f aca="false">IFERROR(__xludf.dummyfunction("IF(I2228="""", """", REGEXEXTRACT(I2228, ""Padrao/([^/]+)""))"),"Planalto Verde")</f>
        <v>Planalto Verde</v>
      </c>
    </row>
    <row r="2212" customFormat="false" ht="15.75" hidden="false" customHeight="false" outlineLevel="0" collapsed="false">
      <c r="A2212" s="2" t="n">
        <v>75986</v>
      </c>
      <c r="B2212" s="2" t="s">
        <v>1894</v>
      </c>
      <c r="C2212" s="2" t="n">
        <v>2</v>
      </c>
      <c r="D2212" s="2" t="n">
        <v>2</v>
      </c>
      <c r="E2212" s="2" t="n">
        <v>1</v>
      </c>
      <c r="F2212" s="2" t="n">
        <v>58</v>
      </c>
      <c r="G2212" s="2" t="s">
        <v>525</v>
      </c>
      <c r="H2212" s="2" t="str">
        <f aca="false">IFERROR(__xludf.dummyfunction("IF(I2229="""", """", REGEXEXTRACT(I2229, ""Padrao/([^/]+)""))"),"Jardim Zara")</f>
        <v>Jardim Zara</v>
      </c>
    </row>
    <row r="2213" customFormat="false" ht="15.75" hidden="false" customHeight="false" outlineLevel="0" collapsed="false">
      <c r="A2213" s="2" t="n">
        <v>74528</v>
      </c>
      <c r="B2213" s="2" t="s">
        <v>1261</v>
      </c>
      <c r="C2213" s="2" t="n">
        <v>1</v>
      </c>
      <c r="D2213" s="2" t="n">
        <v>1</v>
      </c>
      <c r="E2213" s="2" t="n">
        <v>1</v>
      </c>
      <c r="F2213" s="2" t="n">
        <v>39</v>
      </c>
      <c r="G2213" s="2" t="s">
        <v>525</v>
      </c>
      <c r="H2213" s="2" t="str">
        <f aca="false">IFERROR(__xludf.dummyfunction("IF(I2230="""", """", REGEXEXTRACT(I2230, ""Padrao/([^/]+)""))"),"Vila Ana Maria")</f>
        <v>Vila Ana Maria</v>
      </c>
    </row>
    <row r="2214" customFormat="false" ht="15.75" hidden="false" customHeight="false" outlineLevel="0" collapsed="false">
      <c r="A2214" s="2" t="n">
        <v>67778</v>
      </c>
      <c r="B2214" s="2" t="s">
        <v>1895</v>
      </c>
      <c r="C2214" s="2" t="n">
        <v>2</v>
      </c>
      <c r="D2214" s="2" t="n">
        <v>2</v>
      </c>
      <c r="E2214" s="2" t="n">
        <v>1</v>
      </c>
      <c r="F2214" s="2" t="n">
        <v>63</v>
      </c>
      <c r="G2214" s="2" t="s">
        <v>525</v>
      </c>
      <c r="H2214" s="2" t="str">
        <f aca="false">IFERROR(__xludf.dummyfunction("IF(I2231="""", """", REGEXEXTRACT(I2231, ""Padrao/([^/]+)""))"),"Presidente Medici")</f>
        <v>Presidente Medici</v>
      </c>
    </row>
    <row r="2215" customFormat="false" ht="15.75" hidden="false" customHeight="false" outlineLevel="0" collapsed="false">
      <c r="A2215" s="2" t="n">
        <v>67511</v>
      </c>
      <c r="B2215" s="2" t="s">
        <v>1896</v>
      </c>
      <c r="C2215" s="2" t="n">
        <v>1</v>
      </c>
      <c r="D2215" s="2" t="n">
        <v>1</v>
      </c>
      <c r="E2215" s="2" t="n">
        <v>1</v>
      </c>
      <c r="F2215" s="2" t="n">
        <v>44</v>
      </c>
      <c r="G2215" s="2" t="s">
        <v>525</v>
      </c>
      <c r="H2215" s="2" t="str">
        <f aca="false">IFERROR(__xludf.dummyfunction("IF(I2232="""", """", REGEXEXTRACT(I2232, ""Padrao/([^/]+)""))"),"Jardim Sumare")</f>
        <v>Jardim Sumare</v>
      </c>
    </row>
    <row r="2216" customFormat="false" ht="15.75" hidden="false" customHeight="false" outlineLevel="0" collapsed="false">
      <c r="A2216" s="2" t="n">
        <v>66110</v>
      </c>
      <c r="B2216" s="2" t="s">
        <v>162</v>
      </c>
      <c r="C2216" s="2" t="n">
        <v>3</v>
      </c>
      <c r="D2216" s="2" t="n">
        <v>2</v>
      </c>
      <c r="E2216" s="2" t="n">
        <v>1</v>
      </c>
      <c r="F2216" s="2" t="n">
        <v>70</v>
      </c>
      <c r="G2216" s="2" t="s">
        <v>525</v>
      </c>
      <c r="H2216" s="2" t="str">
        <f aca="false">IFERROR(__xludf.dummyfunction("IF(I2233="""", """", REGEXEXTRACT(I2233, ""Padrao/([^/]+)""))"),"Parque Industrial Lagoinha")</f>
        <v>Parque Industrial Lagoinha</v>
      </c>
    </row>
    <row r="2217" customFormat="false" ht="15.75" hidden="false" customHeight="false" outlineLevel="0" collapsed="false">
      <c r="A2217" s="2" t="n">
        <v>65747</v>
      </c>
      <c r="B2217" s="2" t="s">
        <v>1897</v>
      </c>
      <c r="C2217" s="2" t="n">
        <v>3</v>
      </c>
      <c r="D2217" s="2" t="n">
        <v>1</v>
      </c>
      <c r="E2217" s="2" t="n">
        <v>1</v>
      </c>
      <c r="F2217" s="2" t="n">
        <v>66</v>
      </c>
      <c r="G2217" s="2" t="s">
        <v>525</v>
      </c>
      <c r="H2217" s="2" t="str">
        <f aca="false">IFERROR(__xludf.dummyfunction("IF(I2234="""", """", REGEXEXTRACT(I2234, ""Padrao/([^/]+)""))"),"Parque Industrial Lagoinha")</f>
        <v>Parque Industrial Lagoinha</v>
      </c>
    </row>
    <row r="2218" customFormat="false" ht="15.75" hidden="false" customHeight="false" outlineLevel="0" collapsed="false">
      <c r="A2218" s="2" t="n">
        <v>21389</v>
      </c>
      <c r="B2218" s="2" t="s">
        <v>162</v>
      </c>
      <c r="C2218" s="2" t="n">
        <v>2</v>
      </c>
      <c r="D2218" s="2" t="n">
        <v>1</v>
      </c>
      <c r="E2218" s="2" t="n">
        <v>1</v>
      </c>
      <c r="F2218" s="2" t="n">
        <v>55</v>
      </c>
      <c r="G2218" s="2" t="s">
        <v>525</v>
      </c>
      <c r="H2218" s="2" t="str">
        <f aca="false">IFERROR(__xludf.dummyfunction("IF(I2236="""", """", REGEXEXTRACT(I2236, ""Padrao/([^/]+)""))"),"Jardim Paulista")</f>
        <v>Jardim Paulista</v>
      </c>
    </row>
    <row r="2219" customFormat="false" ht="15.75" hidden="false" customHeight="false" outlineLevel="0" collapsed="false">
      <c r="A2219" s="2" t="n">
        <v>102452</v>
      </c>
      <c r="B2219" s="2" t="s">
        <v>1898</v>
      </c>
      <c r="C2219" s="2" t="n">
        <v>2</v>
      </c>
      <c r="D2219" s="2" t="n">
        <v>2</v>
      </c>
      <c r="E2219" s="2" t="n">
        <v>2</v>
      </c>
      <c r="F2219" s="2" t="n">
        <v>53</v>
      </c>
      <c r="G2219" s="2" t="s">
        <v>1899</v>
      </c>
      <c r="H2219" s="2" t="str">
        <f aca="false">IFERROR(__xludf.dummyfunction("IF(I2237="""", """", REGEXEXTRACT(I2237, ""Padrao/([^/]+)""))"),"Reserva Sul Condominio")</f>
        <v>Reserva Sul Condominio</v>
      </c>
    </row>
    <row r="2220" customFormat="false" ht="15.75" hidden="false" customHeight="false" outlineLevel="0" collapsed="false">
      <c r="A2220" s="2" t="n">
        <v>44561</v>
      </c>
      <c r="B2220" s="2" t="s">
        <v>1900</v>
      </c>
      <c r="C2220" s="2" t="n">
        <v>2</v>
      </c>
      <c r="D2220" s="2" t="n">
        <v>1</v>
      </c>
      <c r="E2220" s="2" t="n">
        <v>1</v>
      </c>
      <c r="F2220" s="2" t="n">
        <v>46</v>
      </c>
      <c r="G2220" s="2" t="s">
        <v>1899</v>
      </c>
      <c r="H2220" s="2" t="str">
        <f aca="false">IFERROR(__xludf.dummyfunction("IF(I2238="""", """", REGEXEXTRACT(I2238, ""Padrao/([^/]+)""))"),"Jardim Paulistano")</f>
        <v>Jardim Paulistano</v>
      </c>
    </row>
    <row r="2221" customFormat="false" ht="15.75" hidden="false" customHeight="false" outlineLevel="0" collapsed="false">
      <c r="A2221" s="2" t="n">
        <v>169973</v>
      </c>
      <c r="B2221" s="2" t="s">
        <v>1761</v>
      </c>
      <c r="C2221" s="2" t="n">
        <v>2</v>
      </c>
      <c r="D2221" s="2" t="n">
        <v>2</v>
      </c>
      <c r="E2221" s="2" t="n">
        <v>1</v>
      </c>
      <c r="F2221" s="2" t="n">
        <v>62</v>
      </c>
      <c r="G2221" s="2" t="s">
        <v>1901</v>
      </c>
      <c r="H2221" s="2" t="str">
        <f aca="false">IFERROR(__xludf.dummyfunction("IF(I2239="""", """", REGEXEXTRACT(I2239, ""Padrao/([^/]+)""))"),"Jardim Zara")</f>
        <v>Jardim Zara</v>
      </c>
    </row>
    <row r="2222" customFormat="false" ht="15.75" hidden="false" customHeight="false" outlineLevel="0" collapsed="false">
      <c r="A2222" s="2" t="n">
        <v>212858</v>
      </c>
      <c r="B2222" s="2" t="s">
        <v>722</v>
      </c>
      <c r="C2222" s="2" t="n">
        <v>2</v>
      </c>
      <c r="D2222" s="2" t="n">
        <v>1</v>
      </c>
      <c r="E2222" s="2" t="n">
        <v>1</v>
      </c>
      <c r="F2222" s="2" t="n">
        <v>42</v>
      </c>
      <c r="G2222" s="2" t="s">
        <v>742</v>
      </c>
      <c r="H2222" s="2" t="str">
        <f aca="false">IFERROR(__xludf.dummyfunction("IF(I2240="""", """", REGEXEXTRACT(I2240, ""Padrao/([^/]+)""))"),"Jardim Heitor Rigon")</f>
        <v>Jardim Heitor Rigon</v>
      </c>
    </row>
    <row r="2223" customFormat="false" ht="15.75" hidden="false" customHeight="false" outlineLevel="0" collapsed="false">
      <c r="A2223" s="2" t="n">
        <v>130037</v>
      </c>
      <c r="B2223" s="2" t="s">
        <v>1902</v>
      </c>
      <c r="C2223" s="2" t="n">
        <v>2</v>
      </c>
      <c r="D2223" s="2" t="n">
        <v>1</v>
      </c>
      <c r="E2223" s="2" t="n">
        <v>1</v>
      </c>
      <c r="F2223" s="2" t="n">
        <v>47</v>
      </c>
      <c r="G2223" s="2" t="s">
        <v>464</v>
      </c>
      <c r="H2223" s="2" t="str">
        <f aca="false">IFERROR(__xludf.dummyfunction("IF(I2241="""", """", REGEXEXTRACT(I2241, ""Padrao/([^/]+)""))"),"Jardim Manoel Penna")</f>
        <v>Jardim Manoel Penna</v>
      </c>
    </row>
    <row r="2224" customFormat="false" ht="15.75" hidden="false" customHeight="false" outlineLevel="0" collapsed="false">
      <c r="A2224" s="2" t="n">
        <v>170123</v>
      </c>
      <c r="B2224" s="2" t="s">
        <v>1903</v>
      </c>
      <c r="C2224" s="2" t="n">
        <v>2</v>
      </c>
      <c r="D2224" s="2" t="n">
        <v>1</v>
      </c>
      <c r="E2224" s="2" t="n">
        <v>1</v>
      </c>
      <c r="F2224" s="2" t="n">
        <v>40</v>
      </c>
      <c r="G2224" s="2" t="s">
        <v>1329</v>
      </c>
      <c r="H2224" s="2" t="str">
        <f aca="false">IFERROR(__xludf.dummyfunction("IF(I2242="""", """", REGEXEXTRACT(I2242, ""Padrao/([^/]+)""))"),"Jardim Ouro Branco")</f>
        <v>Jardim Ouro Branco</v>
      </c>
    </row>
    <row r="2225" customFormat="false" ht="15.75" hidden="false" customHeight="false" outlineLevel="0" collapsed="false">
      <c r="A2225" s="2" t="n">
        <v>118463</v>
      </c>
      <c r="B2225" s="2" t="s">
        <v>1904</v>
      </c>
      <c r="C2225" s="2" t="n">
        <v>2</v>
      </c>
      <c r="D2225" s="2" t="n">
        <v>1</v>
      </c>
      <c r="E2225" s="2" t="n">
        <v>1</v>
      </c>
      <c r="F2225" s="2" t="n">
        <v>49</v>
      </c>
      <c r="G2225" s="2" t="s">
        <v>513</v>
      </c>
      <c r="H2225" s="2" t="str">
        <f aca="false">IFERROR(__xludf.dummyfunction("IF(I2243="""", """", REGEXEXTRACT(I2243, ""Padrao/([^/]+)""))"),"Jardim Santa Cecilia")</f>
        <v>Jardim Santa Cecilia</v>
      </c>
    </row>
    <row r="2226" customFormat="false" ht="15.75" hidden="false" customHeight="false" outlineLevel="0" collapsed="false">
      <c r="A2226" s="2" t="n">
        <v>179144</v>
      </c>
      <c r="B2226" s="2" t="s">
        <v>1287</v>
      </c>
      <c r="C2226" s="2" t="n">
        <v>2</v>
      </c>
      <c r="D2226" s="2" t="n">
        <v>1</v>
      </c>
      <c r="E2226" s="2" t="n">
        <v>1</v>
      </c>
      <c r="F2226" s="2" t="n">
        <v>46</v>
      </c>
      <c r="G2226" s="2" t="s">
        <v>525</v>
      </c>
      <c r="H2226" s="2" t="str">
        <f aca="false">IFERROR(__xludf.dummyfunction("IF(I2244="""", """", REGEXEXTRACT(I2244, ""Padrao/([^/]+)""))"),"Sumarezinho")</f>
        <v>Sumarezinho</v>
      </c>
    </row>
    <row r="2227" customFormat="false" ht="15.75" hidden="false" customHeight="false" outlineLevel="0" collapsed="false">
      <c r="A2227" s="2" t="n">
        <v>220466</v>
      </c>
      <c r="B2227" s="2" t="s">
        <v>1721</v>
      </c>
      <c r="C2227" s="2" t="n">
        <v>1</v>
      </c>
      <c r="D2227" s="2" t="n">
        <v>1</v>
      </c>
      <c r="E2227" s="2" t="n">
        <v>1</v>
      </c>
      <c r="F2227" s="2" t="n">
        <v>34</v>
      </c>
      <c r="G2227" s="2" t="s">
        <v>1905</v>
      </c>
      <c r="H2227" s="2" t="str">
        <f aca="false">IFERROR(__xludf.dummyfunction("IF(I2245="""", """", REGEXEXTRACT(I2245, ""Padrao/([^/]+)""))"),"Quintas de Sao Jose")</f>
        <v>Quintas de Sao Jose</v>
      </c>
    </row>
    <row r="2228" customFormat="false" ht="15.75" hidden="false" customHeight="false" outlineLevel="0" collapsed="false">
      <c r="A2228" s="2" t="n">
        <v>196616</v>
      </c>
      <c r="B2228" s="2" t="s">
        <v>602</v>
      </c>
      <c r="C2228" s="2" t="n">
        <v>1</v>
      </c>
      <c r="D2228" s="2" t="n">
        <v>1</v>
      </c>
      <c r="E2228" s="2" t="n">
        <v>1</v>
      </c>
      <c r="F2228" s="2" t="n">
        <v>46</v>
      </c>
      <c r="G2228" s="2" t="s">
        <v>1905</v>
      </c>
      <c r="H2228" s="2" t="str">
        <f aca="false">IFERROR(__xludf.dummyfunction("IF(I2246="""", """", REGEXEXTRACT(I2246, ""Padrao/([^/]+)""))"),"Centro")</f>
        <v>Centro</v>
      </c>
    </row>
    <row r="2229" customFormat="false" ht="15.75" hidden="false" customHeight="false" outlineLevel="0" collapsed="false">
      <c r="A2229" s="2" t="n">
        <v>189896</v>
      </c>
      <c r="B2229" s="2" t="s">
        <v>1906</v>
      </c>
      <c r="C2229" s="2" t="n">
        <v>2</v>
      </c>
      <c r="D2229" s="2" t="n">
        <v>1</v>
      </c>
      <c r="E2229" s="2" t="n">
        <v>1</v>
      </c>
      <c r="F2229" s="2" t="n">
        <v>43</v>
      </c>
      <c r="G2229" s="2" t="s">
        <v>1905</v>
      </c>
      <c r="H2229" s="2" t="str">
        <f aca="false">IFERROR(__xludf.dummyfunction("IF(I2247="""", """", REGEXEXTRACT(I2247, ""Padrao/([^/]+)""))"),"Loteamento Santa Marta")</f>
        <v>Loteamento Santa Marta</v>
      </c>
    </row>
    <row r="2230" customFormat="false" ht="15.75" hidden="false" customHeight="false" outlineLevel="0" collapsed="false">
      <c r="A2230" s="2" t="n">
        <v>187748</v>
      </c>
      <c r="B2230" s="2" t="s">
        <v>1907</v>
      </c>
      <c r="C2230" s="2" t="n">
        <v>2</v>
      </c>
      <c r="D2230" s="2" t="n">
        <v>1</v>
      </c>
      <c r="E2230" s="2" t="n">
        <v>1</v>
      </c>
      <c r="F2230" s="2" t="n">
        <v>40</v>
      </c>
      <c r="G2230" s="2" t="s">
        <v>1905</v>
      </c>
      <c r="H2230" s="2" t="str">
        <f aca="false">IFERROR(__xludf.dummyfunction("IF(I2248="""", """", REGEXEXTRACT(I2248, ""Padrao/([^/]+)""))"),"Recreio das Acacias")</f>
        <v>Recreio das Acacias</v>
      </c>
    </row>
    <row r="2231" customFormat="false" ht="15.75" hidden="false" customHeight="false" outlineLevel="0" collapsed="false">
      <c r="A2231" s="2" t="n">
        <v>150962</v>
      </c>
      <c r="B2231" s="2" t="s">
        <v>1908</v>
      </c>
      <c r="C2231" s="2" t="n">
        <v>2</v>
      </c>
      <c r="D2231" s="2" t="n">
        <v>1</v>
      </c>
      <c r="E2231" s="2" t="n">
        <v>1</v>
      </c>
      <c r="F2231" s="2" t="n">
        <v>41</v>
      </c>
      <c r="G2231" s="2" t="s">
        <v>1905</v>
      </c>
      <c r="H2231" s="2" t="str">
        <f aca="false">IFERROR(__xludf.dummyfunction("IF(I2249="""", """", REGEXEXTRACT(I2249, ""Padrao/([^/]+)""))"),"Reserva Real")</f>
        <v>Reserva Real</v>
      </c>
    </row>
    <row r="2232" customFormat="false" ht="15.75" hidden="false" customHeight="false" outlineLevel="0" collapsed="false">
      <c r="A2232" s="2" t="n">
        <v>149117</v>
      </c>
      <c r="B2232" s="2" t="s">
        <v>1909</v>
      </c>
      <c r="C2232" s="2" t="n">
        <v>3</v>
      </c>
      <c r="D2232" s="2" t="n">
        <v>2</v>
      </c>
      <c r="E2232" s="2" t="n">
        <v>1</v>
      </c>
      <c r="F2232" s="2" t="n">
        <v>71</v>
      </c>
      <c r="G2232" s="2" t="s">
        <v>1905</v>
      </c>
      <c r="H2232" s="2" t="str">
        <f aca="false">IFERROR(__xludf.dummyfunction("IF(I2250="""", """", REGEXEXTRACT(I2250, ""Padrao/([^/]+)""))"),"Vila Amelia")</f>
        <v>Vila Amelia</v>
      </c>
    </row>
    <row r="2233" customFormat="false" ht="15.75" hidden="false" customHeight="false" outlineLevel="0" collapsed="false">
      <c r="A2233" s="2" t="n">
        <v>148307</v>
      </c>
      <c r="B2233" s="2" t="s">
        <v>1910</v>
      </c>
      <c r="C2233" s="2" t="n">
        <v>2</v>
      </c>
      <c r="D2233" s="2" t="n">
        <v>1</v>
      </c>
      <c r="E2233" s="2" t="n">
        <v>1</v>
      </c>
      <c r="F2233" s="2" t="n">
        <v>46</v>
      </c>
      <c r="G2233" s="2" t="s">
        <v>1905</v>
      </c>
      <c r="H2233" s="2" t="str">
        <f aca="false">IFERROR(__xludf.dummyfunction("IF(I2251="""", """", REGEXEXTRACT(I2251, ""Padrao/([^/]+)""))"),"Reserva Sul Condominio")</f>
        <v>Reserva Sul Condominio</v>
      </c>
    </row>
    <row r="2234" customFormat="false" ht="15.75" hidden="false" customHeight="false" outlineLevel="0" collapsed="false">
      <c r="A2234" s="2" t="n">
        <v>133385</v>
      </c>
      <c r="B2234" s="2" t="s">
        <v>1648</v>
      </c>
      <c r="C2234" s="2" t="n">
        <v>1</v>
      </c>
      <c r="D2234" s="2" t="n">
        <v>1</v>
      </c>
      <c r="E2234" s="2" t="n">
        <v>1</v>
      </c>
      <c r="F2234" s="2" t="n">
        <v>42</v>
      </c>
      <c r="G2234" s="2" t="s">
        <v>1905</v>
      </c>
      <c r="H2234" s="2" t="str">
        <f aca="false">IFERROR(__xludf.dummyfunction("IF(I2252="""", """", REGEXEXTRACT(I2252, ""Padrao/([^/]+)""))"),"Nova Alianca")</f>
        <v>Nova Alianca</v>
      </c>
    </row>
    <row r="2235" customFormat="false" ht="15.75" hidden="false" customHeight="false" outlineLevel="0" collapsed="false">
      <c r="A2235" s="2" t="n">
        <v>129983</v>
      </c>
      <c r="B2235" s="2" t="s">
        <v>162</v>
      </c>
      <c r="C2235" s="2" t="n">
        <v>2</v>
      </c>
      <c r="D2235" s="2" t="n">
        <v>1</v>
      </c>
      <c r="E2235" s="2" t="n">
        <v>1</v>
      </c>
      <c r="F2235" s="2" t="n">
        <v>68</v>
      </c>
      <c r="G2235" s="2" t="s">
        <v>1905</v>
      </c>
      <c r="H2235" s="2" t="str">
        <f aca="false">IFERROR(__xludf.dummyfunction("IF(I2253="""", """", REGEXEXTRACT(I2253, ""Padrao/([^/]+)""))"),"Ipiranga")</f>
        <v>Ipiranga</v>
      </c>
    </row>
    <row r="2236" customFormat="false" ht="15.75" hidden="false" customHeight="false" outlineLevel="0" collapsed="false">
      <c r="A2236" s="2" t="n">
        <v>89612</v>
      </c>
      <c r="B2236" s="2" t="s">
        <v>1911</v>
      </c>
      <c r="C2236" s="2" t="n">
        <v>1</v>
      </c>
      <c r="D2236" s="2" t="n">
        <v>1</v>
      </c>
      <c r="E2236" s="2" t="n">
        <v>1</v>
      </c>
      <c r="F2236" s="2" t="n">
        <v>34</v>
      </c>
      <c r="G2236" s="2" t="s">
        <v>1905</v>
      </c>
      <c r="H2236" s="2" t="str">
        <f aca="false">IFERROR(__xludf.dummyfunction("IF(I2254="""", """", REGEXEXTRACT(I2254, ""Padrao/([^/]+)""))"),"Vila Ana Maria")</f>
        <v>Vila Ana Maria</v>
      </c>
    </row>
    <row r="2237" customFormat="false" ht="15.75" hidden="false" customHeight="false" outlineLevel="0" collapsed="false">
      <c r="A2237" s="2" t="n">
        <v>165350</v>
      </c>
      <c r="B2237" s="2" t="s">
        <v>1912</v>
      </c>
      <c r="C2237" s="2" t="n">
        <v>2</v>
      </c>
      <c r="D2237" s="2" t="n">
        <v>1</v>
      </c>
      <c r="E2237" s="2" t="n">
        <v>1</v>
      </c>
      <c r="F2237" s="2" t="n">
        <v>42</v>
      </c>
      <c r="G2237" s="2" t="s">
        <v>1913</v>
      </c>
      <c r="H2237" s="2" t="str">
        <f aca="false">IFERROR(__xludf.dummyfunction("IF(I2255="""", """", REGEXEXTRACT(I2255, ""Padrao/([^/]+)""))"),"Jardim Jose Wilson Toni")</f>
        <v>Jardim Jose Wilson Toni</v>
      </c>
    </row>
    <row r="2238" customFormat="false" ht="15.75" hidden="false" customHeight="false" outlineLevel="0" collapsed="false">
      <c r="A2238" s="2" t="n">
        <v>113537</v>
      </c>
      <c r="B2238" s="2" t="s">
        <v>440</v>
      </c>
      <c r="C2238" s="2" t="n">
        <v>1</v>
      </c>
      <c r="D2238" s="2" t="n">
        <v>1</v>
      </c>
      <c r="E2238" s="2" t="n">
        <v>1</v>
      </c>
      <c r="F2238" s="2" t="n">
        <v>40</v>
      </c>
      <c r="G2238" s="2" t="s">
        <v>1913</v>
      </c>
      <c r="H2238" s="2" t="str">
        <f aca="false">IFERROR(__xludf.dummyfunction("IF(I2256="""", """", REGEXEXTRACT(I2256, ""Padrao/([^/]+)""))"),"Vila Ana Maria")</f>
        <v>Vila Ana Maria</v>
      </c>
    </row>
    <row r="2239" customFormat="false" ht="15.75" hidden="false" customHeight="false" outlineLevel="0" collapsed="false">
      <c r="A2239" s="2" t="n">
        <v>179681</v>
      </c>
      <c r="B2239" s="2" t="s">
        <v>984</v>
      </c>
      <c r="C2239" s="2" t="n">
        <v>2</v>
      </c>
      <c r="D2239" s="2" t="n">
        <v>2</v>
      </c>
      <c r="E2239" s="2" t="n">
        <v>1</v>
      </c>
      <c r="F2239" s="2" t="n">
        <v>56</v>
      </c>
      <c r="G2239" s="2" t="s">
        <v>527</v>
      </c>
      <c r="H2239" s="2" t="str">
        <f aca="false">IFERROR(__xludf.dummyfunction("IF(I2257="""", """", REGEXEXTRACT(I2257, ""Padrao/([^/]+)""))"),"Chacaras Pedro Correa de Carvalho")</f>
        <v>Chacaras Pedro Correa de Carvalho</v>
      </c>
    </row>
    <row r="2240" customFormat="false" ht="15.75" hidden="false" customHeight="false" outlineLevel="0" collapsed="false">
      <c r="A2240" s="2" t="n">
        <v>179678</v>
      </c>
      <c r="B2240" s="2" t="s">
        <v>984</v>
      </c>
      <c r="C2240" s="2" t="n">
        <v>2</v>
      </c>
      <c r="D2240" s="2" t="n">
        <v>2</v>
      </c>
      <c r="E2240" s="2" t="n">
        <v>1</v>
      </c>
      <c r="F2240" s="2" t="n">
        <v>56</v>
      </c>
      <c r="G2240" s="2" t="s">
        <v>527</v>
      </c>
      <c r="H2240" s="2" t="str">
        <f aca="false">IFERROR(__xludf.dummyfunction("IF(I2258="""", """", REGEXEXTRACT(I2258, ""Padrao/([^/]+)""))"),"Chacaras Pedro Correa de Carvalho")</f>
        <v>Chacaras Pedro Correa de Carvalho</v>
      </c>
    </row>
    <row r="2241" customFormat="false" ht="15.75" hidden="false" customHeight="false" outlineLevel="0" collapsed="false">
      <c r="A2241" s="2" t="n">
        <v>179672</v>
      </c>
      <c r="B2241" s="2" t="s">
        <v>984</v>
      </c>
      <c r="C2241" s="2" t="n">
        <v>2</v>
      </c>
      <c r="D2241" s="2" t="n">
        <v>2</v>
      </c>
      <c r="E2241" s="2" t="n">
        <v>1</v>
      </c>
      <c r="F2241" s="2" t="n">
        <v>56</v>
      </c>
      <c r="G2241" s="2" t="s">
        <v>527</v>
      </c>
      <c r="H2241" s="2" t="str">
        <f aca="false">IFERROR(__xludf.dummyfunction("IF(I2259="""", """", REGEXEXTRACT(I2259, ""Padrao/([^/]+)""))"),"Chacaras Pedro Correa de Carvalho")</f>
        <v>Chacaras Pedro Correa de Carvalho</v>
      </c>
    </row>
    <row r="2242" customFormat="false" ht="15.75" hidden="false" customHeight="false" outlineLevel="0" collapsed="false">
      <c r="A2242" s="2" t="n">
        <v>179666</v>
      </c>
      <c r="B2242" s="2" t="s">
        <v>984</v>
      </c>
      <c r="C2242" s="2" t="n">
        <v>2</v>
      </c>
      <c r="D2242" s="2" t="n">
        <v>2</v>
      </c>
      <c r="E2242" s="2" t="n">
        <v>1</v>
      </c>
      <c r="F2242" s="2" t="n">
        <v>56</v>
      </c>
      <c r="G2242" s="2" t="s">
        <v>527</v>
      </c>
      <c r="H2242" s="2" t="str">
        <f aca="false">IFERROR(__xludf.dummyfunction("IF(I2260="""", """", REGEXEXTRACT(I2260, ""Padrao/([^/]+)""))"),"Chacaras Pedro Correa de Carvalho")</f>
        <v>Chacaras Pedro Correa de Carvalho</v>
      </c>
    </row>
    <row r="2243" customFormat="false" ht="15.75" hidden="false" customHeight="false" outlineLevel="0" collapsed="false">
      <c r="A2243" s="2" t="n">
        <v>179654</v>
      </c>
      <c r="B2243" s="2" t="s">
        <v>984</v>
      </c>
      <c r="C2243" s="2" t="n">
        <v>2</v>
      </c>
      <c r="D2243" s="2" t="n">
        <v>2</v>
      </c>
      <c r="E2243" s="2" t="n">
        <v>1</v>
      </c>
      <c r="F2243" s="2" t="n">
        <v>56</v>
      </c>
      <c r="G2243" s="2" t="s">
        <v>527</v>
      </c>
      <c r="H2243" s="2" t="str">
        <f aca="false">IFERROR(__xludf.dummyfunction("IF(I2261="""", """", REGEXEXTRACT(I2261, ""Padrao/([^/]+)""))"),"Chacaras Pedro Correa de Carvalho")</f>
        <v>Chacaras Pedro Correa de Carvalho</v>
      </c>
    </row>
    <row r="2244" customFormat="false" ht="15.75" hidden="false" customHeight="false" outlineLevel="0" collapsed="false">
      <c r="A2244" s="2" t="n">
        <v>179645</v>
      </c>
      <c r="B2244" s="2" t="s">
        <v>984</v>
      </c>
      <c r="C2244" s="2" t="n">
        <v>2</v>
      </c>
      <c r="D2244" s="2" t="n">
        <v>2</v>
      </c>
      <c r="E2244" s="2" t="n">
        <v>1</v>
      </c>
      <c r="F2244" s="2" t="n">
        <v>56</v>
      </c>
      <c r="G2244" s="2" t="s">
        <v>527</v>
      </c>
      <c r="H2244" s="2" t="str">
        <f aca="false">IFERROR(__xludf.dummyfunction("IF(I2262="""", """", REGEXEXTRACT(I2262, ""Padrao/([^/]+)""))"),"Chacaras Pedro Correa de Carvalho")</f>
        <v>Chacaras Pedro Correa de Carvalho</v>
      </c>
    </row>
    <row r="2245" customFormat="false" ht="15.75" hidden="false" customHeight="false" outlineLevel="0" collapsed="false">
      <c r="A2245" s="2" t="n">
        <v>179642</v>
      </c>
      <c r="B2245" s="2" t="s">
        <v>984</v>
      </c>
      <c r="C2245" s="2" t="n">
        <v>2</v>
      </c>
      <c r="D2245" s="2" t="n">
        <v>2</v>
      </c>
      <c r="E2245" s="2" t="n">
        <v>1</v>
      </c>
      <c r="F2245" s="2" t="n">
        <v>56</v>
      </c>
      <c r="G2245" s="2" t="s">
        <v>527</v>
      </c>
      <c r="H2245" s="2" t="str">
        <f aca="false">IFERROR(__xludf.dummyfunction("IF(I2263="""", """", REGEXEXTRACT(I2263, ""Padrao/([^/]+)""))"),"Chacaras Pedro Correa de Carvalho")</f>
        <v>Chacaras Pedro Correa de Carvalho</v>
      </c>
    </row>
    <row r="2246" customFormat="false" ht="15.75" hidden="false" customHeight="false" outlineLevel="0" collapsed="false">
      <c r="A2246" s="2" t="n">
        <v>179639</v>
      </c>
      <c r="B2246" s="2" t="s">
        <v>984</v>
      </c>
      <c r="C2246" s="2" t="n">
        <v>2</v>
      </c>
      <c r="D2246" s="2" t="n">
        <v>2</v>
      </c>
      <c r="E2246" s="2" t="n">
        <v>1</v>
      </c>
      <c r="F2246" s="2" t="n">
        <v>56</v>
      </c>
      <c r="G2246" s="2" t="s">
        <v>527</v>
      </c>
      <c r="H2246" s="2" t="str">
        <f aca="false">IFERROR(__xludf.dummyfunction("IF(I2264="""", """", REGEXEXTRACT(I2264, ""Padrao/([^/]+)""))"),"Chacaras Pedro Correa de Carvalho")</f>
        <v>Chacaras Pedro Correa de Carvalho</v>
      </c>
    </row>
    <row r="2247" customFormat="false" ht="15.75" hidden="false" customHeight="false" outlineLevel="0" collapsed="false">
      <c r="A2247" s="2" t="n">
        <v>179630</v>
      </c>
      <c r="B2247" s="2" t="s">
        <v>984</v>
      </c>
      <c r="C2247" s="2" t="n">
        <v>2</v>
      </c>
      <c r="D2247" s="2" t="n">
        <v>2</v>
      </c>
      <c r="E2247" s="2" t="n">
        <v>1</v>
      </c>
      <c r="F2247" s="2" t="n">
        <v>56</v>
      </c>
      <c r="G2247" s="2" t="s">
        <v>527</v>
      </c>
      <c r="H2247" s="2" t="str">
        <f aca="false">IFERROR(__xludf.dummyfunction("IF(I2265="""", """", REGEXEXTRACT(I2265, ""Padrao/([^/]+)""))"),"Chacaras Pedro Correa de Carvalho")</f>
        <v>Chacaras Pedro Correa de Carvalho</v>
      </c>
    </row>
    <row r="2248" customFormat="false" ht="15.75" hidden="false" customHeight="false" outlineLevel="0" collapsed="false">
      <c r="A2248" s="2" t="n">
        <v>179627</v>
      </c>
      <c r="B2248" s="2" t="s">
        <v>984</v>
      </c>
      <c r="C2248" s="2" t="n">
        <v>2</v>
      </c>
      <c r="D2248" s="2" t="n">
        <v>2</v>
      </c>
      <c r="E2248" s="2" t="n">
        <v>1</v>
      </c>
      <c r="F2248" s="2" t="n">
        <v>56</v>
      </c>
      <c r="G2248" s="2" t="s">
        <v>527</v>
      </c>
      <c r="H2248" s="2" t="str">
        <f aca="false">IFERROR(__xludf.dummyfunction("IF(I2266="""", """", REGEXEXTRACT(I2266, ""Padrao/([^/]+)""))"),"Chacaras Pedro Correa de Carvalho")</f>
        <v>Chacaras Pedro Correa de Carvalho</v>
      </c>
    </row>
    <row r="2249" customFormat="false" ht="15.75" hidden="false" customHeight="false" outlineLevel="0" collapsed="false">
      <c r="A2249" s="2" t="n">
        <v>179624</v>
      </c>
      <c r="B2249" s="2" t="s">
        <v>984</v>
      </c>
      <c r="C2249" s="2" t="n">
        <v>2</v>
      </c>
      <c r="D2249" s="2" t="n">
        <v>2</v>
      </c>
      <c r="E2249" s="2" t="n">
        <v>1</v>
      </c>
      <c r="F2249" s="2" t="n">
        <v>56</v>
      </c>
      <c r="G2249" s="2" t="s">
        <v>527</v>
      </c>
      <c r="H2249" s="2" t="str">
        <f aca="false">IFERROR(__xludf.dummyfunction("IF(I2267="""", """", REGEXEXTRACT(I2267, ""Padrao/([^/]+)""))"),"Chacaras Pedro Correa de Carvalho")</f>
        <v>Chacaras Pedro Correa de Carvalho</v>
      </c>
    </row>
    <row r="2250" customFormat="false" ht="15.75" hidden="false" customHeight="false" outlineLevel="0" collapsed="false">
      <c r="A2250" s="2" t="n">
        <v>243113</v>
      </c>
      <c r="B2250" s="2" t="s">
        <v>430</v>
      </c>
      <c r="C2250" s="2" t="n">
        <v>2</v>
      </c>
      <c r="D2250" s="2" t="n">
        <v>1</v>
      </c>
      <c r="E2250" s="2" t="n">
        <v>1</v>
      </c>
      <c r="F2250" s="2" t="n">
        <v>41</v>
      </c>
      <c r="G2250" s="2" t="s">
        <v>474</v>
      </c>
      <c r="H2250" s="2" t="str">
        <f aca="false">IFERROR(__xludf.dummyfunction("IF(I2268="""", """", REGEXEXTRACT(I2268, ""Padrao/([^/]+)""))"),"Reserva Real")</f>
        <v>Reserva Real</v>
      </c>
    </row>
    <row r="2251" customFormat="false" ht="15.75" hidden="false" customHeight="false" outlineLevel="0" collapsed="false">
      <c r="A2251" s="2" t="n">
        <v>128606</v>
      </c>
      <c r="B2251" s="2" t="s">
        <v>1914</v>
      </c>
      <c r="C2251" s="2" t="n">
        <v>2</v>
      </c>
      <c r="D2251" s="2" t="n">
        <v>1</v>
      </c>
      <c r="E2251" s="2" t="n">
        <v>1</v>
      </c>
      <c r="F2251" s="2" t="n">
        <v>54</v>
      </c>
      <c r="G2251" s="2" t="s">
        <v>509</v>
      </c>
      <c r="H2251" s="2" t="str">
        <f aca="false">IFERROR(__xludf.dummyfunction("IF(I2269="""", """", REGEXEXTRACT(I2269, ""Padrao/([^/]+)""))"),"Jardim Zara")</f>
        <v>Jardim Zara</v>
      </c>
    </row>
    <row r="2252" customFormat="false" ht="15.75" hidden="false" customHeight="false" outlineLevel="0" collapsed="false">
      <c r="A2252" s="2" t="n">
        <v>219668</v>
      </c>
      <c r="B2252" s="2" t="s">
        <v>1915</v>
      </c>
      <c r="C2252" s="2" t="n">
        <v>1</v>
      </c>
      <c r="D2252" s="2" t="n">
        <v>1</v>
      </c>
      <c r="E2252" s="2" t="n">
        <v>1</v>
      </c>
      <c r="F2252" s="2" t="n">
        <v>45</v>
      </c>
      <c r="G2252" s="2" t="s">
        <v>515</v>
      </c>
      <c r="H2252" s="2" t="str">
        <f aca="false">IFERROR(__xludf.dummyfunction("IF(I2270="""", """", REGEXEXTRACT(I2270, ""Padrao/([^/]+)""))"),"Nova Alianca")</f>
        <v>Nova Alianca</v>
      </c>
    </row>
    <row r="2253" customFormat="false" ht="15.75" hidden="false" customHeight="false" outlineLevel="0" collapsed="false">
      <c r="A2253" s="2" t="n">
        <v>243305</v>
      </c>
      <c r="B2253" s="2" t="s">
        <v>1916</v>
      </c>
      <c r="C2253" s="2" t="n">
        <v>3</v>
      </c>
      <c r="D2253" s="2" t="n">
        <v>1</v>
      </c>
      <c r="E2253" s="2" t="n">
        <v>1</v>
      </c>
      <c r="F2253" s="2" t="n">
        <v>87</v>
      </c>
      <c r="G2253" s="2" t="s">
        <v>529</v>
      </c>
      <c r="H2253" s="2" t="str">
        <f aca="false">IFERROR(__xludf.dummyfunction("IF(I2271="""", """", REGEXEXTRACT(I2271, ""Padrao/([^/]+)""))"),"Jardim Paulistano")</f>
        <v>Jardim Paulistano</v>
      </c>
    </row>
    <row r="2254" customFormat="false" ht="15.75" hidden="false" customHeight="false" outlineLevel="0" collapsed="false">
      <c r="A2254" s="2" t="n">
        <v>240587</v>
      </c>
      <c r="B2254" s="2" t="s">
        <v>454</v>
      </c>
      <c r="C2254" s="2" t="n">
        <v>2</v>
      </c>
      <c r="D2254" s="2" t="n">
        <v>1</v>
      </c>
      <c r="E2254" s="2" t="n">
        <v>1</v>
      </c>
      <c r="F2254" s="2" t="n">
        <v>41</v>
      </c>
      <c r="G2254" s="2" t="s">
        <v>529</v>
      </c>
      <c r="H2254" s="2" t="str">
        <f aca="false">IFERROR(__xludf.dummyfunction("IF(I2272="""", """", REGEXEXTRACT(I2272, ""Padrao/([^/]+)""))"),"Reserva Real")</f>
        <v>Reserva Real</v>
      </c>
    </row>
    <row r="2255" customFormat="false" ht="15.75" hidden="false" customHeight="false" outlineLevel="0" collapsed="false">
      <c r="A2255" s="2" t="n">
        <v>235970</v>
      </c>
      <c r="B2255" s="2" t="s">
        <v>1917</v>
      </c>
      <c r="C2255" s="2" t="n">
        <v>2</v>
      </c>
      <c r="D2255" s="2" t="n">
        <v>1</v>
      </c>
      <c r="E2255" s="2" t="n">
        <v>1</v>
      </c>
      <c r="F2255" s="2" t="n">
        <v>41</v>
      </c>
      <c r="G2255" s="2" t="s">
        <v>529</v>
      </c>
      <c r="H2255" s="2" t="str">
        <f aca="false">IFERROR(__xludf.dummyfunction("IF(I2273="""", """", REGEXEXTRACT(I2273, ""Padrao/([^/]+)""))"),"Residencial Jequitiba")</f>
        <v>Residencial Jequitiba</v>
      </c>
    </row>
    <row r="2256" customFormat="false" ht="15.75" hidden="false" customHeight="false" outlineLevel="0" collapsed="false">
      <c r="A2256" s="2" t="n">
        <v>234635</v>
      </c>
      <c r="B2256" s="2" t="s">
        <v>1918</v>
      </c>
      <c r="C2256" s="2" t="n">
        <v>2</v>
      </c>
      <c r="D2256" s="2" t="n">
        <v>1</v>
      </c>
      <c r="E2256" s="2" t="n">
        <v>1</v>
      </c>
      <c r="F2256" s="2" t="n">
        <v>47</v>
      </c>
      <c r="G2256" s="2" t="s">
        <v>529</v>
      </c>
      <c r="H2256" s="2" t="str">
        <f aca="false">IFERROR(__xludf.dummyfunction("IF(I2274="""", """", REGEXEXTRACT(I2274, ""Padrao/([^/]+)""))"),"Reserva Sul Condominio")</f>
        <v>Reserva Sul Condominio</v>
      </c>
    </row>
    <row r="2257" customFormat="false" ht="15.75" hidden="false" customHeight="false" outlineLevel="0" collapsed="false">
      <c r="A2257" s="2" t="n">
        <v>234503</v>
      </c>
      <c r="B2257" s="2" t="s">
        <v>1919</v>
      </c>
      <c r="C2257" s="2" t="n">
        <v>2</v>
      </c>
      <c r="D2257" s="2" t="n">
        <v>1</v>
      </c>
      <c r="E2257" s="2" t="n">
        <v>1</v>
      </c>
      <c r="F2257" s="2" t="n">
        <v>51</v>
      </c>
      <c r="G2257" s="2" t="s">
        <v>529</v>
      </c>
      <c r="H2257" s="2" t="str">
        <f aca="false">IFERROR(__xludf.dummyfunction("IF(I2275="""", """", REGEXEXTRACT(I2275, ""Padrao/([^/]+)""))"),"Residencial Greenville")</f>
        <v>Residencial Greenville</v>
      </c>
    </row>
    <row r="2258" customFormat="false" ht="15.75" hidden="false" customHeight="false" outlineLevel="0" collapsed="false">
      <c r="A2258" s="2" t="n">
        <v>233648</v>
      </c>
      <c r="B2258" s="2" t="s">
        <v>1920</v>
      </c>
      <c r="C2258" s="2" t="n">
        <v>1</v>
      </c>
      <c r="D2258" s="2" t="n">
        <v>1</v>
      </c>
      <c r="E2258" s="2" t="n">
        <v>1</v>
      </c>
      <c r="F2258" s="2" t="n">
        <v>41</v>
      </c>
      <c r="G2258" s="2" t="s">
        <v>529</v>
      </c>
      <c r="H2258" s="2" t="str">
        <f aca="false">IFERROR(__xludf.dummyfunction("IF(I2276="""", """", REGEXEXTRACT(I2276, ""Padrao/([^/]+)""))"),"Vila Seixas")</f>
        <v>Vila Seixas</v>
      </c>
    </row>
    <row r="2259" customFormat="false" ht="15.75" hidden="false" customHeight="false" outlineLevel="0" collapsed="false">
      <c r="A2259" s="2" t="n">
        <v>213689</v>
      </c>
      <c r="B2259" s="2" t="s">
        <v>1052</v>
      </c>
      <c r="C2259" s="2" t="n">
        <v>2</v>
      </c>
      <c r="D2259" s="2" t="n">
        <v>1</v>
      </c>
      <c r="E2259" s="2" t="n">
        <v>1</v>
      </c>
      <c r="F2259" s="2" t="n">
        <v>43</v>
      </c>
      <c r="G2259" s="2" t="s">
        <v>529</v>
      </c>
      <c r="H2259" s="2" t="str">
        <f aca="false">IFERROR(__xludf.dummyfunction("IF(I2277="""", """", REGEXEXTRACT(I2277, ""Padrao/([^/]+)""))"),"Jardim Interlagos")</f>
        <v>Jardim Interlagos</v>
      </c>
    </row>
    <row r="2260" customFormat="false" ht="15.75" hidden="false" customHeight="false" outlineLevel="0" collapsed="false">
      <c r="A2260" s="2" t="n">
        <v>202922</v>
      </c>
      <c r="B2260" s="2" t="s">
        <v>1921</v>
      </c>
      <c r="C2260" s="2" t="n">
        <v>2</v>
      </c>
      <c r="D2260" s="2" t="n">
        <v>1</v>
      </c>
      <c r="E2260" s="2" t="n">
        <v>1</v>
      </c>
      <c r="F2260" s="2" t="n">
        <v>48</v>
      </c>
      <c r="G2260" s="2" t="s">
        <v>529</v>
      </c>
      <c r="H2260" s="2" t="str">
        <f aca="false">IFERROR(__xludf.dummyfunction("IF(I2278="""", """", REGEXEXTRACT(I2278, ""Padrao/([^/]+)""))"),"Planalto Verde")</f>
        <v>Planalto Verde</v>
      </c>
    </row>
    <row r="2261" customFormat="false" ht="15.75" hidden="false" customHeight="false" outlineLevel="0" collapsed="false">
      <c r="A2261" s="2" t="n">
        <v>199166</v>
      </c>
      <c r="B2261" s="2" t="s">
        <v>1922</v>
      </c>
      <c r="C2261" s="2" t="n">
        <v>2</v>
      </c>
      <c r="D2261" s="2" t="n">
        <v>1</v>
      </c>
      <c r="E2261" s="2" t="n">
        <v>1</v>
      </c>
      <c r="F2261" s="2" t="n">
        <v>69</v>
      </c>
      <c r="G2261" s="2" t="s">
        <v>529</v>
      </c>
      <c r="H2261" s="2" t="str">
        <f aca="false">IFERROR(__xludf.dummyfunction("IF(I2279="""", """", REGEXEXTRACT(I2279, ""Padrao/([^/]+)""))"),"Jardim Helena")</f>
        <v>Jardim Helena</v>
      </c>
    </row>
    <row r="2262" customFormat="false" ht="15.75" hidden="false" customHeight="false" outlineLevel="0" collapsed="false">
      <c r="A2262" s="2" t="n">
        <v>192848</v>
      </c>
      <c r="B2262" s="2" t="s">
        <v>1923</v>
      </c>
      <c r="C2262" s="2" t="n">
        <v>1</v>
      </c>
      <c r="D2262" s="2" t="n">
        <v>1</v>
      </c>
      <c r="E2262" s="2" t="n">
        <v>1</v>
      </c>
      <c r="F2262" s="2" t="n">
        <v>49</v>
      </c>
      <c r="G2262" s="2" t="s">
        <v>529</v>
      </c>
      <c r="H2262" s="2" t="str">
        <f aca="false">IFERROR(__xludf.dummyfunction("IF(I2280="""", """", REGEXEXTRACT(I2280, ""Padrao/([^/]+)""))"),"Centro")</f>
        <v>Centro</v>
      </c>
    </row>
    <row r="2263" customFormat="false" ht="15.75" hidden="false" customHeight="false" outlineLevel="0" collapsed="false">
      <c r="A2263" s="2" t="n">
        <v>183005</v>
      </c>
      <c r="B2263" s="2" t="s">
        <v>1373</v>
      </c>
      <c r="C2263" s="2" t="n">
        <v>2</v>
      </c>
      <c r="D2263" s="2" t="n">
        <v>1</v>
      </c>
      <c r="E2263" s="2" t="n">
        <v>1</v>
      </c>
      <c r="F2263" s="2" t="n">
        <v>74</v>
      </c>
      <c r="G2263" s="2" t="s">
        <v>529</v>
      </c>
      <c r="H2263" s="2" t="str">
        <f aca="false">IFERROR(__xludf.dummyfunction("IF(I2281="""", """", REGEXEXTRACT(I2281, ""Padrao/([^/]+)""))"),"Jardim Paulistano")</f>
        <v>Jardim Paulistano</v>
      </c>
    </row>
    <row r="2264" customFormat="false" ht="15.75" hidden="false" customHeight="false" outlineLevel="0" collapsed="false">
      <c r="A2264" s="2" t="n">
        <v>162164</v>
      </c>
      <c r="B2264" s="2" t="s">
        <v>1924</v>
      </c>
      <c r="C2264" s="2" t="n">
        <v>2</v>
      </c>
      <c r="D2264" s="2" t="n">
        <v>1</v>
      </c>
      <c r="E2264" s="2" t="n">
        <v>1</v>
      </c>
      <c r="F2264" s="2" t="n">
        <v>47</v>
      </c>
      <c r="G2264" s="2" t="s">
        <v>529</v>
      </c>
      <c r="H2264" s="2" t="str">
        <f aca="false">IFERROR(__xludf.dummyfunction("IF(I2282="""", """", REGEXEXTRACT(I2282, ""Padrao/([^/]+)""))"),"Condominio Mirante Sul")</f>
        <v>Condominio Mirante Sul</v>
      </c>
    </row>
    <row r="2265" customFormat="false" ht="15.75" hidden="false" customHeight="false" outlineLevel="0" collapsed="false">
      <c r="A2265" s="2" t="n">
        <v>160034</v>
      </c>
      <c r="B2265" s="2" t="s">
        <v>1101</v>
      </c>
      <c r="C2265" s="2" t="n">
        <v>2</v>
      </c>
      <c r="D2265" s="2" t="n">
        <v>2</v>
      </c>
      <c r="E2265" s="2" t="n">
        <v>1</v>
      </c>
      <c r="F2265" s="2" t="n">
        <v>68</v>
      </c>
      <c r="G2265" s="2" t="s">
        <v>529</v>
      </c>
      <c r="H2265" s="2" t="str">
        <f aca="false">IFERROR(__xludf.dummyfunction("IF(I2283="""", """", REGEXEXTRACT(I2283, ""Padrao/([^/]+)""))"),"Vila Amelia")</f>
        <v>Vila Amelia</v>
      </c>
    </row>
    <row r="2266" customFormat="false" ht="15.75" hidden="false" customHeight="false" outlineLevel="0" collapsed="false">
      <c r="A2266" s="2" t="n">
        <v>149240</v>
      </c>
      <c r="B2266" s="2" t="s">
        <v>1925</v>
      </c>
      <c r="C2266" s="2" t="n">
        <v>2</v>
      </c>
      <c r="D2266" s="2" t="n">
        <v>1</v>
      </c>
      <c r="E2266" s="2" t="n">
        <v>1</v>
      </c>
      <c r="F2266" s="2" t="n">
        <v>48</v>
      </c>
      <c r="G2266" s="2" t="s">
        <v>529</v>
      </c>
      <c r="H2266" s="2" t="str">
        <f aca="false">IFERROR(__xludf.dummyfunction("IF(I2284="""", """", REGEXEXTRACT(I2284, ""Padrao/([^/]+)""))"),"Jardim Sao Fernando")</f>
        <v>Jardim Sao Fernando</v>
      </c>
    </row>
    <row r="2267" customFormat="false" ht="15.75" hidden="false" customHeight="false" outlineLevel="0" collapsed="false">
      <c r="A2267" s="2" t="n">
        <v>149201</v>
      </c>
      <c r="B2267" s="2" t="s">
        <v>1926</v>
      </c>
      <c r="C2267" s="2" t="n">
        <v>2</v>
      </c>
      <c r="D2267" s="2" t="n">
        <v>2</v>
      </c>
      <c r="E2267" s="2" t="n">
        <v>1</v>
      </c>
      <c r="F2267" s="2" t="n">
        <v>69</v>
      </c>
      <c r="G2267" s="2" t="s">
        <v>529</v>
      </c>
      <c r="H2267" s="2" t="str">
        <f aca="false">IFERROR(__xludf.dummyfunction("IF(I2285="""", """", REGEXEXTRACT(I2285, ""Padrao/([^/]+)""))"),"Jardim Palma Travassos")</f>
        <v>Jardim Palma Travassos</v>
      </c>
    </row>
    <row r="2268" customFormat="false" ht="15.75" hidden="false" customHeight="false" outlineLevel="0" collapsed="false">
      <c r="A2268" s="2" t="n">
        <v>140477</v>
      </c>
      <c r="B2268" s="2" t="s">
        <v>1790</v>
      </c>
      <c r="C2268" s="2" t="n">
        <v>2</v>
      </c>
      <c r="D2268" s="2" t="n">
        <v>1</v>
      </c>
      <c r="E2268" s="2" t="n">
        <v>1</v>
      </c>
      <c r="F2268" s="2" t="n">
        <v>48</v>
      </c>
      <c r="G2268" s="2" t="s">
        <v>529</v>
      </c>
      <c r="H2268" s="2" t="str">
        <f aca="false">IFERROR(__xludf.dummyfunction("IF(I2286="""", """", REGEXEXTRACT(I2286, ""Padrao/([^/]+)""))"),"Vila Maria Luiza")</f>
        <v>Vila Maria Luiza</v>
      </c>
    </row>
    <row r="2269" customFormat="false" ht="15.75" hidden="false" customHeight="false" outlineLevel="0" collapsed="false">
      <c r="A2269" s="2" t="n">
        <v>135644</v>
      </c>
      <c r="B2269" s="2" t="s">
        <v>962</v>
      </c>
      <c r="C2269" s="2" t="n">
        <v>3</v>
      </c>
      <c r="D2269" s="2" t="n">
        <v>1</v>
      </c>
      <c r="E2269" s="2" t="n">
        <v>1</v>
      </c>
      <c r="F2269" s="2" t="n">
        <v>63</v>
      </c>
      <c r="G2269" s="2" t="s">
        <v>529</v>
      </c>
      <c r="H2269" s="2" t="str">
        <f aca="false">IFERROR(__xludf.dummyfunction("IF(I2287="""", """", REGEXEXTRACT(I2287, ""Padrao/([^/]+)""))"),"Jardim Interlagos")</f>
        <v>Jardim Interlagos</v>
      </c>
    </row>
    <row r="2270" customFormat="false" ht="15.75" hidden="false" customHeight="false" outlineLevel="0" collapsed="false">
      <c r="A2270" s="2" t="n">
        <v>131204</v>
      </c>
      <c r="B2270" s="2" t="s">
        <v>162</v>
      </c>
      <c r="C2270" s="2" t="n">
        <v>2</v>
      </c>
      <c r="D2270" s="2" t="n">
        <v>1</v>
      </c>
      <c r="E2270" s="2" t="n">
        <v>1</v>
      </c>
      <c r="F2270" s="2" t="n">
        <v>54</v>
      </c>
      <c r="G2270" s="2" t="s">
        <v>529</v>
      </c>
      <c r="H2270" s="2" t="str">
        <f aca="false">IFERROR(__xludf.dummyfunction("IF(I2288="""", """", REGEXEXTRACT(I2288, ""Padrao/([^/]+)""))"),"Ipiranga")</f>
        <v>Ipiranga</v>
      </c>
    </row>
    <row r="2271" customFormat="false" ht="15.75" hidden="false" customHeight="false" outlineLevel="0" collapsed="false">
      <c r="A2271" s="2" t="n">
        <v>110060</v>
      </c>
      <c r="B2271" s="2" t="s">
        <v>993</v>
      </c>
      <c r="C2271" s="2" t="n">
        <v>2</v>
      </c>
      <c r="D2271" s="2" t="n">
        <v>1</v>
      </c>
      <c r="E2271" s="2" t="n">
        <v>1</v>
      </c>
      <c r="F2271" s="2" t="n">
        <v>49</v>
      </c>
      <c r="G2271" s="2" t="s">
        <v>529</v>
      </c>
      <c r="H2271" s="2" t="str">
        <f aca="false">IFERROR(__xludf.dummyfunction("IF(I2289="""", """", REGEXEXTRACT(I2289, ""Padrao/([^/]+)""))"),"Campos Eliseos")</f>
        <v>Campos Eliseos</v>
      </c>
    </row>
    <row r="2272" customFormat="false" ht="15.75" hidden="false" customHeight="false" outlineLevel="0" collapsed="false">
      <c r="A2272" s="2" t="n">
        <v>100034</v>
      </c>
      <c r="B2272" s="2" t="s">
        <v>162</v>
      </c>
      <c r="C2272" s="2" t="n">
        <v>1</v>
      </c>
      <c r="D2272" s="2" t="n">
        <v>1</v>
      </c>
      <c r="E2272" s="2" t="n">
        <v>1</v>
      </c>
      <c r="F2272" s="2" t="n">
        <v>40</v>
      </c>
      <c r="G2272" s="2" t="s">
        <v>529</v>
      </c>
      <c r="H2272" s="2" t="str">
        <f aca="false">IFERROR(__xludf.dummyfunction("IF(I2290="""", """", REGEXEXTRACT(I2290, ""Padrao/([^/]+)""))"),"Vila Ana Maria")</f>
        <v>Vila Ana Maria</v>
      </c>
    </row>
    <row r="2273" customFormat="false" ht="15.75" hidden="false" customHeight="false" outlineLevel="0" collapsed="false">
      <c r="A2273" s="2" t="n">
        <v>74990</v>
      </c>
      <c r="B2273" s="2" t="s">
        <v>162</v>
      </c>
      <c r="C2273" s="2" t="n">
        <v>2</v>
      </c>
      <c r="D2273" s="2" t="n">
        <v>1</v>
      </c>
      <c r="E2273" s="2" t="n">
        <v>1</v>
      </c>
      <c r="F2273" s="2" t="n">
        <v>60</v>
      </c>
      <c r="G2273" s="2" t="s">
        <v>529</v>
      </c>
      <c r="H2273" s="2" t="str">
        <f aca="false">IFERROR(__xludf.dummyfunction("IF(I2291="""", """", REGEXEXTRACT(I2291, ""Padrao/([^/]+)""))"),"City Ribeirao")</f>
        <v>City Ribeirao</v>
      </c>
    </row>
    <row r="2274" customFormat="false" ht="15.75" hidden="false" customHeight="false" outlineLevel="0" collapsed="false">
      <c r="A2274" s="2" t="n">
        <v>71423</v>
      </c>
      <c r="B2274" s="2" t="s">
        <v>1060</v>
      </c>
      <c r="C2274" s="2" t="n">
        <v>2</v>
      </c>
      <c r="D2274" s="2" t="n">
        <v>2</v>
      </c>
      <c r="E2274" s="2" t="n">
        <v>1</v>
      </c>
      <c r="F2274" s="2" t="n">
        <v>59</v>
      </c>
      <c r="G2274" s="2" t="s">
        <v>529</v>
      </c>
      <c r="H2274" s="2" t="str">
        <f aca="false">IFERROR(__xludf.dummyfunction("IF(I2292="""", """", REGEXEXTRACT(I2292, ""Padrao/([^/]+)""))"),"Parque Industrial Lagoinha")</f>
        <v>Parque Industrial Lagoinha</v>
      </c>
    </row>
    <row r="2275" customFormat="false" ht="15.75" hidden="false" customHeight="false" outlineLevel="0" collapsed="false">
      <c r="A2275" s="2" t="n">
        <v>54677</v>
      </c>
      <c r="B2275" s="2" t="s">
        <v>162</v>
      </c>
      <c r="C2275" s="2" t="n">
        <v>3</v>
      </c>
      <c r="D2275" s="2" t="n">
        <v>2</v>
      </c>
      <c r="E2275" s="2" t="n">
        <v>1</v>
      </c>
      <c r="F2275" s="2" t="n">
        <v>58</v>
      </c>
      <c r="G2275" s="2" t="s">
        <v>529</v>
      </c>
      <c r="H2275" s="2" t="str">
        <f aca="false">IFERROR(__xludf.dummyfunction("IF(I2293="""", """", REGEXEXTRACT(I2293, ""Padrao/([^/]+)""))"),"Jardim Sumare")</f>
        <v>Jardim Sumare</v>
      </c>
    </row>
    <row r="2276" customFormat="false" ht="15.75" hidden="false" customHeight="false" outlineLevel="0" collapsed="false">
      <c r="A2276" s="2" t="n">
        <v>50009</v>
      </c>
      <c r="B2276" s="2" t="s">
        <v>1060</v>
      </c>
      <c r="C2276" s="2" t="n">
        <v>1</v>
      </c>
      <c r="D2276" s="2" t="n">
        <v>1</v>
      </c>
      <c r="E2276" s="2" t="n">
        <v>1</v>
      </c>
      <c r="F2276" s="2" t="n">
        <v>45</v>
      </c>
      <c r="G2276" s="2" t="s">
        <v>529</v>
      </c>
      <c r="H2276" s="2" t="str">
        <f aca="false">IFERROR(__xludf.dummyfunction("IF(I2294="""", """", REGEXEXTRACT(I2294, ""Padrao/([^/]+)""))"),"Parque Industrial Lagoinha")</f>
        <v>Parque Industrial Lagoinha</v>
      </c>
    </row>
    <row r="2277" customFormat="false" ht="15.75" hidden="false" customHeight="false" outlineLevel="0" collapsed="false">
      <c r="A2277" s="2" t="n">
        <v>166922</v>
      </c>
      <c r="B2277" s="2" t="s">
        <v>1927</v>
      </c>
      <c r="C2277" s="2" t="n">
        <v>2</v>
      </c>
      <c r="D2277" s="2" t="n">
        <v>1</v>
      </c>
      <c r="E2277" s="2" t="n">
        <v>1</v>
      </c>
      <c r="F2277" s="2" t="n">
        <v>42</v>
      </c>
      <c r="G2277" s="2" t="s">
        <v>1928</v>
      </c>
      <c r="H2277" s="2" t="str">
        <f aca="false">IFERROR(__xludf.dummyfunction("IF(I2295="""", """", REGEXEXTRACT(I2295, ""Padrao/([^/]+)""))"),"Jardim Heitor Rigon")</f>
        <v>Jardim Heitor Rigon</v>
      </c>
    </row>
    <row r="2278" customFormat="false" ht="15.75" hidden="false" customHeight="false" outlineLevel="0" collapsed="false">
      <c r="A2278" s="2" t="n">
        <v>240071</v>
      </c>
      <c r="B2278" s="2" t="s">
        <v>1271</v>
      </c>
      <c r="C2278" s="2" t="n">
        <v>2</v>
      </c>
      <c r="D2278" s="2" t="n">
        <v>1</v>
      </c>
      <c r="E2278" s="2" t="n">
        <v>1</v>
      </c>
      <c r="F2278" s="2" t="n">
        <v>42</v>
      </c>
      <c r="G2278" s="2" t="s">
        <v>1929</v>
      </c>
      <c r="H2278" s="2" t="str">
        <f aca="false">IFERROR(__xludf.dummyfunction("IF(I2296="""", """", REGEXEXTRACT(I2296, ""Padrao/([^/]+)""))"),"Jardim Maria Goretti")</f>
        <v>Jardim Maria Goretti</v>
      </c>
    </row>
    <row r="2279" customFormat="false" ht="15.75" hidden="false" customHeight="false" outlineLevel="0" collapsed="false">
      <c r="A2279" s="2" t="n">
        <v>145640</v>
      </c>
      <c r="B2279" s="2" t="s">
        <v>1930</v>
      </c>
      <c r="C2279" s="2" t="n">
        <v>2</v>
      </c>
      <c r="D2279" s="2" t="n">
        <v>1</v>
      </c>
      <c r="E2279" s="2" t="n">
        <v>1</v>
      </c>
      <c r="F2279" s="2" t="n">
        <v>42</v>
      </c>
      <c r="G2279" s="2" t="s">
        <v>435</v>
      </c>
      <c r="H2279" s="2" t="str">
        <f aca="false">IFERROR(__xludf.dummyfunction("IF(I2297="""", """", REGEXEXTRACT(I2297, ""Padrao/([^/]+)""))"),"Vila Virginia")</f>
        <v>Vila Virginia</v>
      </c>
    </row>
    <row r="2280" customFormat="false" ht="15.75" hidden="false" customHeight="false" outlineLevel="0" collapsed="false">
      <c r="A2280" s="2" t="n">
        <v>153644</v>
      </c>
      <c r="B2280" s="2" t="s">
        <v>1858</v>
      </c>
      <c r="C2280" s="2" t="n">
        <v>2</v>
      </c>
      <c r="D2280" s="2" t="n">
        <v>1</v>
      </c>
      <c r="E2280" s="2" t="n">
        <v>1</v>
      </c>
      <c r="F2280" s="2" t="n">
        <v>48</v>
      </c>
      <c r="G2280" s="2" t="s">
        <v>525</v>
      </c>
      <c r="H2280" s="2" t="str">
        <f aca="false">IFERROR(__xludf.dummyfunction("IF(I2298="""", """", REGEXEXTRACT(I2298, ""Padrao/([^/]+)""))"),"Reserva Real")</f>
        <v>Reserva Real</v>
      </c>
    </row>
    <row r="2281" customFormat="false" ht="15.75" hidden="false" customHeight="false" outlineLevel="0" collapsed="false">
      <c r="A2281" s="2" t="n">
        <v>97604</v>
      </c>
      <c r="B2281" s="2" t="s">
        <v>1931</v>
      </c>
      <c r="C2281" s="2" t="n">
        <v>3</v>
      </c>
      <c r="D2281" s="2" t="n">
        <v>2</v>
      </c>
      <c r="E2281" s="2" t="n">
        <v>1</v>
      </c>
      <c r="F2281" s="2" t="n">
        <v>58</v>
      </c>
      <c r="G2281" s="2" t="s">
        <v>1932</v>
      </c>
      <c r="H2281" s="2" t="str">
        <f aca="false">IFERROR(__xludf.dummyfunction("IF(I2299="""", """", REGEXEXTRACT(I2299, ""Padrao/([^/]+)""))"),"Republica")</f>
        <v>Republica</v>
      </c>
    </row>
    <row r="2282" customFormat="false" ht="15.75" hidden="false" customHeight="false" outlineLevel="0" collapsed="false">
      <c r="A2282" s="2" t="n">
        <v>216353</v>
      </c>
      <c r="B2282" s="2" t="s">
        <v>1933</v>
      </c>
      <c r="C2282" s="2" t="n">
        <v>2</v>
      </c>
      <c r="D2282" s="2" t="n">
        <v>2</v>
      </c>
      <c r="E2282" s="2" t="n">
        <v>1</v>
      </c>
      <c r="F2282" s="2" t="n">
        <v>66</v>
      </c>
      <c r="G2282" s="2" t="s">
        <v>1899</v>
      </c>
      <c r="H2282" s="2" t="str">
        <f aca="false">IFERROR(__xludf.dummyfunction("IF(I2300="""", """", REGEXEXTRACT(I2300, ""Padrao/([^/]+)""))"),"Parque Anhanguera")</f>
        <v>Parque Anhanguera</v>
      </c>
    </row>
    <row r="2283" customFormat="false" ht="15.75" hidden="false" customHeight="false" outlineLevel="0" collapsed="false">
      <c r="A2283" s="2" t="n">
        <v>241604</v>
      </c>
      <c r="B2283" s="2" t="s">
        <v>1934</v>
      </c>
      <c r="C2283" s="2" t="n">
        <v>2</v>
      </c>
      <c r="D2283" s="2" t="n">
        <v>1</v>
      </c>
      <c r="E2283" s="2" t="n">
        <v>1</v>
      </c>
      <c r="F2283" s="2" t="n">
        <v>49</v>
      </c>
      <c r="G2283" s="2" t="s">
        <v>531</v>
      </c>
      <c r="H2283" s="2" t="str">
        <f aca="false">IFERROR(__xludf.dummyfunction("IF(I2301="""", """", REGEXEXTRACT(I2301, ""Padrao/([^/]+)""))"),"Parque Industrial Lagoinha")</f>
        <v>Parque Industrial Lagoinha</v>
      </c>
    </row>
    <row r="2284" customFormat="false" ht="15.75" hidden="false" customHeight="false" outlineLevel="0" collapsed="false">
      <c r="A2284" s="2" t="n">
        <v>238712</v>
      </c>
      <c r="B2284" s="2" t="s">
        <v>1935</v>
      </c>
      <c r="C2284" s="2" t="n">
        <v>2</v>
      </c>
      <c r="D2284" s="2" t="n">
        <v>2</v>
      </c>
      <c r="E2284" s="2" t="n">
        <v>1</v>
      </c>
      <c r="F2284" s="2" t="n">
        <v>49</v>
      </c>
      <c r="G2284" s="2" t="s">
        <v>531</v>
      </c>
      <c r="H2284" s="2" t="str">
        <f aca="false">IFERROR(__xludf.dummyfunction("IF(I2302="""", """", REGEXEXTRACT(I2302, ""Padrao/([^/]+)""))"),"Jardim Botanico")</f>
        <v>Jardim Botanico</v>
      </c>
    </row>
    <row r="2285" customFormat="false" ht="15.75" hidden="false" customHeight="false" outlineLevel="0" collapsed="false">
      <c r="A2285" s="2" t="n">
        <v>230801</v>
      </c>
      <c r="B2285" s="2" t="s">
        <v>1936</v>
      </c>
      <c r="C2285" s="2" t="n">
        <v>2</v>
      </c>
      <c r="D2285" s="2" t="n">
        <v>1</v>
      </c>
      <c r="E2285" s="2" t="n">
        <v>1</v>
      </c>
      <c r="F2285" s="2" t="n">
        <v>47</v>
      </c>
      <c r="G2285" s="2" t="s">
        <v>531</v>
      </c>
      <c r="H2285" s="2" t="str">
        <f aca="false">IFERROR(__xludf.dummyfunction("IF(I2303="""", """", REGEXEXTRACT(I2303, ""Padrao/([^/]+)""))"),"Ipiranga")</f>
        <v>Ipiranga</v>
      </c>
    </row>
    <row r="2286" customFormat="false" ht="15.75" hidden="false" customHeight="false" outlineLevel="0" collapsed="false">
      <c r="A2286" s="2" t="n">
        <v>126149</v>
      </c>
      <c r="B2286" s="2" t="s">
        <v>1648</v>
      </c>
      <c r="C2286" s="2" t="n">
        <v>1</v>
      </c>
      <c r="D2286" s="2" t="n">
        <v>1</v>
      </c>
      <c r="E2286" s="2" t="n">
        <v>1</v>
      </c>
      <c r="F2286" s="2" t="n">
        <v>39</v>
      </c>
      <c r="G2286" s="2" t="s">
        <v>531</v>
      </c>
      <c r="H2286" s="2" t="str">
        <f aca="false">IFERROR(__xludf.dummyfunction("IF(I2304="""", """", REGEXEXTRACT(I2304, ""Padrao/([^/]+)""))"),"Nova Alianca")</f>
        <v>Nova Alianca</v>
      </c>
    </row>
    <row r="2287" customFormat="false" ht="15.75" hidden="false" customHeight="false" outlineLevel="0" collapsed="false">
      <c r="A2287" s="2" t="n">
        <v>169439</v>
      </c>
      <c r="B2287" s="2" t="s">
        <v>1937</v>
      </c>
      <c r="C2287" s="2" t="n">
        <v>2</v>
      </c>
      <c r="D2287" s="2" t="n">
        <v>1</v>
      </c>
      <c r="E2287" s="2" t="n">
        <v>1</v>
      </c>
      <c r="F2287" s="2" t="n">
        <v>50</v>
      </c>
      <c r="G2287" s="2" t="s">
        <v>797</v>
      </c>
      <c r="H2287" s="2" t="str">
        <f aca="false">IFERROR(__xludf.dummyfunction("IF(I2305="""", """", REGEXEXTRACT(I2305, ""Padrao/([^/]+)""))"),"Jardim Jose Wilson Toni")</f>
        <v>Jardim Jose Wilson Toni</v>
      </c>
    </row>
    <row r="2288" customFormat="false" ht="15.75" hidden="false" customHeight="false" outlineLevel="0" collapsed="false">
      <c r="A2288" s="2" t="n">
        <v>191849</v>
      </c>
      <c r="B2288" s="2" t="s">
        <v>1938</v>
      </c>
      <c r="C2288" s="2" t="n">
        <v>2</v>
      </c>
      <c r="D2288" s="2" t="n">
        <v>1</v>
      </c>
      <c r="E2288" s="2" t="n">
        <v>1</v>
      </c>
      <c r="F2288" s="2" t="n">
        <v>42</v>
      </c>
      <c r="G2288" s="2" t="s">
        <v>446</v>
      </c>
      <c r="H2288" s="2" t="str">
        <f aca="false">IFERROR(__xludf.dummyfunction("IF(I2306="""", """", REGEXEXTRACT(I2306, ""Padrao/([^/]+)""))"),"Jardim Santa Cecilia")</f>
        <v>Jardim Santa Cecilia</v>
      </c>
    </row>
    <row r="2289" customFormat="false" ht="15.75" hidden="false" customHeight="false" outlineLevel="0" collapsed="false">
      <c r="A2289" s="2" t="n">
        <v>161255</v>
      </c>
      <c r="B2289" s="2" t="s">
        <v>1939</v>
      </c>
      <c r="C2289" s="2" t="n">
        <v>2</v>
      </c>
      <c r="D2289" s="2" t="n">
        <v>1</v>
      </c>
      <c r="E2289" s="2" t="n">
        <v>1</v>
      </c>
      <c r="F2289" s="2" t="n">
        <v>46</v>
      </c>
      <c r="G2289" s="2" t="s">
        <v>464</v>
      </c>
      <c r="H2289" s="2" t="str">
        <f aca="false">IFERROR(__xludf.dummyfunction("IF(I2307="""", """", REGEXEXTRACT(I2307, ""Padrao/([^/]+)""))"),"Reserva Sul Condominio")</f>
        <v>Reserva Sul Condominio</v>
      </c>
    </row>
    <row r="2290" customFormat="false" ht="15.75" hidden="false" customHeight="false" outlineLevel="0" collapsed="false">
      <c r="A2290" s="2" t="n">
        <v>169454</v>
      </c>
      <c r="B2290" s="2" t="s">
        <v>1940</v>
      </c>
      <c r="C2290" s="2" t="n">
        <v>2</v>
      </c>
      <c r="D2290" s="2" t="n">
        <v>1</v>
      </c>
      <c r="E2290" s="2" t="n">
        <v>1</v>
      </c>
      <c r="F2290" s="2" t="n">
        <v>55</v>
      </c>
      <c r="G2290" s="2" t="s">
        <v>502</v>
      </c>
      <c r="H2290" s="2" t="str">
        <f aca="false">IFERROR(__xludf.dummyfunction("IF(I2308="""", """", REGEXEXTRACT(I2308, ""Padrao/([^/]+)""))"),"Residencial Parque dos Servidores")</f>
        <v>Residencial Parque dos Servidores</v>
      </c>
    </row>
    <row r="2291" customFormat="false" ht="15.75" hidden="false" customHeight="false" outlineLevel="0" collapsed="false">
      <c r="A2291" s="2" t="n">
        <v>167216</v>
      </c>
      <c r="B2291" s="2" t="s">
        <v>876</v>
      </c>
      <c r="C2291" s="2" t="n">
        <v>2</v>
      </c>
      <c r="D2291" s="2" t="n">
        <v>1</v>
      </c>
      <c r="E2291" s="2" t="n">
        <v>1</v>
      </c>
      <c r="F2291" s="2" t="n">
        <v>42</v>
      </c>
      <c r="G2291" s="2" t="s">
        <v>502</v>
      </c>
      <c r="H2291" s="2" t="str">
        <f aca="false">IFERROR(__xludf.dummyfunction("IF(I2309="""", """", REGEXEXTRACT(I2309, ""Padrao/([^/]+)""))"),"Reserva Real")</f>
        <v>Reserva Real</v>
      </c>
    </row>
    <row r="2292" customFormat="false" ht="15.75" hidden="false" customHeight="false" outlineLevel="0" collapsed="false">
      <c r="A2292" s="2" t="n">
        <v>159698</v>
      </c>
      <c r="B2292" s="2" t="s">
        <v>1941</v>
      </c>
      <c r="C2292" s="2" t="n">
        <v>2</v>
      </c>
      <c r="D2292" s="2" t="n">
        <v>1</v>
      </c>
      <c r="E2292" s="2" t="n">
        <v>1</v>
      </c>
      <c r="F2292" s="2" t="n">
        <v>65</v>
      </c>
      <c r="G2292" s="2" t="s">
        <v>502</v>
      </c>
      <c r="H2292" s="2" t="str">
        <f aca="false">IFERROR(__xludf.dummyfunction("IF(I2310="""", """", REGEXEXTRACT(I2310, ""Padrao/([^/]+)""))"),"Centro")</f>
        <v>Centro</v>
      </c>
    </row>
    <row r="2293" customFormat="false" ht="15.75" hidden="false" customHeight="false" outlineLevel="0" collapsed="false">
      <c r="A2293" s="2" t="n">
        <v>106112</v>
      </c>
      <c r="B2293" s="2" t="s">
        <v>1942</v>
      </c>
      <c r="C2293" s="2" t="n">
        <v>1</v>
      </c>
      <c r="D2293" s="2" t="n">
        <v>1</v>
      </c>
      <c r="E2293" s="2" t="n">
        <v>1</v>
      </c>
      <c r="F2293" s="2" t="n">
        <v>56</v>
      </c>
      <c r="G2293" s="2" t="s">
        <v>515</v>
      </c>
      <c r="H2293" s="2" t="str">
        <f aca="false">IFERROR(__xludf.dummyfunction("IF(I2311="""", """", REGEXEXTRACT(I2311, ""Padrao/([^/]+)""))"),"Centro")</f>
        <v>Centro</v>
      </c>
    </row>
    <row r="2294" customFormat="false" ht="15.75" hidden="false" customHeight="false" outlineLevel="0" collapsed="false">
      <c r="A2294" s="2" t="n">
        <v>218303</v>
      </c>
      <c r="B2294" s="2" t="s">
        <v>1943</v>
      </c>
      <c r="C2294" s="2" t="n">
        <v>2</v>
      </c>
      <c r="D2294" s="2" t="n">
        <v>1</v>
      </c>
      <c r="E2294" s="2" t="n">
        <v>1</v>
      </c>
      <c r="F2294" s="2" t="n">
        <v>40</v>
      </c>
      <c r="G2294" s="2" t="s">
        <v>521</v>
      </c>
      <c r="H2294" s="2" t="str">
        <f aca="false">IFERROR(__xludf.dummyfunction("IF(I2312="""", """", REGEXEXTRACT(I2312, ""Padrao/([^/]+)""))"),"Jardim Castelo Branco")</f>
        <v>Jardim Castelo Branco</v>
      </c>
    </row>
    <row r="2295" customFormat="false" ht="15.75" hidden="false" customHeight="false" outlineLevel="0" collapsed="false">
      <c r="A2295" s="2" t="n">
        <v>212996</v>
      </c>
      <c r="B2295" s="2" t="s">
        <v>1051</v>
      </c>
      <c r="C2295" s="2" t="n">
        <v>2</v>
      </c>
      <c r="D2295" s="2" t="n">
        <v>1</v>
      </c>
      <c r="E2295" s="2" t="n">
        <v>1</v>
      </c>
      <c r="F2295" s="2" t="n">
        <v>43</v>
      </c>
      <c r="G2295" s="2" t="s">
        <v>521</v>
      </c>
      <c r="H2295" s="2" t="str">
        <f aca="false">IFERROR(__xludf.dummyfunction("IF(I2313="""", """", REGEXEXTRACT(I2313, ""Padrao/([^/]+)""))"),"Jardim Interlagos")</f>
        <v>Jardim Interlagos</v>
      </c>
    </row>
    <row r="2296" customFormat="false" ht="15.75" hidden="false" customHeight="false" outlineLevel="0" collapsed="false">
      <c r="A2296" s="2" t="n">
        <v>200396</v>
      </c>
      <c r="B2296" s="2" t="s">
        <v>1944</v>
      </c>
      <c r="C2296" s="2" t="n">
        <v>1</v>
      </c>
      <c r="D2296" s="2" t="n">
        <v>1</v>
      </c>
      <c r="E2296" s="2" t="n">
        <v>1</v>
      </c>
      <c r="F2296" s="2" t="n">
        <v>76</v>
      </c>
      <c r="G2296" s="2" t="s">
        <v>521</v>
      </c>
      <c r="H2296" s="2" t="str">
        <f aca="false">IFERROR(__xludf.dummyfunction("IF(I2314="""", """", REGEXEXTRACT(I2314, ""Padrao/([^/]+)""))"),"Jardim Macedo")</f>
        <v>Jardim Macedo</v>
      </c>
    </row>
    <row r="2297" customFormat="false" ht="15.75" hidden="false" customHeight="false" outlineLevel="0" collapsed="false">
      <c r="A2297" s="2" t="n">
        <v>211751</v>
      </c>
      <c r="B2297" s="2" t="s">
        <v>1945</v>
      </c>
      <c r="C2297" s="2" t="n">
        <v>2</v>
      </c>
      <c r="D2297" s="2" t="n">
        <v>1</v>
      </c>
      <c r="E2297" s="2" t="n">
        <v>1</v>
      </c>
      <c r="F2297" s="2" t="n">
        <v>51</v>
      </c>
      <c r="G2297" s="2" t="s">
        <v>525</v>
      </c>
      <c r="H2297" s="2" t="str">
        <f aca="false">IFERROR(__xludf.dummyfunction("IF(I2315="""", """", REGEXEXTRACT(I2315, ""Padrao/([^/]+)""))"),"Residencial das Americas")</f>
        <v>Residencial das Americas</v>
      </c>
    </row>
    <row r="2298" customFormat="false" ht="15.75" hidden="false" customHeight="false" outlineLevel="0" collapsed="false">
      <c r="A2298" s="2" t="n">
        <v>86291</v>
      </c>
      <c r="B2298" s="2" t="s">
        <v>1946</v>
      </c>
      <c r="C2298" s="2" t="n">
        <v>1</v>
      </c>
      <c r="D2298" s="2" t="n">
        <v>1</v>
      </c>
      <c r="E2298" s="2" t="n">
        <v>2</v>
      </c>
      <c r="F2298" s="2" t="n">
        <v>33</v>
      </c>
      <c r="G2298" s="2" t="s">
        <v>525</v>
      </c>
      <c r="H2298" s="2" t="str">
        <f aca="false">IFERROR(__xludf.dummyfunction("IF(I2316="""", """", REGEXEXTRACT(I2316, ""Padrao/([^/]+)""))"),"Nova Alianca")</f>
        <v>Nova Alianca</v>
      </c>
    </row>
    <row r="2299" customFormat="false" ht="15.75" hidden="false" customHeight="false" outlineLevel="0" collapsed="false">
      <c r="A2299" s="2" t="n">
        <v>108440</v>
      </c>
      <c r="B2299" s="2" t="s">
        <v>1717</v>
      </c>
      <c r="C2299" s="2" t="n">
        <v>2</v>
      </c>
      <c r="D2299" s="2" t="n">
        <v>1</v>
      </c>
      <c r="E2299" s="2" t="n">
        <v>1</v>
      </c>
      <c r="F2299" s="2" t="n">
        <v>46</v>
      </c>
      <c r="G2299" s="2" t="s">
        <v>529</v>
      </c>
      <c r="H2299" s="2" t="str">
        <f aca="false">IFERROR(__xludf.dummyfunction("IF(I2317="""", """", REGEXEXTRACT(I2317, ""Padrao/([^/]+)""))"),"Vila Virginia")</f>
        <v>Vila Virginia</v>
      </c>
    </row>
    <row r="2300" customFormat="false" ht="15.75" hidden="false" customHeight="false" outlineLevel="0" collapsed="false">
      <c r="A2300" s="2" t="n">
        <v>90080</v>
      </c>
      <c r="B2300" s="2" t="s">
        <v>386</v>
      </c>
      <c r="C2300" s="2" t="n">
        <v>3</v>
      </c>
      <c r="D2300" s="2" t="n">
        <v>2</v>
      </c>
      <c r="E2300" s="2" t="n">
        <v>1</v>
      </c>
      <c r="F2300" s="2" t="n">
        <v>86</v>
      </c>
      <c r="G2300" s="2" t="s">
        <v>529</v>
      </c>
      <c r="H2300" s="2" t="str">
        <f aca="false">IFERROR(__xludf.dummyfunction("IF(I2318="""", """", REGEXEXTRACT(I2318, ""Padrao/([^/]+)""))"),"Residencial e Comercial Palmares")</f>
        <v>Residencial e Comercial Palmares</v>
      </c>
    </row>
    <row r="2301" customFormat="false" ht="15.75" hidden="false" customHeight="false" outlineLevel="0" collapsed="false">
      <c r="A2301" s="2" t="n">
        <v>95735</v>
      </c>
      <c r="B2301" s="2" t="s">
        <v>1732</v>
      </c>
      <c r="C2301" s="2" t="n">
        <v>2</v>
      </c>
      <c r="D2301" s="2" t="n">
        <v>1</v>
      </c>
      <c r="E2301" s="2" t="n">
        <v>2</v>
      </c>
      <c r="F2301" s="2" t="n">
        <v>63</v>
      </c>
      <c r="G2301" s="2" t="s">
        <v>1947</v>
      </c>
      <c r="H2301" s="2" t="str">
        <f aca="false">IFERROR(__xludf.dummyfunction("IF(I2319="""", """", REGEXEXTRACT(I2319, ""Padrao/([^/]+)""))"),"Residencial e Comercial Palmares")</f>
        <v>Residencial e Comercial Palmares</v>
      </c>
    </row>
    <row r="2302" customFormat="false" ht="15.75" hidden="false" customHeight="false" outlineLevel="0" collapsed="false">
      <c r="A2302" s="2" t="n">
        <v>189551</v>
      </c>
      <c r="B2302" s="2" t="s">
        <v>1948</v>
      </c>
      <c r="C2302" s="2" t="n">
        <v>2</v>
      </c>
      <c r="D2302" s="2" t="n">
        <v>1</v>
      </c>
      <c r="E2302" s="2" t="n">
        <v>3</v>
      </c>
      <c r="F2302" s="2" t="n">
        <v>77</v>
      </c>
      <c r="G2302" s="2" t="s">
        <v>531</v>
      </c>
      <c r="H2302" s="2" t="str">
        <f aca="false">IFERROR(__xludf.dummyfunction("IF(I2320="""", """", REGEXEXTRACT(I2320, ""Padrao/([^/]+)""))"),"Vila Monte Alegre")</f>
        <v>Vila Monte Alegre</v>
      </c>
    </row>
    <row r="2303" customFormat="false" ht="15.75" hidden="false" customHeight="false" outlineLevel="0" collapsed="false">
      <c r="A2303" s="2" t="n">
        <v>245609</v>
      </c>
      <c r="B2303" s="2" t="s">
        <v>966</v>
      </c>
      <c r="C2303" s="2" t="n">
        <v>2</v>
      </c>
      <c r="D2303" s="2" t="n">
        <v>1</v>
      </c>
      <c r="E2303" s="2" t="n">
        <v>1</v>
      </c>
      <c r="F2303" s="2" t="n">
        <v>46</v>
      </c>
      <c r="G2303" s="2" t="s">
        <v>533</v>
      </c>
      <c r="H2303" s="2" t="str">
        <f aca="false">IFERROR(__xludf.dummyfunction("IF(I2321="""", """", REGEXEXTRACT(I2321, ""Padrao/([^/]+)""))"),"Ipiranga")</f>
        <v>Ipiranga</v>
      </c>
    </row>
    <row r="2304" customFormat="false" ht="15.75" hidden="false" customHeight="false" outlineLevel="0" collapsed="false">
      <c r="A2304" s="2" t="n">
        <v>242012</v>
      </c>
      <c r="B2304" s="2" t="s">
        <v>1949</v>
      </c>
      <c r="C2304" s="2" t="n">
        <v>2</v>
      </c>
      <c r="D2304" s="2" t="n">
        <v>1</v>
      </c>
      <c r="E2304" s="2" t="n">
        <v>1</v>
      </c>
      <c r="F2304" s="2" t="n">
        <v>44</v>
      </c>
      <c r="G2304" s="2" t="s">
        <v>533</v>
      </c>
      <c r="H2304" s="2" t="str">
        <f aca="false">IFERROR(__xludf.dummyfunction("IF(I2322="""", """", REGEXEXTRACT(I2322, ""Padrao/([^/]+)""))"),"Ribeirania")</f>
        <v>Ribeirania</v>
      </c>
    </row>
    <row r="2305" customFormat="false" ht="15.75" hidden="false" customHeight="false" outlineLevel="0" collapsed="false">
      <c r="A2305" s="2" t="n">
        <v>240851</v>
      </c>
      <c r="B2305" s="2" t="s">
        <v>1950</v>
      </c>
      <c r="C2305" s="2" t="n">
        <v>2</v>
      </c>
      <c r="D2305" s="2" t="n">
        <v>1</v>
      </c>
      <c r="E2305" s="2" t="n">
        <v>1</v>
      </c>
      <c r="F2305" s="2" t="n">
        <v>47</v>
      </c>
      <c r="G2305" s="2" t="s">
        <v>533</v>
      </c>
      <c r="H2305" s="2" t="str">
        <f aca="false">IFERROR(__xludf.dummyfunction("IF(I2323="""", """", REGEXEXTRACT(I2323, ""Padrao/([^/]+)""))"),"Ribeirania")</f>
        <v>Ribeirania</v>
      </c>
    </row>
    <row r="2306" customFormat="false" ht="15.75" hidden="false" customHeight="false" outlineLevel="0" collapsed="false">
      <c r="A2306" s="2" t="n">
        <v>240221</v>
      </c>
      <c r="B2306" s="2" t="s">
        <v>1951</v>
      </c>
      <c r="C2306" s="2" t="n">
        <v>2</v>
      </c>
      <c r="D2306" s="2" t="n">
        <v>1</v>
      </c>
      <c r="E2306" s="2" t="n">
        <v>1</v>
      </c>
      <c r="F2306" s="2" t="n">
        <v>51</v>
      </c>
      <c r="G2306" s="2" t="s">
        <v>533</v>
      </c>
      <c r="H2306" s="2" t="str">
        <f aca="false">IFERROR(__xludf.dummyfunction("IF(I2324="""", """", REGEXEXTRACT(I2324, ""Padrao/([^/]+)""))"),"Presidente Medici")</f>
        <v>Presidente Medici</v>
      </c>
    </row>
    <row r="2307" customFormat="false" ht="15.75" hidden="false" customHeight="false" outlineLevel="0" collapsed="false">
      <c r="A2307" s="2" t="n">
        <v>239525</v>
      </c>
      <c r="B2307" s="2" t="s">
        <v>1952</v>
      </c>
      <c r="C2307" s="2" t="n">
        <v>3</v>
      </c>
      <c r="D2307" s="2" t="n">
        <v>1</v>
      </c>
      <c r="E2307" s="2" t="n">
        <v>1</v>
      </c>
      <c r="F2307" s="2" t="n">
        <v>65</v>
      </c>
      <c r="G2307" s="2" t="s">
        <v>533</v>
      </c>
      <c r="H2307" s="2" t="str">
        <f aca="false">IFERROR(__xludf.dummyfunction("IF(I2325="""", """", REGEXEXTRACT(I2325, ""Padrao/([^/]+)""))"),"Jardim Eugenio Mendes Lopes")</f>
        <v>Jardim Eugenio Mendes Lopes</v>
      </c>
    </row>
    <row r="2308" customFormat="false" ht="15.75" hidden="false" customHeight="false" outlineLevel="0" collapsed="false">
      <c r="A2308" s="2" t="n">
        <v>238559</v>
      </c>
      <c r="B2308" s="2" t="s">
        <v>1953</v>
      </c>
      <c r="C2308" s="2" t="n">
        <v>1</v>
      </c>
      <c r="D2308" s="2" t="n">
        <v>1</v>
      </c>
      <c r="E2308" s="2" t="n">
        <v>1</v>
      </c>
      <c r="F2308" s="2" t="n">
        <v>39</v>
      </c>
      <c r="G2308" s="2" t="s">
        <v>533</v>
      </c>
      <c r="H2308" s="2" t="str">
        <f aca="false">IFERROR(__xludf.dummyfunction("IF(I2326="""", """", REGEXEXTRACT(I2326, ""Padrao/([^/]+)""))"),"Jardim California")</f>
        <v>Jardim California</v>
      </c>
    </row>
    <row r="2309" customFormat="false" ht="15.75" hidden="false" customHeight="false" outlineLevel="0" collapsed="false">
      <c r="A2309" s="2" t="n">
        <v>237743</v>
      </c>
      <c r="B2309" s="2" t="s">
        <v>1954</v>
      </c>
      <c r="C2309" s="2" t="n">
        <v>2</v>
      </c>
      <c r="D2309" s="2" t="n">
        <v>1</v>
      </c>
      <c r="E2309" s="2" t="n">
        <v>1</v>
      </c>
      <c r="F2309" s="2" t="n">
        <v>48</v>
      </c>
      <c r="G2309" s="2" t="s">
        <v>533</v>
      </c>
      <c r="H2309" s="2" t="str">
        <f aca="false">IFERROR(__xludf.dummyfunction("IF(I2327="""", """", REGEXEXTRACT(I2327, ""Padrao/([^/]+)""))"),"Campos Eliseos")</f>
        <v>Campos Eliseos</v>
      </c>
    </row>
    <row r="2310" customFormat="false" ht="15.75" hidden="false" customHeight="false" outlineLevel="0" collapsed="false">
      <c r="A2310" s="2" t="n">
        <v>237734</v>
      </c>
      <c r="B2310" s="2" t="s">
        <v>1955</v>
      </c>
      <c r="C2310" s="2" t="n">
        <v>3</v>
      </c>
      <c r="D2310" s="2" t="n">
        <v>1</v>
      </c>
      <c r="E2310" s="2" t="n">
        <v>1</v>
      </c>
      <c r="F2310" s="2" t="n">
        <v>69</v>
      </c>
      <c r="G2310" s="2" t="s">
        <v>533</v>
      </c>
      <c r="H2310" s="2" t="str">
        <f aca="false">IFERROR(__xludf.dummyfunction("IF(I2328="""", """", REGEXEXTRACT(I2328, ""Padrao/([^/]+)""))"),"Jardim Paulista")</f>
        <v>Jardim Paulista</v>
      </c>
    </row>
    <row r="2311" customFormat="false" ht="15.75" hidden="false" customHeight="false" outlineLevel="0" collapsed="false">
      <c r="A2311" s="2" t="n">
        <v>236042</v>
      </c>
      <c r="B2311" s="2" t="s">
        <v>1956</v>
      </c>
      <c r="C2311" s="2" t="n">
        <v>2</v>
      </c>
      <c r="D2311" s="2" t="n">
        <v>1</v>
      </c>
      <c r="E2311" s="2" t="n">
        <v>1</v>
      </c>
      <c r="F2311" s="2" t="n">
        <v>42</v>
      </c>
      <c r="G2311" s="2" t="s">
        <v>533</v>
      </c>
      <c r="H2311" s="2" t="str">
        <f aca="false">IFERROR(__xludf.dummyfunction("IF(I2329="""", """", REGEXEXTRACT(I2329, ""Padrao/([^/]+)""))"),"Parque Industrial Lagoinha")</f>
        <v>Parque Industrial Lagoinha</v>
      </c>
    </row>
    <row r="2312" customFormat="false" ht="15.75" hidden="false" customHeight="false" outlineLevel="0" collapsed="false">
      <c r="A2312" s="2" t="n">
        <v>235940</v>
      </c>
      <c r="B2312" s="2" t="s">
        <v>1957</v>
      </c>
      <c r="C2312" s="2" t="n">
        <v>2</v>
      </c>
      <c r="D2312" s="2" t="n">
        <v>1</v>
      </c>
      <c r="E2312" s="2" t="n">
        <v>1</v>
      </c>
      <c r="F2312" s="2" t="n">
        <v>65</v>
      </c>
      <c r="G2312" s="2" t="s">
        <v>533</v>
      </c>
      <c r="H2312" s="2" t="str">
        <f aca="false">IFERROR(__xludf.dummyfunction("IF(I2330="""", """", REGEXEXTRACT(I2330, ""Padrao/([^/]+)""))"),"Centro")</f>
        <v>Centro</v>
      </c>
    </row>
    <row r="2313" customFormat="false" ht="15.75" hidden="false" customHeight="false" outlineLevel="0" collapsed="false">
      <c r="A2313" s="2" t="n">
        <v>232367</v>
      </c>
      <c r="B2313" s="2" t="s">
        <v>1503</v>
      </c>
      <c r="C2313" s="2" t="n">
        <v>2</v>
      </c>
      <c r="D2313" s="2" t="n">
        <v>1</v>
      </c>
      <c r="E2313" s="2" t="n">
        <v>1</v>
      </c>
      <c r="F2313" s="2" t="n">
        <v>47</v>
      </c>
      <c r="G2313" s="2" t="s">
        <v>533</v>
      </c>
      <c r="H2313" s="2" t="str">
        <f aca="false">IFERROR(__xludf.dummyfunction("IF(I2331="""", """", REGEXEXTRACT(I2331, ""Padrao/([^/]+)""))"),"Alto do Ipiranga")</f>
        <v>Alto do Ipiranga</v>
      </c>
    </row>
    <row r="2314" customFormat="false" ht="15.75" hidden="false" customHeight="false" outlineLevel="0" collapsed="false">
      <c r="A2314" s="2" t="n">
        <v>231380</v>
      </c>
      <c r="B2314" s="2" t="s">
        <v>1718</v>
      </c>
      <c r="C2314" s="2" t="n">
        <v>2</v>
      </c>
      <c r="D2314" s="2" t="n">
        <v>1</v>
      </c>
      <c r="E2314" s="2" t="n">
        <v>1</v>
      </c>
      <c r="F2314" s="2" t="n">
        <v>43</v>
      </c>
      <c r="G2314" s="2" t="s">
        <v>533</v>
      </c>
      <c r="H2314" s="2" t="str">
        <f aca="false">IFERROR(__xludf.dummyfunction("IF(I2332="""", """", REGEXEXTRACT(I2332, ""Padrao/([^/]+)""))"),"Recreio das Acacias")</f>
        <v>Recreio das Acacias</v>
      </c>
    </row>
    <row r="2315" customFormat="false" ht="15.75" hidden="false" customHeight="false" outlineLevel="0" collapsed="false">
      <c r="A2315" s="2" t="n">
        <v>230012</v>
      </c>
      <c r="B2315" s="2" t="s">
        <v>1958</v>
      </c>
      <c r="C2315" s="2" t="n">
        <v>2</v>
      </c>
      <c r="D2315" s="2" t="n">
        <v>1</v>
      </c>
      <c r="E2315" s="2" t="n">
        <v>1</v>
      </c>
      <c r="F2315" s="2" t="n">
        <v>65</v>
      </c>
      <c r="G2315" s="2" t="s">
        <v>533</v>
      </c>
      <c r="H2315" s="2" t="str">
        <f aca="false">IFERROR(__xludf.dummyfunction("IF(I2333="""", """", REGEXEXTRACT(I2333, ""Padrao/([^/]+)""))"),"Vila Seixas")</f>
        <v>Vila Seixas</v>
      </c>
    </row>
    <row r="2316" customFormat="false" ht="15.75" hidden="false" customHeight="false" outlineLevel="0" collapsed="false">
      <c r="A2316" s="2" t="n">
        <v>226238</v>
      </c>
      <c r="B2316" s="2" t="s">
        <v>1959</v>
      </c>
      <c r="C2316" s="2" t="n">
        <v>2</v>
      </c>
      <c r="D2316" s="2" t="n">
        <v>2</v>
      </c>
      <c r="E2316" s="2" t="n">
        <v>1</v>
      </c>
      <c r="F2316" s="2" t="n">
        <v>52</v>
      </c>
      <c r="G2316" s="2" t="s">
        <v>533</v>
      </c>
      <c r="H2316" s="2" t="str">
        <f aca="false">IFERROR(__xludf.dummyfunction("IF(I2334="""", """", REGEXEXTRACT(I2334, ""Padrao/([^/]+)""))"),"Jardim Paulistano")</f>
        <v>Jardim Paulistano</v>
      </c>
    </row>
    <row r="2317" customFormat="false" ht="15.75" hidden="false" customHeight="false" outlineLevel="0" collapsed="false">
      <c r="A2317" s="2" t="n">
        <v>224837</v>
      </c>
      <c r="B2317" s="2" t="s">
        <v>1744</v>
      </c>
      <c r="C2317" s="2" t="n">
        <v>1</v>
      </c>
      <c r="D2317" s="2" t="n">
        <v>1</v>
      </c>
      <c r="E2317" s="2" t="n">
        <v>1</v>
      </c>
      <c r="F2317" s="2" t="n">
        <v>37</v>
      </c>
      <c r="G2317" s="2" t="s">
        <v>533</v>
      </c>
      <c r="H2317" s="2" t="str">
        <f aca="false">IFERROR(__xludf.dummyfunction("IF(I2335="""", """", REGEXEXTRACT(I2335, ""Padrao/([^/]+)""))"),"Nova Alianca")</f>
        <v>Nova Alianca</v>
      </c>
    </row>
    <row r="2318" customFormat="false" ht="15.75" hidden="false" customHeight="false" outlineLevel="0" collapsed="false">
      <c r="A2318" s="2" t="n">
        <v>224834</v>
      </c>
      <c r="B2318" s="2" t="s">
        <v>1744</v>
      </c>
      <c r="C2318" s="2" t="n">
        <v>1</v>
      </c>
      <c r="D2318" s="2" t="n">
        <v>1</v>
      </c>
      <c r="E2318" s="2" t="n">
        <v>1</v>
      </c>
      <c r="F2318" s="2" t="n">
        <v>37</v>
      </c>
      <c r="G2318" s="2" t="s">
        <v>533</v>
      </c>
      <c r="H2318" s="2" t="str">
        <f aca="false">IFERROR(__xludf.dummyfunction("IF(I2336="""", """", REGEXEXTRACT(I2336, ""Padrao/([^/]+)""))"),"Nova Alianca")</f>
        <v>Nova Alianca</v>
      </c>
    </row>
    <row r="2319" customFormat="false" ht="15.75" hidden="false" customHeight="false" outlineLevel="0" collapsed="false">
      <c r="A2319" s="2" t="n">
        <v>224828</v>
      </c>
      <c r="B2319" s="2" t="s">
        <v>1744</v>
      </c>
      <c r="C2319" s="2" t="n">
        <v>1</v>
      </c>
      <c r="D2319" s="2" t="n">
        <v>1</v>
      </c>
      <c r="E2319" s="2" t="n">
        <v>1</v>
      </c>
      <c r="F2319" s="2" t="n">
        <v>37</v>
      </c>
      <c r="G2319" s="2" t="s">
        <v>533</v>
      </c>
      <c r="H2319" s="2" t="str">
        <f aca="false">IFERROR(__xludf.dummyfunction("IF(I2337="""", """", REGEXEXTRACT(I2337, ""Padrao/([^/]+)""))"),"Nova Alianca")</f>
        <v>Nova Alianca</v>
      </c>
    </row>
    <row r="2320" customFormat="false" ht="15.75" hidden="false" customHeight="false" outlineLevel="0" collapsed="false">
      <c r="A2320" s="2" t="n">
        <v>216776</v>
      </c>
      <c r="B2320" s="2" t="s">
        <v>1960</v>
      </c>
      <c r="C2320" s="2" t="n">
        <v>2</v>
      </c>
      <c r="D2320" s="2" t="n">
        <v>1</v>
      </c>
      <c r="E2320" s="2" t="n">
        <v>1</v>
      </c>
      <c r="F2320" s="2" t="n">
        <v>46</v>
      </c>
      <c r="G2320" s="2" t="s">
        <v>533</v>
      </c>
      <c r="H2320" s="2" t="str">
        <f aca="false">IFERROR(__xludf.dummyfunction("IF(I2338="""", """", REGEXEXTRACT(I2338, ""Padrao/([^/]+)""))"),"Campos Eliseos")</f>
        <v>Campos Eliseos</v>
      </c>
    </row>
    <row r="2321" customFormat="false" ht="15.75" hidden="false" customHeight="false" outlineLevel="0" collapsed="false">
      <c r="A2321" s="2" t="n">
        <v>216437</v>
      </c>
      <c r="B2321" s="2" t="s">
        <v>1961</v>
      </c>
      <c r="C2321" s="2" t="n">
        <v>1</v>
      </c>
      <c r="D2321" s="2" t="n">
        <v>1</v>
      </c>
      <c r="E2321" s="2" t="n">
        <v>1</v>
      </c>
      <c r="F2321" s="2" t="n">
        <v>43</v>
      </c>
      <c r="G2321" s="2" t="s">
        <v>533</v>
      </c>
      <c r="H2321" s="2" t="str">
        <f aca="false">IFERROR(__xludf.dummyfunction("IF(I2339="""", """", REGEXEXTRACT(I2339, ""Padrao/([^/]+)""))"),"Centro")</f>
        <v>Centro</v>
      </c>
    </row>
    <row r="2322" customFormat="false" ht="15.75" hidden="false" customHeight="false" outlineLevel="0" collapsed="false">
      <c r="A2322" s="2" t="n">
        <v>214709</v>
      </c>
      <c r="B2322" s="2" t="s">
        <v>1121</v>
      </c>
      <c r="C2322" s="2" t="n">
        <v>2</v>
      </c>
      <c r="D2322" s="2" t="n">
        <v>1</v>
      </c>
      <c r="E2322" s="2" t="n">
        <v>1</v>
      </c>
      <c r="F2322" s="2" t="n">
        <v>49</v>
      </c>
      <c r="G2322" s="2" t="s">
        <v>533</v>
      </c>
      <c r="H2322" s="2" t="str">
        <f aca="false">IFERROR(__xludf.dummyfunction("IF(I2340="""", """", REGEXEXTRACT(I2340, ""Padrao/([^/]+)""))"),"Ipiranga")</f>
        <v>Ipiranga</v>
      </c>
    </row>
    <row r="2323" customFormat="false" ht="15.75" hidden="false" customHeight="false" outlineLevel="0" collapsed="false">
      <c r="A2323" s="2" t="n">
        <v>212870</v>
      </c>
      <c r="B2323" s="2" t="s">
        <v>1962</v>
      </c>
      <c r="C2323" s="2" t="n">
        <v>2</v>
      </c>
      <c r="D2323" s="2" t="n">
        <v>1</v>
      </c>
      <c r="E2323" s="2" t="n">
        <v>1</v>
      </c>
      <c r="F2323" s="2" t="n">
        <v>55</v>
      </c>
      <c r="G2323" s="2" t="s">
        <v>533</v>
      </c>
      <c r="H2323" s="2" t="str">
        <f aca="false">IFERROR(__xludf.dummyfunction("IF(I2341="""", """", REGEXEXTRACT(I2341, ""Padrao/([^/]+)""))"),"Vila Virginia")</f>
        <v>Vila Virginia</v>
      </c>
    </row>
    <row r="2324" customFormat="false" ht="15.75" hidden="false" customHeight="false" outlineLevel="0" collapsed="false">
      <c r="A2324" s="2" t="n">
        <v>212483</v>
      </c>
      <c r="B2324" s="2" t="s">
        <v>1963</v>
      </c>
      <c r="C2324" s="2" t="n">
        <v>2</v>
      </c>
      <c r="D2324" s="2" t="n">
        <v>1</v>
      </c>
      <c r="E2324" s="2" t="n">
        <v>1</v>
      </c>
      <c r="F2324" s="2" t="n">
        <v>42</v>
      </c>
      <c r="G2324" s="2" t="s">
        <v>533</v>
      </c>
      <c r="H2324" s="2" t="str">
        <f aca="false">IFERROR(__xludf.dummyfunction("IF(I2342="""", """", REGEXEXTRACT(I2342, ""Padrao/([^/]+)""))"),"Jardim Maria Goretti")</f>
        <v>Jardim Maria Goretti</v>
      </c>
    </row>
    <row r="2325" customFormat="false" ht="15.75" hidden="false" customHeight="false" outlineLevel="0" collapsed="false">
      <c r="A2325" s="2" t="n">
        <v>212024</v>
      </c>
      <c r="B2325" s="2" t="s">
        <v>1964</v>
      </c>
      <c r="C2325" s="2" t="n">
        <v>2</v>
      </c>
      <c r="D2325" s="2" t="n">
        <v>1</v>
      </c>
      <c r="E2325" s="2" t="n">
        <v>1</v>
      </c>
      <c r="F2325" s="2" t="n">
        <v>43</v>
      </c>
      <c r="G2325" s="2" t="s">
        <v>533</v>
      </c>
      <c r="H2325" s="2" t="str">
        <f aca="false">IFERROR(__xludf.dummyfunction("IF(I2343="""", """", REGEXEXTRACT(I2343, ""Padrao/([^/]+)""))"),"Vila Guiomar")</f>
        <v>Vila Guiomar</v>
      </c>
    </row>
    <row r="2326" customFormat="false" ht="15.75" hidden="false" customHeight="false" outlineLevel="0" collapsed="false">
      <c r="A2326" s="2" t="n">
        <v>210758</v>
      </c>
      <c r="B2326" s="2" t="s">
        <v>1965</v>
      </c>
      <c r="C2326" s="2" t="n">
        <v>2</v>
      </c>
      <c r="D2326" s="2" t="n">
        <v>1</v>
      </c>
      <c r="E2326" s="2" t="n">
        <v>1</v>
      </c>
      <c r="F2326" s="2" t="n">
        <v>44</v>
      </c>
      <c r="G2326" s="2" t="s">
        <v>533</v>
      </c>
      <c r="H2326" s="2" t="str">
        <f aca="false">IFERROR(__xludf.dummyfunction("IF(I2344="""", """", REGEXEXTRACT(I2344, ""Padrao/([^/]+)""))"),"Vila Guiomar")</f>
        <v>Vila Guiomar</v>
      </c>
    </row>
    <row r="2327" customFormat="false" ht="15.75" hidden="false" customHeight="false" outlineLevel="0" collapsed="false">
      <c r="A2327" s="2" t="n">
        <v>210476</v>
      </c>
      <c r="B2327" s="2" t="s">
        <v>1183</v>
      </c>
      <c r="C2327" s="2" t="n">
        <v>2</v>
      </c>
      <c r="D2327" s="2" t="n">
        <v>1</v>
      </c>
      <c r="E2327" s="2" t="n">
        <v>1</v>
      </c>
      <c r="F2327" s="2" t="n">
        <v>47</v>
      </c>
      <c r="G2327" s="2" t="s">
        <v>533</v>
      </c>
      <c r="H2327" s="2" t="str">
        <f aca="false">IFERROR(__xludf.dummyfunction("IF(I2345="""", """", REGEXEXTRACT(I2345, ""Padrao/([^/]+)""))"),"Condominio Mirante Sul")</f>
        <v>Condominio Mirante Sul</v>
      </c>
    </row>
    <row r="2328" customFormat="false" ht="15.75" hidden="false" customHeight="false" outlineLevel="0" collapsed="false">
      <c r="A2328" s="2" t="n">
        <v>209018</v>
      </c>
      <c r="B2328" s="2" t="s">
        <v>1966</v>
      </c>
      <c r="C2328" s="2" t="n">
        <v>1</v>
      </c>
      <c r="D2328" s="2" t="n">
        <v>1</v>
      </c>
      <c r="E2328" s="2" t="n">
        <v>1</v>
      </c>
      <c r="F2328" s="2" t="n">
        <v>45</v>
      </c>
      <c r="G2328" s="2" t="s">
        <v>533</v>
      </c>
      <c r="H2328" s="2" t="str">
        <f aca="false">IFERROR(__xludf.dummyfunction("IF(I2346="""", """", REGEXEXTRACT(I2346, ""Padrao/([^/]+)""))"),"Vila Seixas")</f>
        <v>Vila Seixas</v>
      </c>
    </row>
    <row r="2329" customFormat="false" ht="15.75" hidden="false" customHeight="false" outlineLevel="0" collapsed="false">
      <c r="A2329" s="2" t="n">
        <v>206435</v>
      </c>
      <c r="B2329" s="2" t="s">
        <v>1967</v>
      </c>
      <c r="C2329" s="2" t="n">
        <v>2</v>
      </c>
      <c r="D2329" s="2" t="n">
        <v>1</v>
      </c>
      <c r="E2329" s="2" t="n">
        <v>1</v>
      </c>
      <c r="F2329" s="2" t="n">
        <v>40</v>
      </c>
      <c r="G2329" s="2" t="s">
        <v>533</v>
      </c>
      <c r="H2329" s="2" t="str">
        <f aca="false">IFERROR(__xludf.dummyfunction("IF(I2347="""", """", REGEXEXTRACT(I2347, ""Padrao/([^/]+)""))"),"Recreio das Acacias")</f>
        <v>Recreio das Acacias</v>
      </c>
    </row>
    <row r="2330" customFormat="false" ht="15.75" hidden="false" customHeight="false" outlineLevel="0" collapsed="false">
      <c r="A2330" s="2" t="n">
        <v>205949</v>
      </c>
      <c r="B2330" s="2" t="s">
        <v>1968</v>
      </c>
      <c r="C2330" s="2" t="n">
        <v>2</v>
      </c>
      <c r="D2330" s="2" t="n">
        <v>1</v>
      </c>
      <c r="E2330" s="2" t="n">
        <v>1</v>
      </c>
      <c r="F2330" s="2" t="n">
        <v>50</v>
      </c>
      <c r="G2330" s="2" t="s">
        <v>533</v>
      </c>
      <c r="H2330" s="2" t="str">
        <f aca="false">IFERROR(__xludf.dummyfunction("IF(I2348="""", """", REGEXEXTRACT(I2348, ""Padrao/([^/]+)""))"),"Vila Recreio")</f>
        <v>Vila Recreio</v>
      </c>
    </row>
    <row r="2331" customFormat="false" ht="15.75" hidden="false" customHeight="false" outlineLevel="0" collapsed="false">
      <c r="A2331" s="2" t="n">
        <v>200444</v>
      </c>
      <c r="B2331" s="2" t="s">
        <v>1969</v>
      </c>
      <c r="C2331" s="2" t="n">
        <v>2</v>
      </c>
      <c r="D2331" s="2" t="n">
        <v>1</v>
      </c>
      <c r="E2331" s="2" t="n">
        <v>1</v>
      </c>
      <c r="F2331" s="2" t="n">
        <v>45</v>
      </c>
      <c r="G2331" s="2" t="s">
        <v>533</v>
      </c>
      <c r="H2331" s="2" t="str">
        <f aca="false">IFERROR(__xludf.dummyfunction("IF(I2349="""", """", REGEXEXTRACT(I2349, ""Padrao/([^/]+)""))"),"Vila Guiomar")</f>
        <v>Vila Guiomar</v>
      </c>
    </row>
    <row r="2332" customFormat="false" ht="15.75" hidden="false" customHeight="false" outlineLevel="0" collapsed="false">
      <c r="A2332" s="2" t="n">
        <v>199898</v>
      </c>
      <c r="B2332" s="2" t="s">
        <v>1970</v>
      </c>
      <c r="C2332" s="2" t="n">
        <v>2</v>
      </c>
      <c r="D2332" s="2" t="n">
        <v>1</v>
      </c>
      <c r="E2332" s="2" t="n">
        <v>1</v>
      </c>
      <c r="F2332" s="2" t="n">
        <v>43</v>
      </c>
      <c r="G2332" s="2" t="s">
        <v>533</v>
      </c>
      <c r="H2332" s="2" t="str">
        <f aca="false">IFERROR(__xludf.dummyfunction("IF(I2350="""", """", REGEXEXTRACT(I2350, ""Padrao/([^/]+)""))"),"Loteamento Santa Marta")</f>
        <v>Loteamento Santa Marta</v>
      </c>
    </row>
    <row r="2333" customFormat="false" ht="15.75" hidden="false" customHeight="false" outlineLevel="0" collapsed="false">
      <c r="A2333" s="2" t="n">
        <v>199415</v>
      </c>
      <c r="B2333" s="2" t="s">
        <v>1971</v>
      </c>
      <c r="C2333" s="2" t="n">
        <v>2</v>
      </c>
      <c r="D2333" s="2" t="n">
        <v>1</v>
      </c>
      <c r="E2333" s="2" t="n">
        <v>1</v>
      </c>
      <c r="F2333" s="2" t="n">
        <v>40</v>
      </c>
      <c r="G2333" s="2" t="s">
        <v>533</v>
      </c>
      <c r="H2333" s="2" t="str">
        <f aca="false">IFERROR(__xludf.dummyfunction("IF(I2351="""", """", REGEXEXTRACT(I2351, ""Padrao/([^/]+)""))"),"Jardim Castelo Branco")</f>
        <v>Jardim Castelo Branco</v>
      </c>
    </row>
    <row r="2334" customFormat="false" ht="15.75" hidden="false" customHeight="false" outlineLevel="0" collapsed="false">
      <c r="A2334" s="2" t="n">
        <v>197696</v>
      </c>
      <c r="B2334" s="2" t="s">
        <v>602</v>
      </c>
      <c r="C2334" s="2" t="n">
        <v>1</v>
      </c>
      <c r="D2334" s="2" t="n">
        <v>1</v>
      </c>
      <c r="E2334" s="2" t="n">
        <v>1</v>
      </c>
      <c r="F2334" s="2" t="n">
        <v>48</v>
      </c>
      <c r="G2334" s="2" t="s">
        <v>533</v>
      </c>
      <c r="H2334" s="2" t="str">
        <f aca="false">IFERROR(__xludf.dummyfunction("IF(I2352="""", """", REGEXEXTRACT(I2352, ""Padrao/([^/]+)""))"),"Centro")</f>
        <v>Centro</v>
      </c>
    </row>
    <row r="2335" customFormat="false" ht="15.75" hidden="false" customHeight="false" outlineLevel="0" collapsed="false">
      <c r="A2335" s="2" t="n">
        <v>195242</v>
      </c>
      <c r="B2335" s="2" t="s">
        <v>1972</v>
      </c>
      <c r="C2335" s="2" t="n">
        <v>2</v>
      </c>
      <c r="D2335" s="2" t="n">
        <v>1</v>
      </c>
      <c r="E2335" s="2" t="n">
        <v>1</v>
      </c>
      <c r="F2335" s="2" t="n">
        <v>57</v>
      </c>
      <c r="G2335" s="2" t="s">
        <v>533</v>
      </c>
      <c r="H2335" s="2" t="str">
        <f aca="false">IFERROR(__xludf.dummyfunction("IF(I2354="""", """", REGEXEXTRACT(I2354, ""Padrao/([^/]+)""))"),"Ipiranga")</f>
        <v>Ipiranga</v>
      </c>
    </row>
    <row r="2336" customFormat="false" ht="15.75" hidden="false" customHeight="false" outlineLevel="0" collapsed="false">
      <c r="A2336" s="2" t="n">
        <v>192446</v>
      </c>
      <c r="B2336" s="2" t="s">
        <v>1973</v>
      </c>
      <c r="C2336" s="2" t="n">
        <v>2</v>
      </c>
      <c r="D2336" s="2" t="n">
        <v>1</v>
      </c>
      <c r="E2336" s="2" t="n">
        <v>1</v>
      </c>
      <c r="F2336" s="2" t="n">
        <v>51</v>
      </c>
      <c r="G2336" s="2" t="s">
        <v>533</v>
      </c>
      <c r="H2336" s="2" t="str">
        <f aca="false">IFERROR(__xludf.dummyfunction("IF(I2355="""", """", REGEXEXTRACT(I2355, ""Padrao/([^/]+)""))"),"Jardim Zara")</f>
        <v>Jardim Zara</v>
      </c>
    </row>
    <row r="2337" customFormat="false" ht="15.75" hidden="false" customHeight="false" outlineLevel="0" collapsed="false">
      <c r="A2337" s="2" t="n">
        <v>187622</v>
      </c>
      <c r="B2337" s="2" t="s">
        <v>386</v>
      </c>
      <c r="C2337" s="2" t="n">
        <v>2</v>
      </c>
      <c r="D2337" s="2" t="n">
        <v>1</v>
      </c>
      <c r="E2337" s="2" t="n">
        <v>1</v>
      </c>
      <c r="F2337" s="2" t="n">
        <v>43</v>
      </c>
      <c r="G2337" s="2" t="s">
        <v>533</v>
      </c>
      <c r="H2337" s="2" t="str">
        <f aca="false">IFERROR(__xludf.dummyfunction("IF(I2356="""", """", REGEXEXTRACT(I2356, ""Padrao/([^/]+)""))"),"Jardim Interlagos")</f>
        <v>Jardim Interlagos</v>
      </c>
    </row>
    <row r="2338" customFormat="false" ht="15.75" hidden="false" customHeight="false" outlineLevel="0" collapsed="false">
      <c r="A2338" s="2" t="n">
        <v>187610</v>
      </c>
      <c r="B2338" s="2" t="s">
        <v>1974</v>
      </c>
      <c r="C2338" s="2" t="n">
        <v>2</v>
      </c>
      <c r="D2338" s="2" t="n">
        <v>1</v>
      </c>
      <c r="E2338" s="2" t="n">
        <v>1</v>
      </c>
      <c r="F2338" s="2" t="n">
        <v>41</v>
      </c>
      <c r="G2338" s="2" t="s">
        <v>533</v>
      </c>
      <c r="H2338" s="2" t="str">
        <f aca="false">IFERROR(__xludf.dummyfunction("IF(I2357="""", """", REGEXEXTRACT(I2357, ""Padrao/([^/]+)""))"),"Reserva Real")</f>
        <v>Reserva Real</v>
      </c>
    </row>
    <row r="2339" customFormat="false" ht="15.75" hidden="false" customHeight="false" outlineLevel="0" collapsed="false">
      <c r="A2339" s="2" t="n">
        <v>179801</v>
      </c>
      <c r="B2339" s="2" t="s">
        <v>984</v>
      </c>
      <c r="C2339" s="2" t="n">
        <v>2</v>
      </c>
      <c r="D2339" s="2" t="n">
        <v>2</v>
      </c>
      <c r="E2339" s="2" t="n">
        <v>1</v>
      </c>
      <c r="F2339" s="2" t="n">
        <v>56</v>
      </c>
      <c r="G2339" s="2" t="s">
        <v>533</v>
      </c>
      <c r="H2339" s="2" t="str">
        <f aca="false">IFERROR(__xludf.dummyfunction("IF(I2358="""", """", REGEXEXTRACT(I2358, ""Padrao/([^/]+)""))"),"Chacaras Pedro Correa de Carvalho")</f>
        <v>Chacaras Pedro Correa de Carvalho</v>
      </c>
    </row>
    <row r="2340" customFormat="false" ht="15.75" hidden="false" customHeight="false" outlineLevel="0" collapsed="false">
      <c r="A2340" s="2" t="n">
        <v>178970</v>
      </c>
      <c r="B2340" s="2" t="s">
        <v>1798</v>
      </c>
      <c r="C2340" s="2" t="n">
        <v>2</v>
      </c>
      <c r="D2340" s="2" t="n">
        <v>1</v>
      </c>
      <c r="E2340" s="2" t="n">
        <v>1</v>
      </c>
      <c r="F2340" s="2" t="n">
        <v>46</v>
      </c>
      <c r="G2340" s="2" t="s">
        <v>533</v>
      </c>
      <c r="H2340" s="2" t="str">
        <f aca="false">IFERROR(__xludf.dummyfunction("IF(I2359="""", """", REGEXEXTRACT(I2359, ""Padrao/([^/]+)""))"),"Ribeirania")</f>
        <v>Ribeirania</v>
      </c>
    </row>
    <row r="2341" customFormat="false" ht="15.75" hidden="false" customHeight="false" outlineLevel="0" collapsed="false">
      <c r="A2341" s="2" t="n">
        <v>177980</v>
      </c>
      <c r="B2341" s="2" t="s">
        <v>1975</v>
      </c>
      <c r="C2341" s="2" t="n">
        <v>2</v>
      </c>
      <c r="D2341" s="2" t="n">
        <v>1</v>
      </c>
      <c r="E2341" s="2" t="n">
        <v>1</v>
      </c>
      <c r="F2341" s="2" t="n">
        <v>55</v>
      </c>
      <c r="G2341" s="2" t="s">
        <v>533</v>
      </c>
      <c r="H2341" s="2" t="str">
        <f aca="false">IFERROR(__xludf.dummyfunction("IF(I2360="""", """", REGEXEXTRACT(I2360, ""Padrao/([^/]+)""))"),"Jardim Itau")</f>
        <v>Jardim Itau</v>
      </c>
    </row>
    <row r="2342" customFormat="false" ht="15.75" hidden="false" customHeight="false" outlineLevel="0" collapsed="false">
      <c r="A2342" s="2" t="n">
        <v>176456</v>
      </c>
      <c r="B2342" s="2" t="s">
        <v>1287</v>
      </c>
      <c r="C2342" s="2" t="n">
        <v>2</v>
      </c>
      <c r="D2342" s="2" t="n">
        <v>1</v>
      </c>
      <c r="E2342" s="2" t="n">
        <v>1</v>
      </c>
      <c r="F2342" s="2" t="n">
        <v>46</v>
      </c>
      <c r="G2342" s="2" t="s">
        <v>533</v>
      </c>
      <c r="H2342" s="2" t="str">
        <f aca="false">IFERROR(__xludf.dummyfunction("IF(I2361="""", """", REGEXEXTRACT(I2361, ""Padrao/([^/]+)""))"),"Sumarezinho")</f>
        <v>Sumarezinho</v>
      </c>
    </row>
    <row r="2343" customFormat="false" ht="15.75" hidden="false" customHeight="false" outlineLevel="0" collapsed="false">
      <c r="A2343" s="2" t="n">
        <v>175778</v>
      </c>
      <c r="B2343" s="2" t="s">
        <v>1976</v>
      </c>
      <c r="C2343" s="2" t="n">
        <v>2</v>
      </c>
      <c r="D2343" s="2" t="n">
        <v>1</v>
      </c>
      <c r="E2343" s="2" t="n">
        <v>1</v>
      </c>
      <c r="F2343" s="2" t="n">
        <v>41</v>
      </c>
      <c r="G2343" s="2" t="s">
        <v>533</v>
      </c>
      <c r="H2343" s="2" t="str">
        <f aca="false">IFERROR(__xludf.dummyfunction("IF(I2362="""", """", REGEXEXTRACT(I2362, ""Padrao/([^/]+)""))"),"Residencial Jequitiba")</f>
        <v>Residencial Jequitiba</v>
      </c>
    </row>
    <row r="2344" customFormat="false" ht="15.75" hidden="false" customHeight="false" outlineLevel="0" collapsed="false">
      <c r="A2344" s="2" t="n">
        <v>174113</v>
      </c>
      <c r="B2344" s="2" t="s">
        <v>1977</v>
      </c>
      <c r="C2344" s="2" t="n">
        <v>2</v>
      </c>
      <c r="D2344" s="2" t="n">
        <v>1</v>
      </c>
      <c r="E2344" s="2" t="n">
        <v>1</v>
      </c>
      <c r="F2344" s="2" t="n">
        <v>69</v>
      </c>
      <c r="G2344" s="2" t="s">
        <v>533</v>
      </c>
      <c r="H2344" s="2" t="str">
        <f aca="false">IFERROR(__xludf.dummyfunction("IF(I2363="""", """", REGEXEXTRACT(I2363, ""Padrao/([^/]+)""))"),"Vila Monte Alegre")</f>
        <v>Vila Monte Alegre</v>
      </c>
    </row>
    <row r="2345" customFormat="false" ht="15.75" hidden="false" customHeight="false" outlineLevel="0" collapsed="false">
      <c r="A2345" s="2" t="n">
        <v>171062</v>
      </c>
      <c r="B2345" s="2" t="s">
        <v>1978</v>
      </c>
      <c r="C2345" s="2" t="n">
        <v>1</v>
      </c>
      <c r="D2345" s="2" t="n">
        <v>1</v>
      </c>
      <c r="E2345" s="2" t="n">
        <v>1</v>
      </c>
      <c r="F2345" s="2" t="n">
        <v>33</v>
      </c>
      <c r="G2345" s="2" t="s">
        <v>533</v>
      </c>
      <c r="H2345" s="2" t="str">
        <f aca="false">IFERROR(__xludf.dummyfunction("IF(I2364="""", """", REGEXEXTRACT(I2364, ""Padrao/([^/]+)""))"),"Jardim Iraja")</f>
        <v>Jardim Iraja</v>
      </c>
    </row>
    <row r="2346" customFormat="false" ht="15.75" hidden="false" customHeight="false" outlineLevel="0" collapsed="false">
      <c r="A2346" s="2" t="n">
        <v>167963</v>
      </c>
      <c r="B2346" s="2" t="s">
        <v>1648</v>
      </c>
      <c r="C2346" s="2" t="n">
        <v>1</v>
      </c>
      <c r="D2346" s="2" t="n">
        <v>1</v>
      </c>
      <c r="E2346" s="2" t="n">
        <v>1</v>
      </c>
      <c r="F2346" s="2" t="n">
        <v>42</v>
      </c>
      <c r="G2346" s="2" t="s">
        <v>533</v>
      </c>
      <c r="H2346" s="2" t="str">
        <f aca="false">IFERROR(__xludf.dummyfunction("IF(I2365="""", """", REGEXEXTRACT(I2365, ""Padrao/([^/]+)""))"),"Nova Alianca")</f>
        <v>Nova Alianca</v>
      </c>
    </row>
    <row r="2347" customFormat="false" ht="15.75" hidden="false" customHeight="false" outlineLevel="0" collapsed="false">
      <c r="A2347" s="2" t="n">
        <v>164684</v>
      </c>
      <c r="B2347" s="2" t="s">
        <v>1979</v>
      </c>
      <c r="C2347" s="2" t="n">
        <v>1</v>
      </c>
      <c r="D2347" s="2" t="n">
        <v>1</v>
      </c>
      <c r="E2347" s="2" t="n">
        <v>1</v>
      </c>
      <c r="F2347" s="2" t="n">
        <v>39</v>
      </c>
      <c r="G2347" s="2" t="s">
        <v>533</v>
      </c>
      <c r="H2347" s="2" t="str">
        <f aca="false">IFERROR(__xludf.dummyfunction("IF(I2366="""", """", REGEXEXTRACT(I2366, ""Padrao/([^/]+)""))"),"Jardim Iraja")</f>
        <v>Jardim Iraja</v>
      </c>
    </row>
    <row r="2348" customFormat="false" ht="15.75" hidden="false" customHeight="false" outlineLevel="0" collapsed="false">
      <c r="A2348" s="2" t="n">
        <v>160226</v>
      </c>
      <c r="B2348" s="2" t="s">
        <v>1980</v>
      </c>
      <c r="C2348" s="2" t="n">
        <v>2</v>
      </c>
      <c r="D2348" s="2" t="n">
        <v>1</v>
      </c>
      <c r="E2348" s="2" t="n">
        <v>1</v>
      </c>
      <c r="F2348" s="2" t="n">
        <v>60</v>
      </c>
      <c r="G2348" s="2" t="s">
        <v>533</v>
      </c>
      <c r="H2348" s="2" t="str">
        <f aca="false">IFERROR(__xludf.dummyfunction("IF(I2367="""", """", REGEXEXTRACT(I2367, ""Padrao/([^/]+)""))"),"Jardim Mosteiro")</f>
        <v>Jardim Mosteiro</v>
      </c>
    </row>
    <row r="2349" customFormat="false" ht="15.75" hidden="false" customHeight="false" outlineLevel="0" collapsed="false">
      <c r="A2349" s="2" t="n">
        <v>159956</v>
      </c>
      <c r="B2349" s="2" t="s">
        <v>1981</v>
      </c>
      <c r="C2349" s="2" t="n">
        <v>1</v>
      </c>
      <c r="D2349" s="2" t="n">
        <v>1</v>
      </c>
      <c r="E2349" s="2" t="n">
        <v>1</v>
      </c>
      <c r="F2349" s="2" t="n">
        <v>32</v>
      </c>
      <c r="G2349" s="2" t="s">
        <v>533</v>
      </c>
      <c r="H2349" s="2" t="str">
        <f aca="false">IFERROR(__xludf.dummyfunction("IF(I2368="""", """", REGEXEXTRACT(I2368, ""Padrao/([^/]+)""))"),"Vila Ana Maria")</f>
        <v>Vila Ana Maria</v>
      </c>
    </row>
    <row r="2350" customFormat="false" ht="15.75" hidden="false" customHeight="false" outlineLevel="0" collapsed="false">
      <c r="A2350" s="2" t="n">
        <v>154181</v>
      </c>
      <c r="B2350" s="2" t="s">
        <v>1951</v>
      </c>
      <c r="C2350" s="2" t="n">
        <v>2</v>
      </c>
      <c r="D2350" s="2" t="n">
        <v>1</v>
      </c>
      <c r="E2350" s="2" t="n">
        <v>1</v>
      </c>
      <c r="F2350" s="2" t="n">
        <v>51</v>
      </c>
      <c r="G2350" s="2" t="s">
        <v>533</v>
      </c>
      <c r="H2350" s="2" t="str">
        <f aca="false">IFERROR(__xludf.dummyfunction("IF(I2369="""", """", REGEXEXTRACT(I2369, ""Padrao/([^/]+)""))"),"Presidente Medici")</f>
        <v>Presidente Medici</v>
      </c>
    </row>
    <row r="2351" customFormat="false" ht="15.75" hidden="false" customHeight="false" outlineLevel="0" collapsed="false">
      <c r="A2351" s="2" t="n">
        <v>154028</v>
      </c>
      <c r="B2351" s="2" t="s">
        <v>1308</v>
      </c>
      <c r="C2351" s="2" t="n">
        <v>1</v>
      </c>
      <c r="D2351" s="2" t="n">
        <v>1</v>
      </c>
      <c r="E2351" s="2" t="n">
        <v>1</v>
      </c>
      <c r="F2351" s="2" t="n">
        <v>37</v>
      </c>
      <c r="G2351" s="2" t="s">
        <v>533</v>
      </c>
      <c r="H2351" s="2" t="str">
        <f aca="false">IFERROR(__xludf.dummyfunction("IF(I2370="""", """", REGEXEXTRACT(I2370, ""Padrao/([^/]+)""))"),"Nova Alianca")</f>
        <v>Nova Alianca</v>
      </c>
    </row>
    <row r="2352" customFormat="false" ht="15.75" hidden="false" customHeight="false" outlineLevel="0" collapsed="false">
      <c r="A2352" s="2" t="n">
        <v>147503</v>
      </c>
      <c r="B2352" s="2" t="s">
        <v>1373</v>
      </c>
      <c r="C2352" s="2" t="n">
        <v>2</v>
      </c>
      <c r="D2352" s="2" t="n">
        <v>2</v>
      </c>
      <c r="E2352" s="2" t="n">
        <v>1</v>
      </c>
      <c r="F2352" s="2" t="n">
        <v>52</v>
      </c>
      <c r="G2352" s="2" t="s">
        <v>533</v>
      </c>
      <c r="H2352" s="2" t="str">
        <f aca="false">IFERROR(__xludf.dummyfunction("IF(I2371="""", """", REGEXEXTRACT(I2371, ""Padrao/([^/]+)""))"),"Jardim Paulistano")</f>
        <v>Jardim Paulistano</v>
      </c>
    </row>
    <row r="2353" customFormat="false" ht="15.75" hidden="false" customHeight="false" outlineLevel="0" collapsed="false">
      <c r="A2353" s="2" t="n">
        <v>146858</v>
      </c>
      <c r="B2353" s="2" t="s">
        <v>1982</v>
      </c>
      <c r="C2353" s="2" t="n">
        <v>3</v>
      </c>
      <c r="D2353" s="2" t="n">
        <v>1</v>
      </c>
      <c r="E2353" s="2" t="n">
        <v>1</v>
      </c>
      <c r="F2353" s="2" t="n">
        <v>70</v>
      </c>
      <c r="G2353" s="2" t="s">
        <v>533</v>
      </c>
      <c r="H2353" s="2" t="str">
        <f aca="false">IFERROR(__xludf.dummyfunction("IF(I2372="""", """", REGEXEXTRACT(I2372, ""Padrao/([^/]+)""))"),"Ipiranga")</f>
        <v>Ipiranga</v>
      </c>
    </row>
    <row r="2354" customFormat="false" ht="15.75" hidden="false" customHeight="false" outlineLevel="0" collapsed="false">
      <c r="A2354" s="2" t="n">
        <v>143711</v>
      </c>
      <c r="B2354" s="2" t="s">
        <v>1983</v>
      </c>
      <c r="C2354" s="2" t="n">
        <v>2</v>
      </c>
      <c r="D2354" s="2" t="n">
        <v>1</v>
      </c>
      <c r="E2354" s="2" t="n">
        <v>1</v>
      </c>
      <c r="F2354" s="2" t="n">
        <v>46</v>
      </c>
      <c r="G2354" s="2" t="s">
        <v>533</v>
      </c>
      <c r="H2354" s="2" t="str">
        <f aca="false">IFERROR(__xludf.dummyfunction("IF(I2373="""", """", REGEXEXTRACT(I2373, ""Padrao/([^/]+)""))"),"Reserva Sul Condominio")</f>
        <v>Reserva Sul Condominio</v>
      </c>
    </row>
    <row r="2355" customFormat="false" ht="15.75" hidden="false" customHeight="false" outlineLevel="0" collapsed="false">
      <c r="A2355" s="2" t="n">
        <v>138455</v>
      </c>
      <c r="B2355" s="2" t="s">
        <v>876</v>
      </c>
      <c r="C2355" s="2" t="n">
        <v>2</v>
      </c>
      <c r="D2355" s="2" t="n">
        <v>1</v>
      </c>
      <c r="E2355" s="2" t="n">
        <v>1</v>
      </c>
      <c r="F2355" s="2" t="n">
        <v>41</v>
      </c>
      <c r="G2355" s="2" t="s">
        <v>533</v>
      </c>
      <c r="H2355" s="2" t="str">
        <f aca="false">IFERROR(__xludf.dummyfunction("IF(I2374="""", """", REGEXEXTRACT(I2374, ""Padrao/([^/]+)""))"),"Reserva Real")</f>
        <v>Reserva Real</v>
      </c>
    </row>
    <row r="2356" customFormat="false" ht="15.75" hidden="false" customHeight="false" outlineLevel="0" collapsed="false">
      <c r="A2356" s="2" t="n">
        <v>134564</v>
      </c>
      <c r="B2356" s="2" t="s">
        <v>1648</v>
      </c>
      <c r="C2356" s="2" t="n">
        <v>1</v>
      </c>
      <c r="D2356" s="2" t="n">
        <v>1</v>
      </c>
      <c r="E2356" s="2" t="n">
        <v>1</v>
      </c>
      <c r="F2356" s="2" t="n">
        <v>41</v>
      </c>
      <c r="G2356" s="2" t="s">
        <v>533</v>
      </c>
      <c r="H2356" s="2" t="str">
        <f aca="false">IFERROR(__xludf.dummyfunction("IF(I2375="""", """", REGEXEXTRACT(I2375, ""Padrao/([^/]+)""))"),"Nova Alianca")</f>
        <v>Nova Alianca</v>
      </c>
    </row>
    <row r="2357" customFormat="false" ht="15.75" hidden="false" customHeight="false" outlineLevel="0" collapsed="false">
      <c r="A2357" s="2" t="n">
        <v>123056</v>
      </c>
      <c r="B2357" s="2" t="s">
        <v>1984</v>
      </c>
      <c r="C2357" s="2" t="n">
        <v>3</v>
      </c>
      <c r="D2357" s="2" t="n">
        <v>2</v>
      </c>
      <c r="E2357" s="2" t="n">
        <v>1</v>
      </c>
      <c r="F2357" s="2" t="n">
        <v>82</v>
      </c>
      <c r="G2357" s="2" t="s">
        <v>533</v>
      </c>
      <c r="H2357" s="2" t="str">
        <f aca="false">IFERROR(__xludf.dummyfunction("IF(I2377="""", """", REGEXEXTRACT(I2377, ""Padrao/([^/]+)""))"),"Ipiranga")</f>
        <v>Ipiranga</v>
      </c>
    </row>
    <row r="2358" customFormat="false" ht="15.75" hidden="false" customHeight="false" outlineLevel="0" collapsed="false">
      <c r="A2358" s="2" t="n">
        <v>122783</v>
      </c>
      <c r="B2358" s="2" t="s">
        <v>162</v>
      </c>
      <c r="C2358" s="2" t="n">
        <v>2</v>
      </c>
      <c r="D2358" s="2" t="n">
        <v>1</v>
      </c>
      <c r="E2358" s="2" t="n">
        <v>1</v>
      </c>
      <c r="F2358" s="2" t="n">
        <v>51</v>
      </c>
      <c r="G2358" s="2" t="s">
        <v>533</v>
      </c>
      <c r="H2358" s="2" t="str">
        <f aca="false">IFERROR(__xludf.dummyfunction("IF(I2378="""", """", REGEXEXTRACT(I2378, ""Padrao/([^/]+)""))"),"Presidente Medici")</f>
        <v>Presidente Medici</v>
      </c>
    </row>
    <row r="2359" customFormat="false" ht="15.75" hidden="false" customHeight="false" outlineLevel="0" collapsed="false">
      <c r="A2359" s="2" t="n">
        <v>118670</v>
      </c>
      <c r="B2359" s="2" t="s">
        <v>1985</v>
      </c>
      <c r="C2359" s="2" t="n">
        <v>1</v>
      </c>
      <c r="D2359" s="2" t="n">
        <v>1</v>
      </c>
      <c r="E2359" s="2" t="n">
        <v>1</v>
      </c>
      <c r="F2359" s="2" t="n">
        <v>32</v>
      </c>
      <c r="G2359" s="2" t="s">
        <v>533</v>
      </c>
      <c r="H2359" s="2" t="str">
        <f aca="false">IFERROR(__xludf.dummyfunction("IF(I2379="""", """", REGEXEXTRACT(I2379, ""Padrao/([^/]+)""))"),"Jardim Botanico")</f>
        <v>Jardim Botanico</v>
      </c>
    </row>
    <row r="2360" customFormat="false" ht="15.75" hidden="false" customHeight="false" outlineLevel="0" collapsed="false">
      <c r="A2360" s="2" t="n">
        <v>112823</v>
      </c>
      <c r="B2360" s="2" t="s">
        <v>1959</v>
      </c>
      <c r="C2360" s="2" t="n">
        <v>2</v>
      </c>
      <c r="D2360" s="2" t="n">
        <v>2</v>
      </c>
      <c r="E2360" s="2" t="n">
        <v>1</v>
      </c>
      <c r="F2360" s="2" t="n">
        <v>52</v>
      </c>
      <c r="G2360" s="2" t="s">
        <v>533</v>
      </c>
      <c r="H2360" s="2" t="str">
        <f aca="false">IFERROR(__xludf.dummyfunction("IF(I2380="""", """", REGEXEXTRACT(I2380, ""Padrao/([^/]+)""))"),"Jardim Paulistano")</f>
        <v>Jardim Paulistano</v>
      </c>
    </row>
    <row r="2361" customFormat="false" ht="15.75" hidden="false" customHeight="false" outlineLevel="0" collapsed="false">
      <c r="A2361" s="2" t="n">
        <v>108005</v>
      </c>
      <c r="B2361" s="2" t="s">
        <v>1744</v>
      </c>
      <c r="C2361" s="2" t="n">
        <v>1</v>
      </c>
      <c r="D2361" s="2" t="n">
        <v>1</v>
      </c>
      <c r="E2361" s="2" t="n">
        <v>1</v>
      </c>
      <c r="F2361" s="2" t="n">
        <v>37</v>
      </c>
      <c r="G2361" s="2" t="s">
        <v>533</v>
      </c>
      <c r="H2361" s="2" t="str">
        <f aca="false">IFERROR(__xludf.dummyfunction("IF(I2381="""", """", REGEXEXTRACT(I2381, ""Padrao/([^/]+)""))"),"Nova Alianca")</f>
        <v>Nova Alianca</v>
      </c>
    </row>
    <row r="2362" customFormat="false" ht="15.75" hidden="false" customHeight="false" outlineLevel="0" collapsed="false">
      <c r="A2362" s="2" t="n">
        <v>106169</v>
      </c>
      <c r="B2362" s="2" t="s">
        <v>162</v>
      </c>
      <c r="C2362" s="2" t="n">
        <v>3</v>
      </c>
      <c r="D2362" s="2" t="n">
        <v>2</v>
      </c>
      <c r="E2362" s="2" t="n">
        <v>1</v>
      </c>
      <c r="F2362" s="2" t="n">
        <v>86</v>
      </c>
      <c r="G2362" s="2" t="s">
        <v>533</v>
      </c>
      <c r="H2362" s="2" t="str">
        <f aca="false">IFERROR(__xludf.dummyfunction("IF(I2382="""", """", REGEXEXTRACT(I2382, ""Padrao/([^/]+)""))"),"Vila Virginia")</f>
        <v>Vila Virginia</v>
      </c>
    </row>
    <row r="2363" customFormat="false" ht="15.75" hidden="false" customHeight="false" outlineLevel="0" collapsed="false">
      <c r="A2363" s="2" t="n">
        <v>100958</v>
      </c>
      <c r="B2363" s="2" t="s">
        <v>1986</v>
      </c>
      <c r="C2363" s="2" t="n">
        <v>1</v>
      </c>
      <c r="D2363" s="2" t="n">
        <v>1</v>
      </c>
      <c r="E2363" s="2" t="n">
        <v>1</v>
      </c>
      <c r="F2363" s="2" t="n">
        <v>37</v>
      </c>
      <c r="G2363" s="2" t="s">
        <v>533</v>
      </c>
      <c r="H2363" s="2" t="str">
        <f aca="false">IFERROR(__xludf.dummyfunction("IF(I2383="""", """", REGEXEXTRACT(I2383, ""Padrao/([^/]+)""))"),"Nova Alianca")</f>
        <v>Nova Alianca</v>
      </c>
    </row>
    <row r="2364" customFormat="false" ht="15.75" hidden="false" customHeight="false" outlineLevel="0" collapsed="false">
      <c r="A2364" s="2" t="n">
        <v>96248</v>
      </c>
      <c r="B2364" s="2" t="s">
        <v>1987</v>
      </c>
      <c r="C2364" s="2" t="n">
        <v>1</v>
      </c>
      <c r="D2364" s="2" t="n">
        <v>1</v>
      </c>
      <c r="E2364" s="2" t="n">
        <v>1</v>
      </c>
      <c r="F2364" s="2" t="n">
        <v>48</v>
      </c>
      <c r="G2364" s="2" t="s">
        <v>533</v>
      </c>
      <c r="H2364" s="2" t="str">
        <f aca="false">IFERROR(__xludf.dummyfunction("IF(I2384="""", """", REGEXEXTRACT(I2384, ""Padrao/([^/]+)""))"),"Centro")</f>
        <v>Centro</v>
      </c>
    </row>
    <row r="2365" customFormat="false" ht="15.75" hidden="false" customHeight="false" outlineLevel="0" collapsed="false">
      <c r="A2365" s="2" t="n">
        <v>96080</v>
      </c>
      <c r="B2365" s="2" t="s">
        <v>1373</v>
      </c>
      <c r="C2365" s="2" t="n">
        <v>2</v>
      </c>
      <c r="D2365" s="2" t="n">
        <v>2</v>
      </c>
      <c r="E2365" s="2" t="n">
        <v>1</v>
      </c>
      <c r="F2365" s="2" t="n">
        <v>62</v>
      </c>
      <c r="G2365" s="2" t="s">
        <v>533</v>
      </c>
      <c r="H2365" s="2" t="str">
        <f aca="false">IFERROR(__xludf.dummyfunction("IF(I2385="""", """", REGEXEXTRACT(I2385, ""Padrao/([^/]+)""))"),"Vila Tamandare")</f>
        <v>Vila Tamandare</v>
      </c>
    </row>
    <row r="2366" customFormat="false" ht="15.75" hidden="false" customHeight="false" outlineLevel="0" collapsed="false">
      <c r="A2366" s="2" t="n">
        <v>95924</v>
      </c>
      <c r="B2366" s="2" t="s">
        <v>1988</v>
      </c>
      <c r="C2366" s="2" t="n">
        <v>2</v>
      </c>
      <c r="D2366" s="2" t="n">
        <v>2</v>
      </c>
      <c r="E2366" s="2" t="n">
        <v>1</v>
      </c>
      <c r="F2366" s="2" t="n">
        <v>64</v>
      </c>
      <c r="G2366" s="2" t="s">
        <v>533</v>
      </c>
      <c r="H2366" s="2" t="str">
        <f aca="false">IFERROR(__xludf.dummyfunction("IF(I2386="""", """", REGEXEXTRACT(I2386, ""Padrao/([^/]+)""))"),"Parque Industrial Lagoinha")</f>
        <v>Parque Industrial Lagoinha</v>
      </c>
    </row>
    <row r="2367" customFormat="false" ht="15.75" hidden="false" customHeight="false" outlineLevel="0" collapsed="false">
      <c r="A2367" s="2" t="n">
        <v>93200</v>
      </c>
      <c r="B2367" s="2" t="s">
        <v>1989</v>
      </c>
      <c r="C2367" s="2" t="n">
        <v>1</v>
      </c>
      <c r="D2367" s="2" t="n">
        <v>1</v>
      </c>
      <c r="E2367" s="2" t="n">
        <v>1</v>
      </c>
      <c r="F2367" s="2" t="n">
        <v>34</v>
      </c>
      <c r="G2367" s="2" t="s">
        <v>533</v>
      </c>
      <c r="H2367" s="2" t="str">
        <f aca="false">IFERROR(__xludf.dummyfunction("IF(I2387="""", """", REGEXEXTRACT(I2387, ""Padrao/([^/]+)""))"),"Vila Ana Maria")</f>
        <v>Vila Ana Maria</v>
      </c>
    </row>
    <row r="2368" customFormat="false" ht="15.75" hidden="false" customHeight="false" outlineLevel="0" collapsed="false">
      <c r="A2368" s="2" t="n">
        <v>91925</v>
      </c>
      <c r="B2368" s="2" t="s">
        <v>1990</v>
      </c>
      <c r="C2368" s="2" t="n">
        <v>1</v>
      </c>
      <c r="D2368" s="2" t="n">
        <v>1</v>
      </c>
      <c r="E2368" s="2" t="n">
        <v>1</v>
      </c>
      <c r="F2368" s="2" t="n">
        <v>41</v>
      </c>
      <c r="G2368" s="2" t="s">
        <v>533</v>
      </c>
      <c r="H2368" s="2" t="str">
        <f aca="false">IFERROR(__xludf.dummyfunction("IF(I2388="""", """", REGEXEXTRACT(I2388, ""Padrao/([^/]+)""))"),"Vila Ana Maria")</f>
        <v>Vila Ana Maria</v>
      </c>
    </row>
    <row r="2369" customFormat="false" ht="15.75" hidden="false" customHeight="false" outlineLevel="0" collapsed="false">
      <c r="A2369" s="2" t="n">
        <v>86228</v>
      </c>
      <c r="B2369" s="2" t="s">
        <v>519</v>
      </c>
      <c r="C2369" s="2" t="n">
        <v>1</v>
      </c>
      <c r="D2369" s="2" t="n">
        <v>1</v>
      </c>
      <c r="E2369" s="2" t="n">
        <v>1</v>
      </c>
      <c r="F2369" s="2" t="n">
        <v>46</v>
      </c>
      <c r="G2369" s="2" t="s">
        <v>533</v>
      </c>
      <c r="H2369" s="2" t="str">
        <f aca="false">IFERROR(__xludf.dummyfunction("IF(I2389="""", """", REGEXEXTRACT(I2389, ""Padrao/([^/]+)""))"),"Centro")</f>
        <v>Centro</v>
      </c>
    </row>
    <row r="2370" customFormat="false" ht="15.75" hidden="false" customHeight="false" outlineLevel="0" collapsed="false">
      <c r="A2370" s="2" t="n">
        <v>85685</v>
      </c>
      <c r="B2370" s="2" t="s">
        <v>1991</v>
      </c>
      <c r="C2370" s="2" t="n">
        <v>1</v>
      </c>
      <c r="D2370" s="2" t="n">
        <v>1</v>
      </c>
      <c r="E2370" s="2" t="n">
        <v>1</v>
      </c>
      <c r="F2370" s="2" t="n">
        <v>50</v>
      </c>
      <c r="G2370" s="2" t="s">
        <v>533</v>
      </c>
      <c r="H2370" s="2" t="str">
        <f aca="false">IFERROR(__xludf.dummyfunction("IF(I2390="""", """", REGEXEXTRACT(I2390, ""Padrao/([^/]+)""))"),"Jardim Paulista")</f>
        <v>Jardim Paulista</v>
      </c>
    </row>
    <row r="2371" customFormat="false" ht="15.75" hidden="false" customHeight="false" outlineLevel="0" collapsed="false">
      <c r="A2371" s="2" t="n">
        <v>84200</v>
      </c>
      <c r="B2371" s="2" t="s">
        <v>1992</v>
      </c>
      <c r="C2371" s="2" t="n">
        <v>1</v>
      </c>
      <c r="D2371" s="2" t="n">
        <v>1</v>
      </c>
      <c r="E2371" s="2" t="n">
        <v>1</v>
      </c>
      <c r="F2371" s="2" t="n">
        <v>42</v>
      </c>
      <c r="G2371" s="2" t="s">
        <v>533</v>
      </c>
      <c r="H2371" s="2" t="str">
        <f aca="false">IFERROR(__xludf.dummyfunction("IF(I2391="""", """", REGEXEXTRACT(I2391, ""Padrao/([^/]+)""))"),"Jardim California")</f>
        <v>Jardim California</v>
      </c>
    </row>
    <row r="2372" customFormat="false" ht="15.75" hidden="false" customHeight="false" outlineLevel="0" collapsed="false">
      <c r="A2372" s="2" t="n">
        <v>76235</v>
      </c>
      <c r="B2372" s="2" t="s">
        <v>1894</v>
      </c>
      <c r="C2372" s="2" t="n">
        <v>2</v>
      </c>
      <c r="D2372" s="2" t="n">
        <v>2</v>
      </c>
      <c r="E2372" s="2" t="n">
        <v>1</v>
      </c>
      <c r="F2372" s="2" t="n">
        <v>58</v>
      </c>
      <c r="G2372" s="2" t="s">
        <v>533</v>
      </c>
      <c r="H2372" s="2" t="str">
        <f aca="false">IFERROR(__xludf.dummyfunction("IF(I2392="""", """", REGEXEXTRACT(I2392, ""Padrao/([^/]+)""))"),"Jardim Anhanguera")</f>
        <v>Jardim Anhanguera</v>
      </c>
    </row>
    <row r="2373" customFormat="false" ht="15.75" hidden="false" customHeight="false" outlineLevel="0" collapsed="false">
      <c r="A2373" s="2" t="n">
        <v>74252</v>
      </c>
      <c r="B2373" s="2" t="s">
        <v>1993</v>
      </c>
      <c r="C2373" s="2" t="n">
        <v>1</v>
      </c>
      <c r="D2373" s="2" t="n">
        <v>1</v>
      </c>
      <c r="E2373" s="2" t="n">
        <v>1</v>
      </c>
      <c r="F2373" s="2" t="n">
        <v>37</v>
      </c>
      <c r="G2373" s="2" t="s">
        <v>533</v>
      </c>
      <c r="H2373" s="2" t="str">
        <f aca="false">IFERROR(__xludf.dummyfunction("IF(I2393="""", """", REGEXEXTRACT(I2393, ""Padrao/([^/]+)""))"),"Vila Ana Maria")</f>
        <v>Vila Ana Maria</v>
      </c>
    </row>
    <row r="2374" customFormat="false" ht="15.75" hidden="false" customHeight="false" outlineLevel="0" collapsed="false">
      <c r="A2374" s="2" t="n">
        <v>62684</v>
      </c>
      <c r="B2374" s="2" t="s">
        <v>958</v>
      </c>
      <c r="C2374" s="2" t="n">
        <v>2</v>
      </c>
      <c r="D2374" s="2" t="n">
        <v>2</v>
      </c>
      <c r="E2374" s="2" t="n">
        <v>1</v>
      </c>
      <c r="F2374" s="2" t="n">
        <v>53</v>
      </c>
      <c r="G2374" s="2" t="s">
        <v>533</v>
      </c>
      <c r="H2374" s="2" t="str">
        <f aca="false">IFERROR(__xludf.dummyfunction("IF(I2394="""", """", REGEXEXTRACT(I2394, ""Padrao/([^/]+)""))"),"Parque Industrial Lagoinha")</f>
        <v>Parque Industrial Lagoinha</v>
      </c>
    </row>
    <row r="2375" customFormat="false" ht="15.75" hidden="false" customHeight="false" outlineLevel="0" collapsed="false">
      <c r="A2375" s="2" t="n">
        <v>55460</v>
      </c>
      <c r="B2375" s="2" t="s">
        <v>1994</v>
      </c>
      <c r="C2375" s="2" t="n">
        <v>1</v>
      </c>
      <c r="D2375" s="2" t="n">
        <v>1</v>
      </c>
      <c r="E2375" s="2" t="n">
        <v>1</v>
      </c>
      <c r="F2375" s="2" t="n">
        <v>46</v>
      </c>
      <c r="G2375" s="2" t="s">
        <v>533</v>
      </c>
      <c r="H2375" s="2" t="str">
        <f aca="false">IFERROR(__xludf.dummyfunction("IF(I2395="""", """", REGEXEXTRACT(I2395, ""Padrao/([^/]+)""))"),"Centro")</f>
        <v>Centro</v>
      </c>
    </row>
    <row r="2376" customFormat="false" ht="15.75" hidden="false" customHeight="false" outlineLevel="0" collapsed="false">
      <c r="A2376" s="2" t="n">
        <v>100019</v>
      </c>
      <c r="B2376" s="2" t="s">
        <v>1214</v>
      </c>
      <c r="C2376" s="2" t="n">
        <v>2</v>
      </c>
      <c r="D2376" s="2" t="n">
        <v>2</v>
      </c>
      <c r="E2376" s="2" t="n">
        <v>2</v>
      </c>
      <c r="F2376" s="2" t="n">
        <v>68</v>
      </c>
      <c r="G2376" s="2" t="s">
        <v>533</v>
      </c>
      <c r="H2376" s="2" t="str">
        <f aca="false">IFERROR(__xludf.dummyfunction("IF(I2396="""", """", REGEXEXTRACT(I2396, ""Padrao/([^/]+)""))"),"Sumarezinho")</f>
        <v>Sumarezinho</v>
      </c>
    </row>
    <row r="2377" customFormat="false" ht="15.75" hidden="false" customHeight="false" outlineLevel="0" collapsed="false">
      <c r="A2377" s="2" t="n">
        <v>148865</v>
      </c>
      <c r="B2377" s="2" t="s">
        <v>1082</v>
      </c>
      <c r="C2377" s="2" t="n">
        <v>2</v>
      </c>
      <c r="D2377" s="2" t="n">
        <v>1</v>
      </c>
      <c r="E2377" s="2" t="n">
        <v>2</v>
      </c>
      <c r="F2377" s="2" t="n">
        <v>41</v>
      </c>
      <c r="G2377" s="2" t="s">
        <v>1995</v>
      </c>
      <c r="H2377" s="2" t="str">
        <f aca="false">IFERROR(__xludf.dummyfunction("IF(I2397="""", """", REGEXEXTRACT(I2397, ""Padrao/([^/]+)""))"),"Residencial Jequitiba")</f>
        <v>Residencial Jequitiba</v>
      </c>
    </row>
    <row r="2378" customFormat="false" ht="15.75" hidden="false" customHeight="false" outlineLevel="0" collapsed="false">
      <c r="A2378" s="2" t="n">
        <v>188078</v>
      </c>
      <c r="B2378" s="2" t="s">
        <v>1996</v>
      </c>
      <c r="C2378" s="2" t="n">
        <v>2</v>
      </c>
      <c r="D2378" s="2" t="n">
        <v>1</v>
      </c>
      <c r="E2378" s="2" t="n">
        <v>1</v>
      </c>
      <c r="F2378" s="2" t="n">
        <v>57</v>
      </c>
      <c r="G2378" s="2" t="s">
        <v>1997</v>
      </c>
      <c r="H2378" s="2" t="str">
        <f aca="false">IFERROR(__xludf.dummyfunction("IF(I2398="""", """", REGEXEXTRACT(I2398, ""Padrao/([^/]+)""))"),"Jardim Antartica")</f>
        <v>Jardim Antartica</v>
      </c>
    </row>
    <row r="2379" customFormat="false" ht="15.75" hidden="false" customHeight="false" outlineLevel="0" collapsed="false">
      <c r="A2379" s="2" t="n">
        <v>172418</v>
      </c>
      <c r="B2379" s="2" t="s">
        <v>1998</v>
      </c>
      <c r="C2379" s="2" t="n">
        <v>2</v>
      </c>
      <c r="D2379" s="2" t="n">
        <v>2</v>
      </c>
      <c r="E2379" s="2" t="n">
        <v>1</v>
      </c>
      <c r="F2379" s="2" t="n">
        <v>54</v>
      </c>
      <c r="G2379" s="2" t="s">
        <v>1997</v>
      </c>
      <c r="H2379" s="2" t="str">
        <f aca="false">IFERROR(__xludf.dummyfunction("IF(I2399="""", """", REGEXEXTRACT(I2399, ""Padrao/([^/]+)""))"),"Residencial Greenville")</f>
        <v>Residencial Greenville</v>
      </c>
    </row>
    <row r="2380" customFormat="false" ht="15.75" hidden="false" customHeight="false" outlineLevel="0" collapsed="false">
      <c r="A2380" s="2" t="n">
        <v>131000</v>
      </c>
      <c r="B2380" s="2" t="s">
        <v>1999</v>
      </c>
      <c r="C2380" s="2" t="n">
        <v>2</v>
      </c>
      <c r="D2380" s="2" t="n">
        <v>2</v>
      </c>
      <c r="E2380" s="2" t="n">
        <v>1</v>
      </c>
      <c r="F2380" s="2" t="n">
        <v>54</v>
      </c>
      <c r="G2380" s="2" t="s">
        <v>1997</v>
      </c>
      <c r="H2380" s="2" t="str">
        <f aca="false">IFERROR(__xludf.dummyfunction("IF(I2400="""", """", REGEXEXTRACT(I2400, ""Padrao/([^/]+)""))"),"Residencial Greenville")</f>
        <v>Residencial Greenville</v>
      </c>
    </row>
    <row r="2381" customFormat="false" ht="15.75" hidden="false" customHeight="false" outlineLevel="0" collapsed="false">
      <c r="A2381" s="2" t="n">
        <v>191300</v>
      </c>
      <c r="B2381" s="2" t="s">
        <v>2000</v>
      </c>
      <c r="C2381" s="2" t="n">
        <v>1</v>
      </c>
      <c r="D2381" s="2" t="n">
        <v>1</v>
      </c>
      <c r="E2381" s="2" t="n">
        <v>1</v>
      </c>
      <c r="F2381" s="2" t="n">
        <v>41</v>
      </c>
      <c r="G2381" s="2" t="s">
        <v>2001</v>
      </c>
      <c r="H2381" s="2" t="str">
        <f aca="false">IFERROR(__xludf.dummyfunction("IF(I2401="""", """", REGEXEXTRACT(I2401, ""Padrao/([^/]+)""))"),"Jardim Botanico")</f>
        <v>Jardim Botanico</v>
      </c>
    </row>
    <row r="2382" customFormat="false" ht="15.75" hidden="false" customHeight="false" outlineLevel="0" collapsed="false">
      <c r="A2382" s="2" t="n">
        <v>183950</v>
      </c>
      <c r="B2382" s="2" t="s">
        <v>2002</v>
      </c>
      <c r="C2382" s="2" t="n">
        <v>1</v>
      </c>
      <c r="D2382" s="2" t="n">
        <v>1</v>
      </c>
      <c r="E2382" s="2" t="n">
        <v>1</v>
      </c>
      <c r="F2382" s="2" t="n">
        <v>58</v>
      </c>
      <c r="G2382" s="2" t="s">
        <v>2001</v>
      </c>
      <c r="H2382" s="2" t="str">
        <f aca="false">IFERROR(__xludf.dummyfunction("IF(I2402="""", """", REGEXEXTRACT(I2402, ""Padrao/([^/]+)""))"),"Sumarezinho")</f>
        <v>Sumarezinho</v>
      </c>
    </row>
    <row r="2383" customFormat="false" ht="15.75" hidden="false" customHeight="false" outlineLevel="0" collapsed="false">
      <c r="A2383" s="2" t="n">
        <v>148337</v>
      </c>
      <c r="B2383" s="2" t="s">
        <v>2003</v>
      </c>
      <c r="C2383" s="2" t="n">
        <v>2</v>
      </c>
      <c r="D2383" s="2" t="n">
        <v>1</v>
      </c>
      <c r="E2383" s="2" t="n">
        <v>1</v>
      </c>
      <c r="F2383" s="2" t="n">
        <v>57</v>
      </c>
      <c r="G2383" s="2" t="s">
        <v>2001</v>
      </c>
      <c r="H2383" s="2" t="str">
        <f aca="false">IFERROR(__xludf.dummyfunction("IF(I2403="""", """", REGEXEXTRACT(I2403, ""Padrao/([^/]+)""))"),"Republica")</f>
        <v>Republica</v>
      </c>
    </row>
    <row r="2384" customFormat="false" ht="15.75" hidden="false" customHeight="false" outlineLevel="0" collapsed="false">
      <c r="A2384" s="2" t="n">
        <v>213503</v>
      </c>
      <c r="B2384" s="2" t="s">
        <v>1292</v>
      </c>
      <c r="C2384" s="2" t="n">
        <v>2</v>
      </c>
      <c r="D2384" s="2" t="n">
        <v>1</v>
      </c>
      <c r="E2384" s="2" t="n">
        <v>1</v>
      </c>
      <c r="F2384" s="2" t="n">
        <v>40</v>
      </c>
      <c r="G2384" s="2" t="s">
        <v>2004</v>
      </c>
      <c r="H2384" s="2" t="str">
        <f aca="false">IFERROR(__xludf.dummyfunction("IF(I2404="""", """", REGEXEXTRACT(I2404, ""Padrao/([^/]+)""))"),"Jardim Cybelli")</f>
        <v>Jardim Cybelli</v>
      </c>
    </row>
    <row r="2385" customFormat="false" ht="15.75" hidden="false" customHeight="false" outlineLevel="0" collapsed="false">
      <c r="A2385" s="2" t="n">
        <v>170282</v>
      </c>
      <c r="B2385" s="2" t="s">
        <v>1761</v>
      </c>
      <c r="C2385" s="2" t="n">
        <v>2</v>
      </c>
      <c r="D2385" s="2" t="n">
        <v>2</v>
      </c>
      <c r="E2385" s="2" t="n">
        <v>1</v>
      </c>
      <c r="F2385" s="2" t="n">
        <v>67</v>
      </c>
      <c r="G2385" s="2" t="s">
        <v>2004</v>
      </c>
      <c r="H2385" s="2" t="str">
        <f aca="false">IFERROR(__xludf.dummyfunction("IF(I2405="""", """", REGEXEXTRACT(I2405, ""Padrao/([^/]+)""))"),"Jardim Zara")</f>
        <v>Jardim Zara</v>
      </c>
    </row>
    <row r="2386" customFormat="false" ht="15.75" hidden="false" customHeight="false" outlineLevel="0" collapsed="false">
      <c r="A2386" s="2" t="n">
        <v>170279</v>
      </c>
      <c r="B2386" s="2" t="s">
        <v>1761</v>
      </c>
      <c r="C2386" s="2" t="n">
        <v>2</v>
      </c>
      <c r="D2386" s="2" t="n">
        <v>2</v>
      </c>
      <c r="E2386" s="2" t="n">
        <v>1</v>
      </c>
      <c r="F2386" s="2" t="n">
        <v>67</v>
      </c>
      <c r="G2386" s="2" t="s">
        <v>2004</v>
      </c>
      <c r="H2386" s="2" t="str">
        <f aca="false">IFERROR(__xludf.dummyfunction("IF(I2406="""", """", REGEXEXTRACT(I2406, ""Padrao/([^/]+)""))"),"Jardim Zara")</f>
        <v>Jardim Zara</v>
      </c>
    </row>
    <row r="2387" customFormat="false" ht="15.75" hidden="false" customHeight="false" outlineLevel="0" collapsed="false">
      <c r="A2387" s="2" t="n">
        <v>167402</v>
      </c>
      <c r="B2387" s="2" t="s">
        <v>961</v>
      </c>
      <c r="C2387" s="2" t="n">
        <v>1</v>
      </c>
      <c r="D2387" s="2" t="n">
        <v>1</v>
      </c>
      <c r="E2387" s="2" t="n">
        <v>1</v>
      </c>
      <c r="F2387" s="2" t="n">
        <v>38</v>
      </c>
      <c r="G2387" s="2" t="s">
        <v>2004</v>
      </c>
      <c r="H2387" s="2" t="str">
        <f aca="false">IFERROR(__xludf.dummyfunction("IF(I2407="""", """", REGEXEXTRACT(I2407, ""Padrao/([^/]+)""))"),"Vila Seixas")</f>
        <v>Vila Seixas</v>
      </c>
    </row>
    <row r="2388" customFormat="false" ht="15.75" hidden="false" customHeight="false" outlineLevel="0" collapsed="false">
      <c r="A2388" s="2" t="n">
        <v>151574</v>
      </c>
      <c r="B2388" s="2" t="s">
        <v>2005</v>
      </c>
      <c r="C2388" s="2" t="n">
        <v>2</v>
      </c>
      <c r="D2388" s="2" t="n">
        <v>1</v>
      </c>
      <c r="E2388" s="2" t="n">
        <v>1</v>
      </c>
      <c r="F2388" s="2" t="n">
        <v>39</v>
      </c>
      <c r="G2388" s="2" t="s">
        <v>428</v>
      </c>
      <c r="H2388" s="2" t="str">
        <f aca="false">IFERROR(__xludf.dummyfunction("IF(I2408="""", """", REGEXEXTRACT(I2408, ""Padrao/([^/]+)""))"),"Jardim Zara")</f>
        <v>Jardim Zara</v>
      </c>
    </row>
    <row r="2389" customFormat="false" ht="15.75" hidden="false" customHeight="false" outlineLevel="0" collapsed="false">
      <c r="A2389" s="2" t="n">
        <v>145706</v>
      </c>
      <c r="B2389" s="2" t="s">
        <v>2006</v>
      </c>
      <c r="C2389" s="2" t="n">
        <v>2</v>
      </c>
      <c r="D2389" s="2" t="n">
        <v>2</v>
      </c>
      <c r="E2389" s="2" t="n">
        <v>1</v>
      </c>
      <c r="F2389" s="2" t="n">
        <v>66</v>
      </c>
      <c r="G2389" s="2" t="s">
        <v>435</v>
      </c>
      <c r="H2389" s="2" t="str">
        <f aca="false">IFERROR(__xludf.dummyfunction("IF(I2409="""", """", REGEXEXTRACT(I2409, ""Padrao/([^/]+)""))"),"Vila Amelia")</f>
        <v>Vila Amelia</v>
      </c>
    </row>
    <row r="2390" customFormat="false" ht="15.75" hidden="false" customHeight="false" outlineLevel="0" collapsed="false">
      <c r="A2390" s="2" t="n">
        <v>132425</v>
      </c>
      <c r="B2390" s="2" t="s">
        <v>1287</v>
      </c>
      <c r="C2390" s="2" t="n">
        <v>2</v>
      </c>
      <c r="D2390" s="2" t="n">
        <v>1</v>
      </c>
      <c r="E2390" s="2" t="n">
        <v>1</v>
      </c>
      <c r="F2390" s="2" t="n">
        <v>46</v>
      </c>
      <c r="G2390" s="2" t="s">
        <v>525</v>
      </c>
      <c r="H2390" s="2" t="str">
        <f aca="false">IFERROR(__xludf.dummyfunction("IF(I2410="""", """", REGEXEXTRACT(I2410, ""Padrao/([^/]+)""))"),"Sumarezinho")</f>
        <v>Sumarezinho</v>
      </c>
    </row>
    <row r="2391" customFormat="false" ht="15.75" hidden="false" customHeight="false" outlineLevel="0" collapsed="false">
      <c r="A2391" s="2" t="n">
        <v>190727</v>
      </c>
      <c r="B2391" s="2" t="s">
        <v>1831</v>
      </c>
      <c r="C2391" s="2" t="n">
        <v>2</v>
      </c>
      <c r="D2391" s="2" t="n">
        <v>1</v>
      </c>
      <c r="E2391" s="2" t="n">
        <v>1</v>
      </c>
      <c r="F2391" s="2" t="n">
        <v>47</v>
      </c>
      <c r="G2391" s="2" t="s">
        <v>529</v>
      </c>
      <c r="H2391" s="2" t="str">
        <f aca="false">IFERROR(__xludf.dummyfunction("IF(I2411="""", """", REGEXEXTRACT(I2411, ""Padrao/([^/]+)""))"),"City Ribeirao")</f>
        <v>City Ribeirao</v>
      </c>
    </row>
    <row r="2392" customFormat="false" ht="15.75" hidden="false" customHeight="false" outlineLevel="0" collapsed="false">
      <c r="A2392" s="2" t="n">
        <v>186494</v>
      </c>
      <c r="B2392" s="2" t="s">
        <v>602</v>
      </c>
      <c r="C2392" s="2" t="n">
        <v>1</v>
      </c>
      <c r="D2392" s="2" t="n">
        <v>1</v>
      </c>
      <c r="E2392" s="2" t="n">
        <v>1</v>
      </c>
      <c r="F2392" s="2" t="n">
        <v>40</v>
      </c>
      <c r="G2392" s="2" t="s">
        <v>529</v>
      </c>
      <c r="H2392" s="2" t="str">
        <f aca="false">IFERROR(__xludf.dummyfunction("IF(I2412="""", """", REGEXEXTRACT(I2412, ""Padrao/([^/]+)""))"),"Vila Seixas")</f>
        <v>Vila Seixas</v>
      </c>
    </row>
    <row r="2393" customFormat="false" ht="15.75" hidden="false" customHeight="false" outlineLevel="0" collapsed="false">
      <c r="A2393" s="2" t="n">
        <v>155588</v>
      </c>
      <c r="B2393" s="2" t="s">
        <v>2007</v>
      </c>
      <c r="C2393" s="2" t="n">
        <v>2</v>
      </c>
      <c r="D2393" s="2" t="n">
        <v>2</v>
      </c>
      <c r="E2393" s="2" t="n">
        <v>1</v>
      </c>
      <c r="F2393" s="2" t="n">
        <v>59</v>
      </c>
      <c r="G2393" s="2" t="s">
        <v>529</v>
      </c>
      <c r="H2393" s="2" t="str">
        <f aca="false">IFERROR(__xludf.dummyfunction("IF(I2413="""", """", REGEXEXTRACT(I2413, ""Padrao/([^/]+)""))"),"Parque Sao Sebastiao")</f>
        <v>Parque Sao Sebastiao</v>
      </c>
    </row>
    <row r="2394" customFormat="false" ht="15.75" hidden="false" customHeight="false" outlineLevel="0" collapsed="false">
      <c r="A2394" s="2" t="n">
        <v>92462</v>
      </c>
      <c r="B2394" s="2" t="s">
        <v>2008</v>
      </c>
      <c r="C2394" s="2" t="n">
        <v>2</v>
      </c>
      <c r="D2394" s="2" t="n">
        <v>2</v>
      </c>
      <c r="E2394" s="2" t="n">
        <v>1</v>
      </c>
      <c r="F2394" s="2" t="n">
        <v>65</v>
      </c>
      <c r="G2394" s="2" t="s">
        <v>529</v>
      </c>
      <c r="H2394" s="2" t="str">
        <f aca="false">IFERROR(__xludf.dummyfunction("IF(I2414="""", """", REGEXEXTRACT(I2414, ""Padrao/([^/]+)""))"),"Centro")</f>
        <v>Centro</v>
      </c>
    </row>
    <row r="2395" customFormat="false" ht="15.75" hidden="false" customHeight="false" outlineLevel="0" collapsed="false">
      <c r="A2395" s="2" t="n">
        <v>91478</v>
      </c>
      <c r="B2395" s="2" t="s">
        <v>1431</v>
      </c>
      <c r="C2395" s="2" t="n">
        <v>1</v>
      </c>
      <c r="D2395" s="2" t="n">
        <v>1</v>
      </c>
      <c r="E2395" s="2" t="n">
        <v>1</v>
      </c>
      <c r="F2395" s="2" t="n">
        <v>42</v>
      </c>
      <c r="G2395" s="2" t="s">
        <v>1932</v>
      </c>
      <c r="H2395" s="2" t="str">
        <f aca="false">IFERROR(__xludf.dummyfunction("IF(I2415="""", """", REGEXEXTRACT(I2415, ""Padrao/([^/]+)""))"),"Nova Alianca")</f>
        <v>Nova Alianca</v>
      </c>
    </row>
    <row r="2396" customFormat="false" ht="15.75" hidden="false" customHeight="false" outlineLevel="0" collapsed="false">
      <c r="A2396" s="2" t="n">
        <v>180908</v>
      </c>
      <c r="B2396" s="2" t="s">
        <v>2009</v>
      </c>
      <c r="C2396" s="2" t="n">
        <v>1</v>
      </c>
      <c r="D2396" s="2" t="n">
        <v>1</v>
      </c>
      <c r="E2396" s="2" t="n">
        <v>1</v>
      </c>
      <c r="F2396" s="2" t="n">
        <v>37</v>
      </c>
      <c r="G2396" s="2" t="s">
        <v>533</v>
      </c>
      <c r="H2396" s="2" t="str">
        <f aca="false">IFERROR(__xludf.dummyfunction("IF(I2416="""", """", REGEXEXTRACT(I2416, ""Padrao/([^/]+)""))"),"Nova Alianca")</f>
        <v>Nova Alianca</v>
      </c>
    </row>
    <row r="2397" customFormat="false" ht="15.75" hidden="false" customHeight="false" outlineLevel="0" collapsed="false">
      <c r="A2397" s="2" t="n">
        <v>236288</v>
      </c>
      <c r="B2397" s="2" t="s">
        <v>1956</v>
      </c>
      <c r="C2397" s="2" t="n">
        <v>2</v>
      </c>
      <c r="D2397" s="2" t="n">
        <v>1</v>
      </c>
      <c r="E2397" s="2" t="n">
        <v>1</v>
      </c>
      <c r="F2397" s="2" t="n">
        <v>42</v>
      </c>
      <c r="G2397" s="2" t="s">
        <v>2010</v>
      </c>
      <c r="H2397" s="2" t="str">
        <f aca="false">IFERROR(__xludf.dummyfunction("IF(I2417="""", """", REGEXEXTRACT(I2417, ""Padrao/([^/]+)""))"),"Parque Industrial Lagoinha")</f>
        <v>Parque Industrial Lagoinha</v>
      </c>
    </row>
    <row r="2398" customFormat="false" ht="15.75" hidden="false" customHeight="false" outlineLevel="0" collapsed="false">
      <c r="A2398" s="2" t="n">
        <v>220943</v>
      </c>
      <c r="B2398" s="2" t="s">
        <v>2011</v>
      </c>
      <c r="C2398" s="2" t="n">
        <v>2</v>
      </c>
      <c r="D2398" s="2" t="n">
        <v>2</v>
      </c>
      <c r="E2398" s="2" t="n">
        <v>2</v>
      </c>
      <c r="F2398" s="2" t="n">
        <v>54</v>
      </c>
      <c r="G2398" s="2" t="s">
        <v>2010</v>
      </c>
      <c r="H2398" s="2" t="str">
        <f aca="false">IFERROR(__xludf.dummyfunction("IF(I2418="""", """", REGEXEXTRACT(I2418, ""Padrao/([^/]+)""))"),"Reserva Sul Condominio")</f>
        <v>Reserva Sul Condominio</v>
      </c>
    </row>
    <row r="2399" customFormat="false" ht="15.75" hidden="false" customHeight="false" outlineLevel="0" collapsed="false">
      <c r="A2399" s="2" t="n">
        <v>218759</v>
      </c>
      <c r="B2399" s="2" t="s">
        <v>2012</v>
      </c>
      <c r="C2399" s="2" t="n">
        <v>2</v>
      </c>
      <c r="D2399" s="2" t="n">
        <v>2</v>
      </c>
      <c r="E2399" s="2" t="n">
        <v>2</v>
      </c>
      <c r="F2399" s="2" t="n">
        <v>53</v>
      </c>
      <c r="G2399" s="2" t="s">
        <v>2010</v>
      </c>
      <c r="H2399" s="2" t="str">
        <f aca="false">IFERROR(__xludf.dummyfunction("IF(I2419="""", """", REGEXEXTRACT(I2419, ""Padrao/([^/]+)""))"),"Reserva Sul Condominio")</f>
        <v>Reserva Sul Condominio</v>
      </c>
    </row>
    <row r="2400" customFormat="false" ht="15.75" hidden="false" customHeight="false" outlineLevel="0" collapsed="false">
      <c r="A2400" s="2" t="n">
        <v>187079</v>
      </c>
      <c r="B2400" s="2" t="s">
        <v>1131</v>
      </c>
      <c r="C2400" s="2" t="n">
        <v>2</v>
      </c>
      <c r="D2400" s="2" t="n">
        <v>1</v>
      </c>
      <c r="E2400" s="2" t="n">
        <v>1</v>
      </c>
      <c r="F2400" s="2" t="n">
        <v>48</v>
      </c>
      <c r="G2400" s="2" t="s">
        <v>2010</v>
      </c>
      <c r="H2400" s="2" t="str">
        <f aca="false">IFERROR(__xludf.dummyfunction("IF(I2420="""", """", REGEXEXTRACT(I2420, ""Padrao/([^/]+)""))"),"Jardim Sao Fernando")</f>
        <v>Jardim Sao Fernando</v>
      </c>
    </row>
    <row r="2401" customFormat="false" ht="15.75" hidden="false" customHeight="false" outlineLevel="0" collapsed="false">
      <c r="A2401" s="2" t="n">
        <v>173201</v>
      </c>
      <c r="B2401" s="2" t="s">
        <v>1221</v>
      </c>
      <c r="C2401" s="2" t="n">
        <v>2</v>
      </c>
      <c r="D2401" s="2" t="n">
        <v>1</v>
      </c>
      <c r="E2401" s="2" t="n">
        <v>1</v>
      </c>
      <c r="F2401" s="2" t="n">
        <v>46</v>
      </c>
      <c r="G2401" s="2" t="s">
        <v>2010</v>
      </c>
      <c r="H2401" s="2" t="str">
        <f aca="false">IFERROR(__xludf.dummyfunction("IF(I2421="""", """", REGEXEXTRACT(I2421, ""Padrao/([^/]+)""))"),"Reserva Sul Condominio")</f>
        <v>Reserva Sul Condominio</v>
      </c>
    </row>
    <row r="2402" customFormat="false" ht="15.75" hidden="false" customHeight="false" outlineLevel="0" collapsed="false">
      <c r="A2402" s="2" t="n">
        <v>157559</v>
      </c>
      <c r="B2402" s="2" t="s">
        <v>1066</v>
      </c>
      <c r="C2402" s="2" t="n">
        <v>2</v>
      </c>
      <c r="D2402" s="2" t="n">
        <v>1</v>
      </c>
      <c r="E2402" s="2" t="n">
        <v>1</v>
      </c>
      <c r="F2402" s="2" t="n">
        <v>51</v>
      </c>
      <c r="G2402" s="2" t="s">
        <v>2010</v>
      </c>
      <c r="H2402" s="2" t="str">
        <f aca="false">IFERROR(__xludf.dummyfunction("IF(I2422="""", """", REGEXEXTRACT(I2422, ""Padrao/([^/]+)""))"),"Presidente Medici")</f>
        <v>Presidente Medici</v>
      </c>
    </row>
    <row r="2403" customFormat="false" ht="15.75" hidden="false" customHeight="false" outlineLevel="0" collapsed="false">
      <c r="A2403" s="2" t="n">
        <v>142679</v>
      </c>
      <c r="B2403" s="2" t="s">
        <v>440</v>
      </c>
      <c r="C2403" s="2" t="n">
        <v>1</v>
      </c>
      <c r="D2403" s="2" t="n">
        <v>1</v>
      </c>
      <c r="E2403" s="2" t="n">
        <v>1</v>
      </c>
      <c r="F2403" s="2" t="n">
        <v>42</v>
      </c>
      <c r="G2403" s="2" t="s">
        <v>2010</v>
      </c>
      <c r="H2403" s="2" t="str">
        <f aca="false">IFERROR(__xludf.dummyfunction("IF(I2423="""", """", REGEXEXTRACT(I2423, ""Padrao/([^/]+)""))"),"Vila Seixas")</f>
        <v>Vila Seixas</v>
      </c>
    </row>
    <row r="2404" customFormat="false" ht="15.75" hidden="false" customHeight="false" outlineLevel="0" collapsed="false">
      <c r="A2404" s="2" t="n">
        <v>44570</v>
      </c>
      <c r="B2404" s="2" t="s">
        <v>1066</v>
      </c>
      <c r="C2404" s="2" t="n">
        <v>2</v>
      </c>
      <c r="D2404" s="2" t="n">
        <v>1</v>
      </c>
      <c r="E2404" s="2" t="n">
        <v>1</v>
      </c>
      <c r="F2404" s="2" t="n">
        <v>65</v>
      </c>
      <c r="G2404" s="2" t="s">
        <v>2010</v>
      </c>
      <c r="H2404" s="2" t="str">
        <f aca="false">IFERROR(__xludf.dummyfunction("IF(I2424="""", """", REGEXEXTRACT(I2424, ""Padrao/([^/]+)""))"),"Iguatemi")</f>
        <v>Iguatemi</v>
      </c>
    </row>
    <row r="2405" customFormat="false" ht="15.75" hidden="false" customHeight="false" outlineLevel="0" collapsed="false">
      <c r="A2405" s="2" t="n">
        <v>158840</v>
      </c>
      <c r="B2405" s="2" t="s">
        <v>2013</v>
      </c>
      <c r="C2405" s="2" t="n">
        <v>2</v>
      </c>
      <c r="D2405" s="2" t="n">
        <v>1</v>
      </c>
      <c r="E2405" s="2" t="n">
        <v>1</v>
      </c>
      <c r="F2405" s="2" t="n">
        <v>71</v>
      </c>
      <c r="G2405" s="2" t="s">
        <v>2014</v>
      </c>
      <c r="H2405" s="2" t="str">
        <f aca="false">IFERROR(__xludf.dummyfunction("IF(I2425="""", """", REGEXEXTRACT(I2425, ""Padrao/([^/]+)""))"),"Jardim Anhanguera")</f>
        <v>Jardim Anhanguera</v>
      </c>
    </row>
    <row r="2406" customFormat="false" ht="15.75" hidden="false" customHeight="false" outlineLevel="0" collapsed="false">
      <c r="A2406" s="2" t="n">
        <v>244829</v>
      </c>
      <c r="B2406" s="2" t="s">
        <v>1828</v>
      </c>
      <c r="C2406" s="2" t="n">
        <v>2</v>
      </c>
      <c r="D2406" s="2" t="n">
        <v>1</v>
      </c>
      <c r="E2406" s="2" t="n">
        <v>1</v>
      </c>
      <c r="F2406" s="2" t="n">
        <v>55</v>
      </c>
      <c r="G2406" s="2" t="s">
        <v>2015</v>
      </c>
      <c r="H2406" s="2" t="str">
        <f aca="false">IFERROR(__xludf.dummyfunction("IF(I2426="""", """", REGEXEXTRACT(I2426, ""Padrao/([^/]+)""))"),"Vila Maria Luiza")</f>
        <v>Vila Maria Luiza</v>
      </c>
    </row>
    <row r="2407" customFormat="false" ht="15.75" hidden="false" customHeight="false" outlineLevel="0" collapsed="false">
      <c r="A2407" s="2" t="n">
        <v>202586</v>
      </c>
      <c r="B2407" s="2" t="s">
        <v>567</v>
      </c>
      <c r="C2407" s="2" t="n">
        <v>2</v>
      </c>
      <c r="D2407" s="2" t="n">
        <v>2</v>
      </c>
      <c r="E2407" s="2" t="n">
        <v>1</v>
      </c>
      <c r="F2407" s="2" t="n">
        <v>62</v>
      </c>
      <c r="G2407" s="2" t="s">
        <v>2016</v>
      </c>
      <c r="H2407" s="2" t="str">
        <f aca="false">IFERROR(__xludf.dummyfunction("IF(I2427="""", """", REGEXEXTRACT(I2427, ""Padrao/([^/]+)""))"),"Residencial e Comercial Palmares")</f>
        <v>Residencial e Comercial Palmares</v>
      </c>
    </row>
    <row r="2408" customFormat="false" ht="15.75" hidden="false" customHeight="false" outlineLevel="0" collapsed="false">
      <c r="A2408" s="2" t="n">
        <v>242375</v>
      </c>
      <c r="B2408" s="2" t="s">
        <v>2017</v>
      </c>
      <c r="C2408" s="2" t="n">
        <v>2</v>
      </c>
      <c r="D2408" s="2" t="n">
        <v>1</v>
      </c>
      <c r="E2408" s="2" t="n">
        <v>1</v>
      </c>
      <c r="F2408" s="2" t="n">
        <v>44</v>
      </c>
      <c r="G2408" s="2" t="s">
        <v>537</v>
      </c>
      <c r="H2408" s="2" t="str">
        <f aca="false">IFERROR(__xludf.dummyfunction("IF(I2428="""", """", REGEXEXTRACT(I2428, ""Padrao/([^/]+)""))"),"Recreio das Acacias")</f>
        <v>Recreio das Acacias</v>
      </c>
    </row>
    <row r="2409" customFormat="false" ht="15.75" hidden="false" customHeight="false" outlineLevel="0" collapsed="false">
      <c r="A2409" s="2" t="n">
        <v>239402</v>
      </c>
      <c r="B2409" s="2" t="s">
        <v>2018</v>
      </c>
      <c r="C2409" s="2" t="n">
        <v>1</v>
      </c>
      <c r="D2409" s="2" t="n">
        <v>1</v>
      </c>
      <c r="E2409" s="2" t="n">
        <v>1</v>
      </c>
      <c r="F2409" s="2" t="n">
        <v>49</v>
      </c>
      <c r="G2409" s="2" t="s">
        <v>537</v>
      </c>
      <c r="H2409" s="2" t="str">
        <f aca="false">IFERROR(__xludf.dummyfunction("IF(I2429="""", """", REGEXEXTRACT(I2429, ""Padrao/([^/]+)""))"),"City Ribeirao")</f>
        <v>City Ribeirao</v>
      </c>
    </row>
    <row r="2410" customFormat="false" ht="15.75" hidden="false" customHeight="false" outlineLevel="0" collapsed="false">
      <c r="A2410" s="2" t="n">
        <v>238925</v>
      </c>
      <c r="B2410" s="2" t="s">
        <v>2019</v>
      </c>
      <c r="C2410" s="2" t="n">
        <v>2</v>
      </c>
      <c r="D2410" s="2" t="n">
        <v>1</v>
      </c>
      <c r="E2410" s="2" t="n">
        <v>1</v>
      </c>
      <c r="F2410" s="2" t="n">
        <v>44</v>
      </c>
      <c r="G2410" s="2" t="s">
        <v>537</v>
      </c>
      <c r="H2410" s="2" t="str">
        <f aca="false">IFERROR(__xludf.dummyfunction("IF(I2430="""", """", REGEXEXTRACT(I2430, ""Padrao/([^/]+)""))"),"Recreio das Acacias")</f>
        <v>Recreio das Acacias</v>
      </c>
    </row>
    <row r="2411" customFormat="false" ht="15.75" hidden="false" customHeight="false" outlineLevel="0" collapsed="false">
      <c r="A2411" s="2" t="n">
        <v>238874</v>
      </c>
      <c r="B2411" s="2" t="s">
        <v>1102</v>
      </c>
      <c r="C2411" s="2" t="n">
        <v>2</v>
      </c>
      <c r="D2411" s="2" t="n">
        <v>1</v>
      </c>
      <c r="E2411" s="2" t="n">
        <v>1</v>
      </c>
      <c r="F2411" s="2" t="n">
        <v>46</v>
      </c>
      <c r="G2411" s="2" t="s">
        <v>537</v>
      </c>
      <c r="H2411" s="2" t="str">
        <f aca="false">IFERROR(__xludf.dummyfunction("IF(I2431="""", """", REGEXEXTRACT(I2431, ""Padrao/([^/]+)""))"),"Parque Sao Sebastiao")</f>
        <v>Parque Sao Sebastiao</v>
      </c>
    </row>
    <row r="2412" customFormat="false" ht="15.75" hidden="false" customHeight="false" outlineLevel="0" collapsed="false">
      <c r="A2412" s="2" t="n">
        <v>238019</v>
      </c>
      <c r="B2412" s="2" t="s">
        <v>1631</v>
      </c>
      <c r="C2412" s="2" t="n">
        <v>2</v>
      </c>
      <c r="D2412" s="2" t="n">
        <v>1</v>
      </c>
      <c r="E2412" s="2" t="n">
        <v>1</v>
      </c>
      <c r="F2412" s="2" t="n">
        <v>42</v>
      </c>
      <c r="G2412" s="2" t="s">
        <v>537</v>
      </c>
      <c r="H2412" s="2" t="str">
        <f aca="false">IFERROR(__xludf.dummyfunction("IF(I2432="""", """", REGEXEXTRACT(I2432, ""Padrao/([^/]+)""))"),"Quintino Facci II")</f>
        <v>Quintino Facci II</v>
      </c>
    </row>
    <row r="2413" customFormat="false" ht="15.75" hidden="false" customHeight="false" outlineLevel="0" collapsed="false">
      <c r="A2413" s="2" t="n">
        <v>237035</v>
      </c>
      <c r="B2413" s="2" t="s">
        <v>2020</v>
      </c>
      <c r="C2413" s="2" t="n">
        <v>2</v>
      </c>
      <c r="D2413" s="2" t="n">
        <v>1</v>
      </c>
      <c r="E2413" s="2" t="n">
        <v>1</v>
      </c>
      <c r="F2413" s="2" t="n">
        <v>40</v>
      </c>
      <c r="G2413" s="2" t="s">
        <v>537</v>
      </c>
      <c r="H2413" s="2" t="str">
        <f aca="false">IFERROR(__xludf.dummyfunction("IF(I2433="""", """", REGEXEXTRACT(I2433, ""Padrao/([^/]+)""))"),"Jardim Ouro Branco")</f>
        <v>Jardim Ouro Branco</v>
      </c>
    </row>
    <row r="2414" customFormat="false" ht="15.75" hidden="false" customHeight="false" outlineLevel="0" collapsed="false">
      <c r="A2414" s="2" t="n">
        <v>235808</v>
      </c>
      <c r="B2414" s="2" t="s">
        <v>2021</v>
      </c>
      <c r="C2414" s="2" t="n">
        <v>3</v>
      </c>
      <c r="D2414" s="2" t="n">
        <v>2</v>
      </c>
      <c r="E2414" s="2" t="n">
        <v>1</v>
      </c>
      <c r="F2414" s="2" t="n">
        <v>61</v>
      </c>
      <c r="G2414" s="2" t="s">
        <v>537</v>
      </c>
      <c r="H2414" s="2" t="str">
        <f aca="false">IFERROR(__xludf.dummyfunction("IF(I2434="""", """", REGEXEXTRACT(I2434, ""Padrao/([^/]+)""))"),"Jardim Interlagos")</f>
        <v>Jardim Interlagos</v>
      </c>
    </row>
    <row r="2415" customFormat="false" ht="15.75" hidden="false" customHeight="false" outlineLevel="0" collapsed="false">
      <c r="A2415" s="2" t="n">
        <v>234737</v>
      </c>
      <c r="B2415" s="2" t="s">
        <v>2017</v>
      </c>
      <c r="C2415" s="2" t="n">
        <v>2</v>
      </c>
      <c r="D2415" s="2" t="n">
        <v>1</v>
      </c>
      <c r="E2415" s="2" t="n">
        <v>1</v>
      </c>
      <c r="F2415" s="2" t="n">
        <v>44</v>
      </c>
      <c r="G2415" s="2" t="s">
        <v>537</v>
      </c>
      <c r="H2415" s="2" t="str">
        <f aca="false">IFERROR(__xludf.dummyfunction("IF(I2435="""", """", REGEXEXTRACT(I2435, ""Padrao/([^/]+)""))"),"Recreio das Acacias")</f>
        <v>Recreio das Acacias</v>
      </c>
    </row>
    <row r="2416" customFormat="false" ht="15.75" hidden="false" customHeight="false" outlineLevel="0" collapsed="false">
      <c r="A2416" s="2" t="n">
        <v>234599</v>
      </c>
      <c r="B2416" s="2" t="s">
        <v>2022</v>
      </c>
      <c r="C2416" s="2" t="n">
        <v>2</v>
      </c>
      <c r="D2416" s="2" t="n">
        <v>1</v>
      </c>
      <c r="E2416" s="2" t="n">
        <v>1</v>
      </c>
      <c r="F2416" s="2" t="n">
        <v>43</v>
      </c>
      <c r="G2416" s="2" t="s">
        <v>537</v>
      </c>
      <c r="H2416" s="2" t="str">
        <f aca="false">IFERROR(__xludf.dummyfunction("IF(I2436="""", """", REGEXEXTRACT(I2436, ""Padrao/([^/]+)""))"),"Reserva Macauba")</f>
        <v>Reserva Macauba</v>
      </c>
    </row>
    <row r="2417" customFormat="false" ht="15.75" hidden="false" customHeight="false" outlineLevel="0" collapsed="false">
      <c r="A2417" s="2" t="n">
        <v>225410</v>
      </c>
      <c r="B2417" s="2" t="s">
        <v>429</v>
      </c>
      <c r="C2417" s="2" t="n">
        <v>2</v>
      </c>
      <c r="D2417" s="2" t="n">
        <v>1</v>
      </c>
      <c r="E2417" s="2" t="n">
        <v>1</v>
      </c>
      <c r="F2417" s="2" t="n">
        <v>43</v>
      </c>
      <c r="G2417" s="2" t="s">
        <v>537</v>
      </c>
      <c r="H2417" s="2" t="str">
        <f aca="false">IFERROR(__xludf.dummyfunction("IF(I2437="""", """", REGEXEXTRACT(I2437, ""Padrao/([^/]+)""))"),"Reserva Macauba")</f>
        <v>Reserva Macauba</v>
      </c>
    </row>
    <row r="2418" customFormat="false" ht="15.75" hidden="false" customHeight="false" outlineLevel="0" collapsed="false">
      <c r="A2418" s="2" t="n">
        <v>224825</v>
      </c>
      <c r="B2418" s="2" t="s">
        <v>1744</v>
      </c>
      <c r="C2418" s="2" t="n">
        <v>1</v>
      </c>
      <c r="D2418" s="2" t="n">
        <v>1</v>
      </c>
      <c r="E2418" s="2" t="n">
        <v>1</v>
      </c>
      <c r="F2418" s="2" t="n">
        <v>37</v>
      </c>
      <c r="G2418" s="2" t="s">
        <v>537</v>
      </c>
      <c r="H2418" s="2" t="str">
        <f aca="false">IFERROR(__xludf.dummyfunction("IF(I2438="""", """", REGEXEXTRACT(I2438, ""Padrao/([^/]+)""))"),"Nova Alianca")</f>
        <v>Nova Alianca</v>
      </c>
    </row>
    <row r="2419" customFormat="false" ht="15.75" hidden="false" customHeight="false" outlineLevel="0" collapsed="false">
      <c r="A2419" s="2" t="n">
        <v>214448</v>
      </c>
      <c r="B2419" s="2" t="s">
        <v>2023</v>
      </c>
      <c r="C2419" s="2" t="n">
        <v>2</v>
      </c>
      <c r="D2419" s="2" t="n">
        <v>2</v>
      </c>
      <c r="E2419" s="2" t="n">
        <v>1</v>
      </c>
      <c r="F2419" s="2" t="n">
        <v>57</v>
      </c>
      <c r="G2419" s="2" t="s">
        <v>537</v>
      </c>
      <c r="H2419" s="2" t="str">
        <f aca="false">IFERROR(__xludf.dummyfunction("IF(I2439="""", """", REGEXEXTRACT(I2439, ""Padrao/([^/]+)""))"),"Jardim Castelo Branco")</f>
        <v>Jardim Castelo Branco</v>
      </c>
    </row>
    <row r="2420" customFormat="false" ht="15.75" hidden="false" customHeight="false" outlineLevel="0" collapsed="false">
      <c r="A2420" s="2" t="n">
        <v>200447</v>
      </c>
      <c r="B2420" s="2" t="s">
        <v>2024</v>
      </c>
      <c r="C2420" s="2" t="n">
        <v>2</v>
      </c>
      <c r="D2420" s="2" t="n">
        <v>1</v>
      </c>
      <c r="E2420" s="2" t="n">
        <v>1</v>
      </c>
      <c r="F2420" s="2" t="n">
        <v>49</v>
      </c>
      <c r="G2420" s="2" t="s">
        <v>537</v>
      </c>
      <c r="H2420" s="2" t="str">
        <f aca="false">IFERROR(__xludf.dummyfunction("IF(I2440="""", """", REGEXEXTRACT(I2440, ""Padrao/([^/]+)""))"),"Campos Eliseos")</f>
        <v>Campos Eliseos</v>
      </c>
    </row>
    <row r="2421" customFormat="false" ht="15.75" hidden="false" customHeight="false" outlineLevel="0" collapsed="false">
      <c r="A2421" s="2" t="n">
        <v>194318</v>
      </c>
      <c r="B2421" s="2" t="s">
        <v>2025</v>
      </c>
      <c r="C2421" s="2" t="n">
        <v>2</v>
      </c>
      <c r="D2421" s="2" t="n">
        <v>2</v>
      </c>
      <c r="E2421" s="2" t="n">
        <v>2</v>
      </c>
      <c r="F2421" s="2" t="n">
        <v>58</v>
      </c>
      <c r="G2421" s="2" t="s">
        <v>537</v>
      </c>
      <c r="H2421" s="2" t="str">
        <f aca="false">IFERROR(__xludf.dummyfunction("IF(I2441="""", """", REGEXEXTRACT(I2441, ""Padrao/([^/]+)""))"),"Jardim Zara")</f>
        <v>Jardim Zara</v>
      </c>
    </row>
    <row r="2422" customFormat="false" ht="15.75" hidden="false" customHeight="false" outlineLevel="0" collapsed="false">
      <c r="A2422" s="2" t="n">
        <v>184229</v>
      </c>
      <c r="B2422" s="2" t="s">
        <v>1897</v>
      </c>
      <c r="C2422" s="2" t="n">
        <v>3</v>
      </c>
      <c r="D2422" s="2" t="n">
        <v>2</v>
      </c>
      <c r="E2422" s="2" t="n">
        <v>1</v>
      </c>
      <c r="F2422" s="2" t="n">
        <v>66</v>
      </c>
      <c r="G2422" s="2" t="s">
        <v>537</v>
      </c>
      <c r="H2422" s="2" t="str">
        <f aca="false">IFERROR(__xludf.dummyfunction("IF(I2442="""", """", REGEXEXTRACT(I2442, ""Padrao/([^/]+)""))"),"Parque Industrial Lagoinha")</f>
        <v>Parque Industrial Lagoinha</v>
      </c>
    </row>
    <row r="2423" customFormat="false" ht="15.75" hidden="false" customHeight="false" outlineLevel="0" collapsed="false">
      <c r="A2423" s="2" t="n">
        <v>183002</v>
      </c>
      <c r="B2423" s="2" t="s">
        <v>2026</v>
      </c>
      <c r="C2423" s="2" t="n">
        <v>2</v>
      </c>
      <c r="D2423" s="2" t="n">
        <v>1</v>
      </c>
      <c r="E2423" s="2" t="n">
        <v>1</v>
      </c>
      <c r="F2423" s="2" t="n">
        <v>41</v>
      </c>
      <c r="G2423" s="2" t="s">
        <v>537</v>
      </c>
      <c r="H2423" s="2" t="str">
        <f aca="false">IFERROR(__xludf.dummyfunction("IF(I2443="""", """", REGEXEXTRACT(I2443, ""Padrao/([^/]+)""))"),"Ipiranga")</f>
        <v>Ipiranga</v>
      </c>
    </row>
    <row r="2424" customFormat="false" ht="15.75" hidden="false" customHeight="false" outlineLevel="0" collapsed="false">
      <c r="A2424" s="2" t="n">
        <v>180707</v>
      </c>
      <c r="B2424" s="2" t="s">
        <v>2027</v>
      </c>
      <c r="C2424" s="2" t="n">
        <v>2</v>
      </c>
      <c r="D2424" s="2" t="n">
        <v>2</v>
      </c>
      <c r="E2424" s="2" t="n">
        <v>1</v>
      </c>
      <c r="F2424" s="2" t="n">
        <v>56</v>
      </c>
      <c r="G2424" s="2" t="s">
        <v>537</v>
      </c>
      <c r="H2424" s="2" t="str">
        <f aca="false">IFERROR(__xludf.dummyfunction("IF(I2444="""", """", REGEXEXTRACT(I2444, ""Padrao/([^/]+)""))"),"Residencial Greenville")</f>
        <v>Residencial Greenville</v>
      </c>
    </row>
    <row r="2425" customFormat="false" ht="15.75" hidden="false" customHeight="false" outlineLevel="0" collapsed="false">
      <c r="A2425" s="2" t="n">
        <v>173405</v>
      </c>
      <c r="B2425" s="2" t="s">
        <v>2028</v>
      </c>
      <c r="C2425" s="2" t="n">
        <v>1</v>
      </c>
      <c r="D2425" s="2" t="n">
        <v>1</v>
      </c>
      <c r="E2425" s="2" t="n">
        <v>1</v>
      </c>
      <c r="F2425" s="2" t="n">
        <v>42</v>
      </c>
      <c r="G2425" s="2" t="s">
        <v>537</v>
      </c>
      <c r="H2425" s="2" t="str">
        <f aca="false">IFERROR(__xludf.dummyfunction("IF(I2445="""", """", REGEXEXTRACT(I2445, ""Padrao/([^/]+)""))"),"Vila Seixas")</f>
        <v>Vila Seixas</v>
      </c>
    </row>
    <row r="2426" customFormat="false" ht="15.75" hidden="false" customHeight="false" outlineLevel="0" collapsed="false">
      <c r="A2426" s="2" t="n">
        <v>173396</v>
      </c>
      <c r="B2426" s="2" t="s">
        <v>1610</v>
      </c>
      <c r="C2426" s="2" t="n">
        <v>2</v>
      </c>
      <c r="D2426" s="2" t="n">
        <v>1</v>
      </c>
      <c r="E2426" s="2" t="n">
        <v>1</v>
      </c>
      <c r="F2426" s="2" t="n">
        <v>43</v>
      </c>
      <c r="G2426" s="2" t="s">
        <v>537</v>
      </c>
      <c r="H2426" s="2" t="str">
        <f aca="false">IFERROR(__xludf.dummyfunction("IF(I2446="""", """", REGEXEXTRACT(I2446, ""Padrao/([^/]+)""))"),"Loteamento Santa Marta")</f>
        <v>Loteamento Santa Marta</v>
      </c>
    </row>
    <row r="2427" customFormat="false" ht="15.75" hidden="false" customHeight="false" outlineLevel="0" collapsed="false">
      <c r="A2427" s="2" t="n">
        <v>169706</v>
      </c>
      <c r="B2427" s="2" t="s">
        <v>1076</v>
      </c>
      <c r="C2427" s="2" t="n">
        <v>2</v>
      </c>
      <c r="D2427" s="2" t="n">
        <v>2</v>
      </c>
      <c r="E2427" s="2" t="n">
        <v>1</v>
      </c>
      <c r="F2427" s="2" t="n">
        <v>53</v>
      </c>
      <c r="G2427" s="2" t="s">
        <v>537</v>
      </c>
      <c r="H2427" s="2" t="str">
        <f aca="false">IFERROR(__xludf.dummyfunction("IF(I2447="""", """", REGEXEXTRACT(I2447, ""Padrao/([^/]+)""))"),"Residencial Greenville")</f>
        <v>Residencial Greenville</v>
      </c>
    </row>
    <row r="2428" customFormat="false" ht="15.75" hidden="false" customHeight="false" outlineLevel="0" collapsed="false">
      <c r="A2428" s="2" t="n">
        <v>169451</v>
      </c>
      <c r="B2428" s="2" t="s">
        <v>1761</v>
      </c>
      <c r="C2428" s="2" t="n">
        <v>2</v>
      </c>
      <c r="D2428" s="2" t="n">
        <v>2</v>
      </c>
      <c r="E2428" s="2" t="n">
        <v>1</v>
      </c>
      <c r="F2428" s="2" t="n">
        <v>61</v>
      </c>
      <c r="G2428" s="2" t="s">
        <v>537</v>
      </c>
      <c r="H2428" s="2" t="str">
        <f aca="false">IFERROR(__xludf.dummyfunction("IF(I2448="""", """", REGEXEXTRACT(I2448, ""Padrao/([^/]+)""))"),"Jardim Zara")</f>
        <v>Jardim Zara</v>
      </c>
    </row>
    <row r="2429" customFormat="false" ht="15.75" hidden="false" customHeight="false" outlineLevel="0" collapsed="false">
      <c r="A2429" s="2" t="n">
        <v>168839</v>
      </c>
      <c r="B2429" s="2" t="s">
        <v>2029</v>
      </c>
      <c r="C2429" s="2" t="n">
        <v>2</v>
      </c>
      <c r="D2429" s="2" t="n">
        <v>2</v>
      </c>
      <c r="E2429" s="2" t="n">
        <v>1</v>
      </c>
      <c r="F2429" s="2" t="n">
        <v>65</v>
      </c>
      <c r="G2429" s="2" t="s">
        <v>537</v>
      </c>
      <c r="H2429" s="2" t="str">
        <f aca="false">IFERROR(__xludf.dummyfunction("IF(I2449="""", """", REGEXEXTRACT(I2449, ""Padrao/([^/]+)""))"),"Residencial e Comercial Palmares")</f>
        <v>Residencial e Comercial Palmares</v>
      </c>
    </row>
    <row r="2430" customFormat="false" ht="15.75" hidden="false" customHeight="false" outlineLevel="0" collapsed="false">
      <c r="A2430" s="2" t="n">
        <v>168446</v>
      </c>
      <c r="B2430" s="2" t="s">
        <v>1221</v>
      </c>
      <c r="C2430" s="2" t="n">
        <v>2</v>
      </c>
      <c r="D2430" s="2" t="n">
        <v>1</v>
      </c>
      <c r="E2430" s="2" t="n">
        <v>1</v>
      </c>
      <c r="F2430" s="2" t="n">
        <v>48</v>
      </c>
      <c r="G2430" s="2" t="s">
        <v>537</v>
      </c>
      <c r="H2430" s="2" t="str">
        <f aca="false">IFERROR(__xludf.dummyfunction("IF(I2450="""", """", REGEXEXTRACT(I2450, ""Padrao/([^/]+)""))"),"Jardim Sao Fernando")</f>
        <v>Jardim Sao Fernando</v>
      </c>
    </row>
    <row r="2431" customFormat="false" ht="15.75" hidden="false" customHeight="false" outlineLevel="0" collapsed="false">
      <c r="A2431" s="2" t="n">
        <v>166295</v>
      </c>
      <c r="B2431" s="2" t="s">
        <v>2030</v>
      </c>
      <c r="C2431" s="2" t="n">
        <v>2</v>
      </c>
      <c r="D2431" s="2" t="n">
        <v>1</v>
      </c>
      <c r="E2431" s="2" t="n">
        <v>1</v>
      </c>
      <c r="F2431" s="2" t="n">
        <v>49</v>
      </c>
      <c r="G2431" s="2" t="s">
        <v>537</v>
      </c>
      <c r="H2431" s="2" t="str">
        <f aca="false">IFERROR(__xludf.dummyfunction("IF(I2451="""", """", REGEXEXTRACT(I2451, ""Padrao/([^/]+)""))"),"Ribeirania")</f>
        <v>Ribeirania</v>
      </c>
    </row>
    <row r="2432" customFormat="false" ht="15.75" hidden="false" customHeight="false" outlineLevel="0" collapsed="false">
      <c r="A2432" s="2" t="n">
        <v>166034</v>
      </c>
      <c r="B2432" s="2" t="s">
        <v>2031</v>
      </c>
      <c r="C2432" s="2" t="n">
        <v>2</v>
      </c>
      <c r="D2432" s="2" t="n">
        <v>1</v>
      </c>
      <c r="E2432" s="2" t="n">
        <v>1</v>
      </c>
      <c r="F2432" s="2" t="n">
        <v>59</v>
      </c>
      <c r="G2432" s="2" t="s">
        <v>537</v>
      </c>
      <c r="H2432" s="2" t="str">
        <f aca="false">IFERROR(__xludf.dummyfunction("IF(I2452="""", """", REGEXEXTRACT(I2452, ""Padrao/([^/]+)""))"),"Parque Industrial Lagoinha")</f>
        <v>Parque Industrial Lagoinha</v>
      </c>
    </row>
    <row r="2433" customFormat="false" ht="15.75" hidden="false" customHeight="false" outlineLevel="0" collapsed="false">
      <c r="A2433" s="2" t="n">
        <v>159839</v>
      </c>
      <c r="B2433" s="2" t="s">
        <v>1831</v>
      </c>
      <c r="C2433" s="2" t="n">
        <v>2</v>
      </c>
      <c r="D2433" s="2" t="n">
        <v>1</v>
      </c>
      <c r="E2433" s="2" t="n">
        <v>1</v>
      </c>
      <c r="F2433" s="2" t="n">
        <v>47</v>
      </c>
      <c r="G2433" s="2" t="s">
        <v>537</v>
      </c>
      <c r="H2433" s="2" t="str">
        <f aca="false">IFERROR(__xludf.dummyfunction("IF(I2453="""", """", REGEXEXTRACT(I2453, ""Padrao/([^/]+)""))"),"City Ribeirao")</f>
        <v>City Ribeirao</v>
      </c>
    </row>
    <row r="2434" customFormat="false" ht="15.75" hidden="false" customHeight="false" outlineLevel="0" collapsed="false">
      <c r="A2434" s="2" t="n">
        <v>159551</v>
      </c>
      <c r="B2434" s="2" t="s">
        <v>162</v>
      </c>
      <c r="C2434" s="2" t="n">
        <v>1</v>
      </c>
      <c r="D2434" s="2" t="n">
        <v>1</v>
      </c>
      <c r="E2434" s="2" t="n">
        <v>1</v>
      </c>
      <c r="F2434" s="2" t="n">
        <v>41</v>
      </c>
      <c r="G2434" s="2" t="s">
        <v>537</v>
      </c>
      <c r="H2434" s="2" t="str">
        <f aca="false">IFERROR(__xludf.dummyfunction("IF(I2454="""", """", REGEXEXTRACT(I2454, ""Padrao/([^/]+)""))"),"Reserva Sul Condominio")</f>
        <v>Reserva Sul Condominio</v>
      </c>
    </row>
    <row r="2435" customFormat="false" ht="15.75" hidden="false" customHeight="false" outlineLevel="0" collapsed="false">
      <c r="A2435" s="2" t="n">
        <v>159044</v>
      </c>
      <c r="B2435" s="2" t="s">
        <v>2032</v>
      </c>
      <c r="C2435" s="2" t="n">
        <v>2</v>
      </c>
      <c r="D2435" s="2" t="n">
        <v>2</v>
      </c>
      <c r="E2435" s="2" t="n">
        <v>1</v>
      </c>
      <c r="F2435" s="2" t="n">
        <v>61</v>
      </c>
      <c r="G2435" s="2" t="s">
        <v>537</v>
      </c>
      <c r="H2435" s="2" t="str">
        <f aca="false">IFERROR(__xludf.dummyfunction("IF(I2455="""", """", REGEXEXTRACT(I2455, ""Padrao/([^/]+)""))"),"Presidente Medici")</f>
        <v>Presidente Medici</v>
      </c>
    </row>
    <row r="2436" customFormat="false" ht="15.75" hidden="false" customHeight="false" outlineLevel="0" collapsed="false">
      <c r="A2436" s="2" t="n">
        <v>153230</v>
      </c>
      <c r="B2436" s="2" t="s">
        <v>2033</v>
      </c>
      <c r="C2436" s="2" t="n">
        <v>2</v>
      </c>
      <c r="D2436" s="2" t="n">
        <v>1</v>
      </c>
      <c r="E2436" s="2" t="n">
        <v>1</v>
      </c>
      <c r="F2436" s="2" t="n">
        <v>57</v>
      </c>
      <c r="G2436" s="2" t="s">
        <v>537</v>
      </c>
      <c r="H2436" s="2" t="str">
        <f aca="false">IFERROR(__xludf.dummyfunction("IF(I2456="""", """", REGEXEXTRACT(I2456, ""Padrao/([^/]+)""))"),"Ipiranga")</f>
        <v>Ipiranga</v>
      </c>
    </row>
    <row r="2437" customFormat="false" ht="15.75" hidden="false" customHeight="false" outlineLevel="0" collapsed="false">
      <c r="A2437" s="2" t="n">
        <v>152006</v>
      </c>
      <c r="B2437" s="2" t="s">
        <v>2034</v>
      </c>
      <c r="C2437" s="2" t="n">
        <v>2</v>
      </c>
      <c r="D2437" s="2" t="n">
        <v>2</v>
      </c>
      <c r="E2437" s="2" t="n">
        <v>1</v>
      </c>
      <c r="F2437" s="2" t="n">
        <v>57</v>
      </c>
      <c r="G2437" s="2" t="s">
        <v>537</v>
      </c>
      <c r="H2437" s="2" t="str">
        <f aca="false">IFERROR(__xludf.dummyfunction("IF(I2457="""", """", REGEXEXTRACT(I2457, ""Padrao/([^/]+)""))"),"Jardim Paulista")</f>
        <v>Jardim Paulista</v>
      </c>
    </row>
    <row r="2438" customFormat="false" ht="15.75" hidden="false" customHeight="false" outlineLevel="0" collapsed="false">
      <c r="A2438" s="2" t="n">
        <v>148031</v>
      </c>
      <c r="B2438" s="2" t="s">
        <v>2035</v>
      </c>
      <c r="C2438" s="2" t="n">
        <v>2</v>
      </c>
      <c r="D2438" s="2" t="n">
        <v>1</v>
      </c>
      <c r="E2438" s="2" t="n">
        <v>1</v>
      </c>
      <c r="F2438" s="2" t="n">
        <v>48</v>
      </c>
      <c r="G2438" s="2" t="s">
        <v>537</v>
      </c>
      <c r="H2438" s="2" t="str">
        <f aca="false">IFERROR(__xludf.dummyfunction("IF(I2458="""", """", REGEXEXTRACT(I2458, ""Padrao/([^/]+)""))"),"Jardim Sao Fernando")</f>
        <v>Jardim Sao Fernando</v>
      </c>
    </row>
    <row r="2439" customFormat="false" ht="15.75" hidden="false" customHeight="false" outlineLevel="0" collapsed="false">
      <c r="A2439" s="2" t="n">
        <v>147593</v>
      </c>
      <c r="B2439" s="2" t="s">
        <v>1082</v>
      </c>
      <c r="C2439" s="2" t="n">
        <v>2</v>
      </c>
      <c r="D2439" s="2" t="n">
        <v>1</v>
      </c>
      <c r="E2439" s="2" t="n">
        <v>1</v>
      </c>
      <c r="F2439" s="2" t="n">
        <v>41</v>
      </c>
      <c r="G2439" s="2" t="s">
        <v>537</v>
      </c>
      <c r="H2439" s="2" t="str">
        <f aca="false">IFERROR(__xludf.dummyfunction("IF(I2459="""", """", REGEXEXTRACT(I2459, ""Padrao/([^/]+)""))"),"Residencial Jequitiba")</f>
        <v>Residencial Jequitiba</v>
      </c>
    </row>
    <row r="2440" customFormat="false" ht="15.75" hidden="false" customHeight="false" outlineLevel="0" collapsed="false">
      <c r="A2440" s="2" t="n">
        <v>140765</v>
      </c>
      <c r="B2440" s="2" t="s">
        <v>2036</v>
      </c>
      <c r="C2440" s="2" t="n">
        <v>2</v>
      </c>
      <c r="D2440" s="2" t="n">
        <v>1</v>
      </c>
      <c r="E2440" s="2" t="n">
        <v>1</v>
      </c>
      <c r="F2440" s="2" t="n">
        <v>41</v>
      </c>
      <c r="G2440" s="2" t="s">
        <v>537</v>
      </c>
      <c r="H2440" s="2" t="str">
        <f aca="false">IFERROR(__xludf.dummyfunction("IF(I2460="""", """", REGEXEXTRACT(I2460, ""Padrao/([^/]+)""))"),"Residencial Jequitiba")</f>
        <v>Residencial Jequitiba</v>
      </c>
    </row>
    <row r="2441" customFormat="false" ht="15.75" hidden="false" customHeight="false" outlineLevel="0" collapsed="false">
      <c r="A2441" s="2" t="n">
        <v>126266</v>
      </c>
      <c r="B2441" s="2" t="s">
        <v>605</v>
      </c>
      <c r="C2441" s="2" t="n">
        <v>3</v>
      </c>
      <c r="D2441" s="2" t="n">
        <v>1</v>
      </c>
      <c r="E2441" s="2" t="n">
        <v>1</v>
      </c>
      <c r="F2441" s="2" t="n">
        <v>58</v>
      </c>
      <c r="G2441" s="2" t="s">
        <v>537</v>
      </c>
      <c r="H2441" s="2" t="str">
        <f aca="false">IFERROR(__xludf.dummyfunction("IF(I2461="""", """", REGEXEXTRACT(I2461, ""Padrao/([^/]+)""))"),"Campos Eliseos")</f>
        <v>Campos Eliseos</v>
      </c>
    </row>
    <row r="2442" customFormat="false" ht="15.75" hidden="false" customHeight="false" outlineLevel="0" collapsed="false">
      <c r="A2442" s="2" t="n">
        <v>114383</v>
      </c>
      <c r="B2442" s="2" t="s">
        <v>162</v>
      </c>
      <c r="C2442" s="2" t="n">
        <v>2</v>
      </c>
      <c r="D2442" s="2" t="n">
        <v>2</v>
      </c>
      <c r="E2442" s="2" t="n">
        <v>1</v>
      </c>
      <c r="F2442" s="2" t="n">
        <v>65</v>
      </c>
      <c r="G2442" s="2" t="s">
        <v>537</v>
      </c>
      <c r="H2442" s="2" t="str">
        <f aca="false">IFERROR(__xludf.dummyfunction("IF(I2462="""", """", REGEXEXTRACT(I2462, ""Padrao/([^/]+)""))"),"Jardim Palma Travassos")</f>
        <v>Jardim Palma Travassos</v>
      </c>
    </row>
    <row r="2443" customFormat="false" ht="15.75" hidden="false" customHeight="false" outlineLevel="0" collapsed="false">
      <c r="A2443" s="2" t="n">
        <v>107465</v>
      </c>
      <c r="B2443" s="2" t="s">
        <v>1232</v>
      </c>
      <c r="C2443" s="2" t="n">
        <v>2</v>
      </c>
      <c r="D2443" s="2" t="n">
        <v>1</v>
      </c>
      <c r="E2443" s="2" t="n">
        <v>1</v>
      </c>
      <c r="F2443" s="2" t="n">
        <v>45</v>
      </c>
      <c r="G2443" s="2" t="s">
        <v>537</v>
      </c>
      <c r="H2443" s="2" t="str">
        <f aca="false">IFERROR(__xludf.dummyfunction("IF(I2463="""", """", REGEXEXTRACT(I2463, ""Padrao/([^/]+)""))"),"Alto do Ipiranga")</f>
        <v>Alto do Ipiranga</v>
      </c>
    </row>
    <row r="2444" customFormat="false" ht="15.75" hidden="false" customHeight="false" outlineLevel="0" collapsed="false">
      <c r="A2444" s="2" t="n">
        <v>101915</v>
      </c>
      <c r="B2444" s="2" t="s">
        <v>1287</v>
      </c>
      <c r="C2444" s="2" t="n">
        <v>2</v>
      </c>
      <c r="D2444" s="2" t="n">
        <v>1</v>
      </c>
      <c r="E2444" s="2" t="n">
        <v>1</v>
      </c>
      <c r="F2444" s="2" t="n">
        <v>46</v>
      </c>
      <c r="G2444" s="2" t="s">
        <v>537</v>
      </c>
      <c r="H2444" s="2" t="str">
        <f aca="false">IFERROR(__xludf.dummyfunction("IF(I2464="""", """", REGEXEXTRACT(I2464, ""Padrao/([^/]+)""))"),"Sumarezinho")</f>
        <v>Sumarezinho</v>
      </c>
    </row>
    <row r="2445" customFormat="false" ht="15.75" hidden="false" customHeight="false" outlineLevel="0" collapsed="false">
      <c r="A2445" s="2" t="n">
        <v>90941</v>
      </c>
      <c r="B2445" s="2" t="s">
        <v>2037</v>
      </c>
      <c r="C2445" s="2" t="n">
        <v>1</v>
      </c>
      <c r="D2445" s="2" t="n">
        <v>1</v>
      </c>
      <c r="E2445" s="2" t="n">
        <v>1</v>
      </c>
      <c r="F2445" s="2" t="n">
        <v>39</v>
      </c>
      <c r="G2445" s="2" t="s">
        <v>537</v>
      </c>
      <c r="H2445" s="2" t="str">
        <f aca="false">IFERROR(__xludf.dummyfunction("IF(I2465="""", """", REGEXEXTRACT(I2465, ""Padrao/([^/]+)""))"),"Vila Ana Maria")</f>
        <v>Vila Ana Maria</v>
      </c>
    </row>
    <row r="2446" customFormat="false" ht="15.75" hidden="false" customHeight="false" outlineLevel="0" collapsed="false">
      <c r="A2446" s="2" t="n">
        <v>63581</v>
      </c>
      <c r="B2446" s="2" t="s">
        <v>2038</v>
      </c>
      <c r="C2446" s="2" t="n">
        <v>3</v>
      </c>
      <c r="D2446" s="2" t="n">
        <v>2</v>
      </c>
      <c r="E2446" s="2" t="n">
        <v>1</v>
      </c>
      <c r="F2446" s="2" t="n">
        <v>72</v>
      </c>
      <c r="G2446" s="2" t="s">
        <v>525</v>
      </c>
      <c r="H2446" s="2" t="str">
        <f aca="false">IFERROR(__xludf.dummyfunction("IF(I2466="""", """", REGEXEXTRACT(I2466, ""Padrao/([^/]+)""))"),"Parque dos Bandeirantes")</f>
        <v>Parque dos Bandeirantes</v>
      </c>
    </row>
    <row r="2447" customFormat="false" ht="15.75" hidden="false" customHeight="false" outlineLevel="0" collapsed="false">
      <c r="A2447" s="2" t="n">
        <v>203900</v>
      </c>
      <c r="B2447" s="2" t="s">
        <v>2039</v>
      </c>
      <c r="C2447" s="2" t="n">
        <v>2</v>
      </c>
      <c r="D2447" s="2" t="n">
        <v>1</v>
      </c>
      <c r="E2447" s="2" t="n">
        <v>1</v>
      </c>
      <c r="F2447" s="2" t="n">
        <v>40</v>
      </c>
      <c r="G2447" s="2" t="s">
        <v>537</v>
      </c>
      <c r="H2447" s="2" t="str">
        <f aca="false">IFERROR(__xludf.dummyfunction("IF(I2467="""", """", REGEXEXTRACT(I2467, ""Padrao/([^/]+)""))"),"Jardim Castelo Branco")</f>
        <v>Jardim Castelo Branco</v>
      </c>
    </row>
    <row r="2448" customFormat="false" ht="15.75" hidden="false" customHeight="false" outlineLevel="0" collapsed="false">
      <c r="A2448" s="2" t="n">
        <v>143240</v>
      </c>
      <c r="B2448" s="2" t="s">
        <v>1438</v>
      </c>
      <c r="C2448" s="2" t="n">
        <v>2</v>
      </c>
      <c r="D2448" s="2" t="n">
        <v>1</v>
      </c>
      <c r="E2448" s="2" t="n">
        <v>1</v>
      </c>
      <c r="F2448" s="2" t="n">
        <v>41</v>
      </c>
      <c r="G2448" s="2" t="s">
        <v>474</v>
      </c>
      <c r="H2448" s="2" t="str">
        <f aca="false">IFERROR(__xludf.dummyfunction("IF(I2468="""", """", REGEXEXTRACT(I2468, ""Padrao/([^/]+)""))"),"Residencial Jequitiba")</f>
        <v>Residencial Jequitiba</v>
      </c>
    </row>
    <row r="2449" customFormat="false" ht="15.75" hidden="false" customHeight="false" outlineLevel="0" collapsed="false">
      <c r="A2449" s="2" t="n">
        <v>240977</v>
      </c>
      <c r="B2449" s="2" t="s">
        <v>1719</v>
      </c>
      <c r="C2449" s="2" t="n">
        <v>2</v>
      </c>
      <c r="D2449" s="2" t="n">
        <v>1</v>
      </c>
      <c r="E2449" s="2" t="n">
        <v>1</v>
      </c>
      <c r="F2449" s="2" t="n">
        <v>47</v>
      </c>
      <c r="G2449" s="2" t="s">
        <v>2040</v>
      </c>
      <c r="H2449" s="2" t="str">
        <f aca="false">IFERROR(__xludf.dummyfunction("IF(I2469="""", """", REGEXEXTRACT(I2469, ""Padrao/([^/]+)""))"),"Alto do Ipiranga")</f>
        <v>Alto do Ipiranga</v>
      </c>
    </row>
    <row r="2450" customFormat="false" ht="15.75" hidden="false" customHeight="false" outlineLevel="0" collapsed="false">
      <c r="A2450" s="2" t="n">
        <v>232067</v>
      </c>
      <c r="B2450" s="2" t="s">
        <v>2041</v>
      </c>
      <c r="C2450" s="2" t="n">
        <v>2</v>
      </c>
      <c r="D2450" s="2" t="n">
        <v>1</v>
      </c>
      <c r="E2450" s="2" t="n">
        <v>1</v>
      </c>
      <c r="F2450" s="2" t="n">
        <v>48</v>
      </c>
      <c r="G2450" s="2" t="s">
        <v>2042</v>
      </c>
      <c r="H2450" s="2" t="str">
        <f aca="false">IFERROR(__xludf.dummyfunction("IF(I2470="""", """", REGEXEXTRACT(I2470, ""Padrao/([^/]+)""))"),"Condominio Mirante Sul")</f>
        <v>Condominio Mirante Sul</v>
      </c>
    </row>
    <row r="2451" customFormat="false" ht="15.75" hidden="false" customHeight="false" outlineLevel="0" collapsed="false">
      <c r="A2451" s="2" t="n">
        <v>157994</v>
      </c>
      <c r="B2451" s="2" t="s">
        <v>440</v>
      </c>
      <c r="C2451" s="2" t="n">
        <v>1</v>
      </c>
      <c r="D2451" s="2" t="n">
        <v>1</v>
      </c>
      <c r="E2451" s="2" t="n">
        <v>1</v>
      </c>
      <c r="F2451" s="2" t="n">
        <v>47</v>
      </c>
      <c r="G2451" s="2" t="s">
        <v>2042</v>
      </c>
      <c r="H2451" s="2" t="str">
        <f aca="false">IFERROR(__xludf.dummyfunction("IF(I2471="""", """", REGEXEXTRACT(I2471, ""Padrao/([^/]+)""))"),"Centro")</f>
        <v>Centro</v>
      </c>
    </row>
    <row r="2452" customFormat="false" ht="15.75" hidden="false" customHeight="false" outlineLevel="0" collapsed="false">
      <c r="A2452" s="2" t="n">
        <v>64340</v>
      </c>
      <c r="B2452" s="2" t="s">
        <v>2043</v>
      </c>
      <c r="C2452" s="2" t="n">
        <v>3</v>
      </c>
      <c r="D2452" s="2" t="n">
        <v>2</v>
      </c>
      <c r="E2452" s="2" t="n">
        <v>1</v>
      </c>
      <c r="F2452" s="2" t="n">
        <v>66</v>
      </c>
      <c r="G2452" s="2" t="s">
        <v>2042</v>
      </c>
      <c r="H2452" s="2" t="str">
        <f aca="false">IFERROR(__xludf.dummyfunction("IF(I2472="""", """", REGEXEXTRACT(I2472, ""Padrao/([^/]+)""))"),"Parque Industrial Lagoinha")</f>
        <v>Parque Industrial Lagoinha</v>
      </c>
    </row>
    <row r="2453" customFormat="false" ht="15.75" hidden="false" customHeight="false" outlineLevel="0" collapsed="false">
      <c r="A2453" s="2" t="n">
        <v>146195</v>
      </c>
      <c r="B2453" s="2" t="s">
        <v>2044</v>
      </c>
      <c r="C2453" s="2" t="n">
        <v>1</v>
      </c>
      <c r="D2453" s="2" t="n">
        <v>2</v>
      </c>
      <c r="E2453" s="2" t="n">
        <v>1</v>
      </c>
      <c r="F2453" s="2" t="n">
        <v>43</v>
      </c>
      <c r="G2453" s="2" t="s">
        <v>509</v>
      </c>
      <c r="H2453" s="2" t="str">
        <f aca="false">IFERROR(__xludf.dummyfunction("IF(I2473="""", """", REGEXEXTRACT(I2473, ""Padrao/([^/]+)""))"),"Jardim Iraja")</f>
        <v>Jardim Iraja</v>
      </c>
    </row>
    <row r="2454" customFormat="false" ht="15.75" hidden="false" customHeight="false" outlineLevel="0" collapsed="false">
      <c r="A2454" s="2" t="n">
        <v>196883</v>
      </c>
      <c r="B2454" s="2" t="s">
        <v>2045</v>
      </c>
      <c r="C2454" s="2" t="n">
        <v>1</v>
      </c>
      <c r="D2454" s="2" t="n">
        <v>1</v>
      </c>
      <c r="E2454" s="2" t="n">
        <v>1</v>
      </c>
      <c r="F2454" s="2" t="n">
        <v>44</v>
      </c>
      <c r="G2454" s="2" t="s">
        <v>521</v>
      </c>
      <c r="H2454" s="2" t="str">
        <f aca="false">IFERROR(__xludf.dummyfunction("IF(I2474="""", """", REGEXEXTRACT(I2474, ""Padrao/([^/]+)""))"),"Jardim Sumare")</f>
        <v>Jardim Sumare</v>
      </c>
    </row>
    <row r="2455" customFormat="false" ht="15.75" hidden="false" customHeight="false" outlineLevel="0" collapsed="false">
      <c r="A2455" s="2" t="n">
        <v>149633</v>
      </c>
      <c r="B2455" s="2" t="s">
        <v>386</v>
      </c>
      <c r="C2455" s="2" t="n">
        <v>2</v>
      </c>
      <c r="D2455" s="2" t="n">
        <v>2</v>
      </c>
      <c r="E2455" s="2" t="n">
        <v>1</v>
      </c>
      <c r="F2455" s="2" t="n">
        <v>53</v>
      </c>
      <c r="G2455" s="2" t="s">
        <v>521</v>
      </c>
      <c r="H2455" s="2" t="str">
        <f aca="false">IFERROR(__xludf.dummyfunction("IF(I2475="""", """", REGEXEXTRACT(I2475, ""Padrao/([^/]+)""))"),"Residencial e Comercial Palmares")</f>
        <v>Residencial e Comercial Palmares</v>
      </c>
    </row>
    <row r="2456" customFormat="false" ht="15.75" hidden="false" customHeight="false" outlineLevel="0" collapsed="false">
      <c r="A2456" s="2" t="n">
        <v>224852</v>
      </c>
      <c r="B2456" s="2" t="s">
        <v>2046</v>
      </c>
      <c r="C2456" s="2" t="n">
        <v>2</v>
      </c>
      <c r="D2456" s="2" t="n">
        <v>1</v>
      </c>
      <c r="E2456" s="2" t="n">
        <v>1</v>
      </c>
      <c r="F2456" s="2" t="n">
        <v>46</v>
      </c>
      <c r="G2456" s="2" t="s">
        <v>525</v>
      </c>
      <c r="H2456" s="2" t="str">
        <f aca="false">IFERROR(__xludf.dummyfunction("IF(I2476="""", """", REGEXEXTRACT(I2476, ""Padrao/([^/]+)""))"),"Reserva Sul Condominio")</f>
        <v>Reserva Sul Condominio</v>
      </c>
    </row>
    <row r="2457" customFormat="false" ht="15.75" hidden="false" customHeight="false" outlineLevel="0" collapsed="false">
      <c r="A2457" s="2" t="n">
        <v>216830</v>
      </c>
      <c r="B2457" s="2" t="s">
        <v>766</v>
      </c>
      <c r="C2457" s="2" t="n">
        <v>2</v>
      </c>
      <c r="D2457" s="2" t="n">
        <v>1</v>
      </c>
      <c r="E2457" s="2" t="n">
        <v>1</v>
      </c>
      <c r="F2457" s="2" t="n">
        <v>42</v>
      </c>
      <c r="G2457" s="2" t="s">
        <v>525</v>
      </c>
      <c r="H2457" s="2" t="str">
        <f aca="false">IFERROR(__xludf.dummyfunction("IF(I2477="""", """", REGEXEXTRACT(I2477, ""Padrao/([^/]+)""))"),"Residencial Parque dos Servidores")</f>
        <v>Residencial Parque dos Servidores</v>
      </c>
    </row>
    <row r="2458" customFormat="false" ht="15.75" hidden="false" customHeight="false" outlineLevel="0" collapsed="false">
      <c r="A2458" s="2" t="n">
        <v>192215</v>
      </c>
      <c r="B2458" s="2" t="s">
        <v>2047</v>
      </c>
      <c r="C2458" s="2" t="n">
        <v>2</v>
      </c>
      <c r="D2458" s="2" t="n">
        <v>1</v>
      </c>
      <c r="E2458" s="2" t="n">
        <v>1</v>
      </c>
      <c r="F2458" s="2" t="n">
        <v>41</v>
      </c>
      <c r="G2458" s="2" t="s">
        <v>525</v>
      </c>
      <c r="H2458" s="2" t="str">
        <f aca="false">IFERROR(__xludf.dummyfunction("IF(I2478="""", """", REGEXEXTRACT(I2478, ""Padrao/([^/]+)""))"),"Residencial Jequitiba")</f>
        <v>Residencial Jequitiba</v>
      </c>
    </row>
    <row r="2459" customFormat="false" ht="15.75" hidden="false" customHeight="false" outlineLevel="0" collapsed="false">
      <c r="A2459" s="2" t="n">
        <v>96002</v>
      </c>
      <c r="B2459" s="2" t="s">
        <v>162</v>
      </c>
      <c r="C2459" s="2" t="n">
        <v>2</v>
      </c>
      <c r="D2459" s="2" t="n">
        <v>1</v>
      </c>
      <c r="E2459" s="2" t="n">
        <v>2</v>
      </c>
      <c r="F2459" s="2" t="n">
        <v>62</v>
      </c>
      <c r="G2459" s="2" t="s">
        <v>533</v>
      </c>
      <c r="H2459" s="2" t="str">
        <f aca="false">IFERROR(__xludf.dummyfunction("IF(I2479="""", """", REGEXEXTRACT(I2479, ""Padrao/([^/]+)""))"),"Residencial Florida")</f>
        <v>Residencial Florida</v>
      </c>
    </row>
    <row r="2460" customFormat="false" ht="15.75" hidden="false" customHeight="false" outlineLevel="0" collapsed="false">
      <c r="A2460" s="2" t="n">
        <v>81995</v>
      </c>
      <c r="B2460" s="2" t="s">
        <v>2048</v>
      </c>
      <c r="C2460" s="2" t="n">
        <v>1</v>
      </c>
      <c r="D2460" s="2" t="n">
        <v>1</v>
      </c>
      <c r="E2460" s="2" t="n">
        <v>1</v>
      </c>
      <c r="F2460" s="2" t="n">
        <v>38</v>
      </c>
      <c r="G2460" s="2" t="s">
        <v>533</v>
      </c>
      <c r="H2460" s="2" t="str">
        <f aca="false">IFERROR(__xludf.dummyfunction("IF(I2480="""", """", REGEXEXTRACT(I2480, ""Padrao/([^/]+)""))"),"Jardim California")</f>
        <v>Jardim California</v>
      </c>
    </row>
    <row r="2461" customFormat="false" ht="15.75" hidden="false" customHeight="false" outlineLevel="0" collapsed="false">
      <c r="A2461" s="2" t="n">
        <v>72695</v>
      </c>
      <c r="B2461" s="2" t="s">
        <v>2049</v>
      </c>
      <c r="C2461" s="2" t="n">
        <v>1</v>
      </c>
      <c r="D2461" s="2" t="n">
        <v>1</v>
      </c>
      <c r="E2461" s="2" t="n">
        <v>1</v>
      </c>
      <c r="F2461" s="2" t="n">
        <v>68</v>
      </c>
      <c r="G2461" s="2" t="s">
        <v>2050</v>
      </c>
      <c r="H2461" s="2" t="str">
        <f aca="false">IFERROR(__xludf.dummyfunction("IF(I2481="""", """", REGEXEXTRACT(I2481, ""Padrao/([^/]+)""))"),"Jardim Sumare")</f>
        <v>Jardim Sumare</v>
      </c>
    </row>
    <row r="2462" customFormat="false" ht="15.75" hidden="false" customHeight="false" outlineLevel="0" collapsed="false">
      <c r="A2462" s="2" t="n">
        <v>243626</v>
      </c>
      <c r="B2462" s="2" t="s">
        <v>2051</v>
      </c>
      <c r="C2462" s="2" t="n">
        <v>2</v>
      </c>
      <c r="D2462" s="2" t="n">
        <v>1</v>
      </c>
      <c r="E2462" s="2" t="n">
        <v>1</v>
      </c>
      <c r="F2462" s="2" t="n">
        <v>57</v>
      </c>
      <c r="G2462" s="2" t="s">
        <v>543</v>
      </c>
      <c r="H2462" s="2" t="str">
        <f aca="false">IFERROR(__xludf.dummyfunction("IF(I2482="""", """", REGEXEXTRACT(I2482, ""Padrao/([^/]+)""))"),"Alto da Boa Vista")</f>
        <v>Alto da Boa Vista</v>
      </c>
    </row>
    <row r="2463" customFormat="false" ht="15.75" hidden="false" customHeight="false" outlineLevel="0" collapsed="false">
      <c r="A2463" s="2" t="n">
        <v>242882</v>
      </c>
      <c r="B2463" s="2" t="s">
        <v>2052</v>
      </c>
      <c r="C2463" s="2" t="n">
        <v>1</v>
      </c>
      <c r="D2463" s="2" t="n">
        <v>1</v>
      </c>
      <c r="E2463" s="2" t="n">
        <v>1</v>
      </c>
      <c r="F2463" s="2" t="n">
        <v>45</v>
      </c>
      <c r="G2463" s="2" t="s">
        <v>543</v>
      </c>
      <c r="H2463" s="2" t="str">
        <f aca="false">IFERROR(__xludf.dummyfunction("IF(I2483="""", """", REGEXEXTRACT(I2483, ""Padrao/([^/]+)""))"),"Nova Alianca")</f>
        <v>Nova Alianca</v>
      </c>
    </row>
    <row r="2464" customFormat="false" ht="15.75" hidden="false" customHeight="false" outlineLevel="0" collapsed="false">
      <c r="A2464" s="2" t="n">
        <v>240833</v>
      </c>
      <c r="B2464" s="2" t="s">
        <v>2017</v>
      </c>
      <c r="C2464" s="2" t="n">
        <v>2</v>
      </c>
      <c r="D2464" s="2" t="n">
        <v>1</v>
      </c>
      <c r="E2464" s="2" t="n">
        <v>1</v>
      </c>
      <c r="F2464" s="2" t="n">
        <v>44</v>
      </c>
      <c r="G2464" s="2" t="s">
        <v>543</v>
      </c>
      <c r="H2464" s="2" t="str">
        <f aca="false">IFERROR(__xludf.dummyfunction("IF(I2484="""", """", REGEXEXTRACT(I2484, ""Padrao/([^/]+)""))"),"Recreio das Acacias")</f>
        <v>Recreio das Acacias</v>
      </c>
    </row>
    <row r="2465" customFormat="false" ht="15.75" hidden="false" customHeight="false" outlineLevel="0" collapsed="false">
      <c r="A2465" s="2" t="n">
        <v>240323</v>
      </c>
      <c r="B2465" s="2" t="s">
        <v>2053</v>
      </c>
      <c r="C2465" s="2" t="n">
        <v>2</v>
      </c>
      <c r="D2465" s="2" t="n">
        <v>1</v>
      </c>
      <c r="E2465" s="2" t="n">
        <v>1</v>
      </c>
      <c r="F2465" s="2" t="n">
        <v>45</v>
      </c>
      <c r="G2465" s="2" t="s">
        <v>543</v>
      </c>
      <c r="H2465" s="2" t="str">
        <f aca="false">IFERROR(__xludf.dummyfunction("IF(I2485="""", """", REGEXEXTRACT(I2485, ""Padrao/([^/]+)""))"),"Ribeirania")</f>
        <v>Ribeirania</v>
      </c>
    </row>
    <row r="2466" customFormat="false" ht="15.75" hidden="false" customHeight="false" outlineLevel="0" collapsed="false">
      <c r="A2466" s="2" t="n">
        <v>238634</v>
      </c>
      <c r="B2466" s="2" t="s">
        <v>2054</v>
      </c>
      <c r="C2466" s="2" t="n">
        <v>2</v>
      </c>
      <c r="D2466" s="2" t="n">
        <v>2</v>
      </c>
      <c r="E2466" s="2" t="n">
        <v>1</v>
      </c>
      <c r="F2466" s="2" t="n">
        <v>72</v>
      </c>
      <c r="G2466" s="2" t="s">
        <v>543</v>
      </c>
      <c r="H2466" s="2" t="str">
        <f aca="false">IFERROR(__xludf.dummyfunction("IF(I2486="""", """", REGEXEXTRACT(I2486, ""Padrao/([^/]+)""))"),"Jardim Anhanguera")</f>
        <v>Jardim Anhanguera</v>
      </c>
    </row>
    <row r="2467" customFormat="false" ht="15.75" hidden="false" customHeight="false" outlineLevel="0" collapsed="false">
      <c r="A2467" s="2" t="n">
        <v>236087</v>
      </c>
      <c r="B2467" s="2" t="s">
        <v>2055</v>
      </c>
      <c r="C2467" s="2" t="n">
        <v>2</v>
      </c>
      <c r="D2467" s="2" t="n">
        <v>2</v>
      </c>
      <c r="E2467" s="2" t="n">
        <v>1</v>
      </c>
      <c r="F2467" s="2" t="n">
        <v>83</v>
      </c>
      <c r="G2467" s="2" t="s">
        <v>543</v>
      </c>
      <c r="H2467" s="2" t="str">
        <f aca="false">IFERROR(__xludf.dummyfunction("IF(I2487="""", """", REGEXEXTRACT(I2487, ""Padrao/([^/]+)""))"),"Vila Tiberio")</f>
        <v>Vila Tiberio</v>
      </c>
    </row>
    <row r="2468" customFormat="false" ht="15.75" hidden="false" customHeight="false" outlineLevel="0" collapsed="false">
      <c r="A2468" s="2" t="n">
        <v>233957</v>
      </c>
      <c r="B2468" s="2" t="s">
        <v>2056</v>
      </c>
      <c r="C2468" s="2" t="n">
        <v>1</v>
      </c>
      <c r="D2468" s="2" t="n">
        <v>1</v>
      </c>
      <c r="E2468" s="2" t="n">
        <v>1</v>
      </c>
      <c r="F2468" s="2" t="n">
        <v>41</v>
      </c>
      <c r="G2468" s="2" t="s">
        <v>543</v>
      </c>
      <c r="H2468" s="2" t="str">
        <f aca="false">IFERROR(__xludf.dummyfunction("IF(I2488="""", """", REGEXEXTRACT(I2488, ""Padrao/([^/]+)""))"),"Jardim Nova Alianca Sul")</f>
        <v>Jardim Nova Alianca Sul</v>
      </c>
    </row>
    <row r="2469" customFormat="false" ht="15.75" hidden="false" customHeight="false" outlineLevel="0" collapsed="false">
      <c r="A2469" s="2" t="n">
        <v>233756</v>
      </c>
      <c r="B2469" s="2" t="s">
        <v>2057</v>
      </c>
      <c r="C2469" s="2" t="n">
        <v>2</v>
      </c>
      <c r="D2469" s="2" t="n">
        <v>1</v>
      </c>
      <c r="E2469" s="2" t="n">
        <v>1</v>
      </c>
      <c r="F2469" s="2" t="n">
        <v>54</v>
      </c>
      <c r="G2469" s="2" t="s">
        <v>543</v>
      </c>
      <c r="H2469" s="2" t="str">
        <f aca="false">IFERROR(__xludf.dummyfunction("IF(I2489="""", """", REGEXEXTRACT(I2489, ""Padrao/([^/]+)""))"),"Residencial e Comercial Palmares")</f>
        <v>Residencial e Comercial Palmares</v>
      </c>
    </row>
    <row r="2470" customFormat="false" ht="15.75" hidden="false" customHeight="false" outlineLevel="0" collapsed="false">
      <c r="A2470" s="2" t="n">
        <v>233714</v>
      </c>
      <c r="B2470" s="2" t="s">
        <v>2058</v>
      </c>
      <c r="C2470" s="2" t="n">
        <v>2</v>
      </c>
      <c r="D2470" s="2" t="n">
        <v>1</v>
      </c>
      <c r="E2470" s="2" t="n">
        <v>1</v>
      </c>
      <c r="F2470" s="2" t="n">
        <v>42</v>
      </c>
      <c r="G2470" s="2" t="s">
        <v>543</v>
      </c>
      <c r="H2470" s="2" t="str">
        <f aca="false">IFERROR(__xludf.dummyfunction("IF(I2490="""", """", REGEXEXTRACT(I2490, ""Padrao/([^/]+)""))"),"Vila Virginia")</f>
        <v>Vila Virginia</v>
      </c>
    </row>
    <row r="2471" customFormat="false" ht="15.75" hidden="false" customHeight="false" outlineLevel="0" collapsed="false">
      <c r="A2471" s="2" t="n">
        <v>233114</v>
      </c>
      <c r="B2471" s="2" t="s">
        <v>1270</v>
      </c>
      <c r="C2471" s="2" t="n">
        <v>2</v>
      </c>
      <c r="D2471" s="2" t="n">
        <v>1</v>
      </c>
      <c r="E2471" s="2" t="n">
        <v>1</v>
      </c>
      <c r="F2471" s="2" t="n">
        <v>46</v>
      </c>
      <c r="G2471" s="2" t="s">
        <v>543</v>
      </c>
      <c r="H2471" s="2" t="str">
        <f aca="false">IFERROR(__xludf.dummyfunction("IF(I2491="""", """", REGEXEXTRACT(I2491, ""Padrao/([^/]+)""))"),"Ribeirania")</f>
        <v>Ribeirania</v>
      </c>
    </row>
    <row r="2472" customFormat="false" ht="15.75" hidden="false" customHeight="false" outlineLevel="0" collapsed="false">
      <c r="A2472" s="2" t="n">
        <v>229340</v>
      </c>
      <c r="B2472" s="2" t="s">
        <v>1719</v>
      </c>
      <c r="C2472" s="2" t="n">
        <v>2</v>
      </c>
      <c r="D2472" s="2" t="n">
        <v>1</v>
      </c>
      <c r="E2472" s="2" t="n">
        <v>1</v>
      </c>
      <c r="F2472" s="2" t="n">
        <v>47</v>
      </c>
      <c r="G2472" s="2" t="s">
        <v>543</v>
      </c>
      <c r="H2472" s="2" t="str">
        <f aca="false">IFERROR(__xludf.dummyfunction("IF(I2492="""", """", REGEXEXTRACT(I2492, ""Padrao/([^/]+)""))"),"Alto do Ipiranga")</f>
        <v>Alto do Ipiranga</v>
      </c>
    </row>
    <row r="2473" customFormat="false" ht="15.75" hidden="false" customHeight="false" outlineLevel="0" collapsed="false">
      <c r="A2473" s="2" t="n">
        <v>228800</v>
      </c>
      <c r="B2473" s="2" t="s">
        <v>2059</v>
      </c>
      <c r="C2473" s="2" t="n">
        <v>2</v>
      </c>
      <c r="D2473" s="2" t="n">
        <v>1</v>
      </c>
      <c r="E2473" s="2" t="n">
        <v>1</v>
      </c>
      <c r="F2473" s="2" t="n">
        <v>42</v>
      </c>
      <c r="G2473" s="2" t="s">
        <v>543</v>
      </c>
      <c r="H2473" s="2" t="str">
        <f aca="false">IFERROR(__xludf.dummyfunction("IF(I2493="""", """", REGEXEXTRACT(I2493, ""Padrao/([^/]+)""))"),"Quintino Facci II")</f>
        <v>Quintino Facci II</v>
      </c>
    </row>
    <row r="2474" customFormat="false" ht="15.75" hidden="false" customHeight="false" outlineLevel="0" collapsed="false">
      <c r="A2474" s="2" t="n">
        <v>227522</v>
      </c>
      <c r="B2474" s="2" t="s">
        <v>1338</v>
      </c>
      <c r="C2474" s="2" t="n">
        <v>1</v>
      </c>
      <c r="D2474" s="2" t="n">
        <v>1</v>
      </c>
      <c r="E2474" s="2" t="n">
        <v>1</v>
      </c>
      <c r="F2474" s="2" t="n">
        <v>46</v>
      </c>
      <c r="G2474" s="2" t="s">
        <v>543</v>
      </c>
      <c r="H2474" s="2" t="str">
        <f aca="false">IFERROR(__xludf.dummyfunction("IF(I2494="""", """", REGEXEXTRACT(I2494, ""Padrao/([^/]+)""))"),"Centro")</f>
        <v>Centro</v>
      </c>
    </row>
    <row r="2475" customFormat="false" ht="15.75" hidden="false" customHeight="false" outlineLevel="0" collapsed="false">
      <c r="A2475" s="2" t="n">
        <v>222335</v>
      </c>
      <c r="B2475" s="2" t="s">
        <v>1892</v>
      </c>
      <c r="C2475" s="2" t="n">
        <v>2</v>
      </c>
      <c r="D2475" s="2" t="n">
        <v>1</v>
      </c>
      <c r="E2475" s="2" t="n">
        <v>1</v>
      </c>
      <c r="F2475" s="2" t="n">
        <v>47</v>
      </c>
      <c r="G2475" s="2" t="s">
        <v>543</v>
      </c>
      <c r="H2475" s="2" t="str">
        <f aca="false">IFERROR(__xludf.dummyfunction("IF(I2495="""", """", REGEXEXTRACT(I2495, ""Padrao/([^/]+)""))"),"Condominio Mirante Sul")</f>
        <v>Condominio Mirante Sul</v>
      </c>
    </row>
    <row r="2476" customFormat="false" ht="15.75" hidden="false" customHeight="false" outlineLevel="0" collapsed="false">
      <c r="A2476" s="2" t="n">
        <v>221924</v>
      </c>
      <c r="B2476" s="2" t="s">
        <v>2019</v>
      </c>
      <c r="C2476" s="2" t="n">
        <v>2</v>
      </c>
      <c r="D2476" s="2" t="n">
        <v>1</v>
      </c>
      <c r="E2476" s="2" t="n">
        <v>1</v>
      </c>
      <c r="F2476" s="2" t="n">
        <v>44</v>
      </c>
      <c r="G2476" s="2" t="s">
        <v>543</v>
      </c>
      <c r="H2476" s="2" t="str">
        <f aca="false">IFERROR(__xludf.dummyfunction("IF(I2496="""", """", REGEXEXTRACT(I2496, ""Padrao/([^/]+)""))"),"Recreio das Acacias")</f>
        <v>Recreio das Acacias</v>
      </c>
    </row>
    <row r="2477" customFormat="false" ht="15.75" hidden="false" customHeight="false" outlineLevel="0" collapsed="false">
      <c r="A2477" s="2" t="n">
        <v>220193</v>
      </c>
      <c r="B2477" s="2" t="s">
        <v>2060</v>
      </c>
      <c r="C2477" s="2" t="n">
        <v>2</v>
      </c>
      <c r="D2477" s="2" t="n">
        <v>1</v>
      </c>
      <c r="E2477" s="2" t="n">
        <v>1</v>
      </c>
      <c r="F2477" s="2" t="n">
        <v>47</v>
      </c>
      <c r="G2477" s="2" t="s">
        <v>543</v>
      </c>
      <c r="H2477" s="2" t="str">
        <f aca="false">IFERROR(__xludf.dummyfunction("IF(I2497="""", """", REGEXEXTRACT(I2497, ""Padrao/([^/]+)""))"),"City Ribeirao")</f>
        <v>City Ribeirao</v>
      </c>
    </row>
    <row r="2478" customFormat="false" ht="15.75" hidden="false" customHeight="false" outlineLevel="0" collapsed="false">
      <c r="A2478" s="2" t="n">
        <v>219626</v>
      </c>
      <c r="B2478" s="2" t="s">
        <v>2061</v>
      </c>
      <c r="C2478" s="2" t="n">
        <v>2</v>
      </c>
      <c r="D2478" s="2" t="n">
        <v>1</v>
      </c>
      <c r="E2478" s="2" t="n">
        <v>1</v>
      </c>
      <c r="F2478" s="2" t="n">
        <v>49</v>
      </c>
      <c r="G2478" s="2" t="s">
        <v>543</v>
      </c>
      <c r="H2478" s="2" t="str">
        <f aca="false">IFERROR(__xludf.dummyfunction("IF(I2498="""", """", REGEXEXTRACT(I2498, ""Padrao/([^/]+)""))"),"Jardim Paulistano")</f>
        <v>Jardim Paulistano</v>
      </c>
    </row>
    <row r="2479" customFormat="false" ht="15.75" hidden="false" customHeight="false" outlineLevel="0" collapsed="false">
      <c r="A2479" s="2" t="n">
        <v>208544</v>
      </c>
      <c r="B2479" s="2" t="s">
        <v>162</v>
      </c>
      <c r="C2479" s="2" t="n">
        <v>1</v>
      </c>
      <c r="D2479" s="2" t="n">
        <v>1</v>
      </c>
      <c r="E2479" s="2" t="n">
        <v>1</v>
      </c>
      <c r="F2479" s="2" t="n">
        <v>49</v>
      </c>
      <c r="G2479" s="2" t="s">
        <v>543</v>
      </c>
      <c r="H2479" s="2" t="str">
        <f aca="false">IFERROR(__xludf.dummyfunction("IF(I2499="""", """", REGEXEXTRACT(I2499, ""Padrao/([^/]+)""))"),"Condominio Itamaraty")</f>
        <v>Condominio Itamaraty</v>
      </c>
    </row>
    <row r="2480" customFormat="false" ht="15.75" hidden="false" customHeight="false" outlineLevel="0" collapsed="false">
      <c r="A2480" s="2" t="n">
        <v>205763</v>
      </c>
      <c r="B2480" s="2" t="s">
        <v>2062</v>
      </c>
      <c r="C2480" s="2" t="n">
        <v>2</v>
      </c>
      <c r="D2480" s="2" t="n">
        <v>1</v>
      </c>
      <c r="E2480" s="2" t="n">
        <v>1</v>
      </c>
      <c r="F2480" s="2" t="n">
        <v>51</v>
      </c>
      <c r="G2480" s="2" t="s">
        <v>543</v>
      </c>
      <c r="H2480" s="2" t="str">
        <f aca="false">IFERROR(__xludf.dummyfunction("IF(I2500="""", """", REGEXEXTRACT(I2500, ""Padrao/([^/]+)""))"),"Residencial das Americas")</f>
        <v>Residencial das Americas</v>
      </c>
    </row>
    <row r="2481" customFormat="false" ht="15.75" hidden="false" customHeight="false" outlineLevel="0" collapsed="false">
      <c r="A2481" s="2" t="n">
        <v>205424</v>
      </c>
      <c r="B2481" s="2" t="s">
        <v>1897</v>
      </c>
      <c r="C2481" s="2" t="n">
        <v>3</v>
      </c>
      <c r="D2481" s="2" t="n">
        <v>2</v>
      </c>
      <c r="E2481" s="2" t="n">
        <v>1</v>
      </c>
      <c r="F2481" s="2" t="n">
        <v>66</v>
      </c>
      <c r="G2481" s="2" t="s">
        <v>543</v>
      </c>
      <c r="H2481" s="2" t="str">
        <f aca="false">IFERROR(__xludf.dummyfunction("IF(I2501="""", """", REGEXEXTRACT(I2501, ""Padrao/([^/]+)""))"),"Parque Industrial Lagoinha")</f>
        <v>Parque Industrial Lagoinha</v>
      </c>
    </row>
    <row r="2482" customFormat="false" ht="15.75" hidden="false" customHeight="false" outlineLevel="0" collapsed="false">
      <c r="A2482" s="2" t="n">
        <v>205373</v>
      </c>
      <c r="B2482" s="2" t="s">
        <v>2063</v>
      </c>
      <c r="C2482" s="2" t="n">
        <v>2</v>
      </c>
      <c r="D2482" s="2" t="n">
        <v>1</v>
      </c>
      <c r="E2482" s="2" t="n">
        <v>1</v>
      </c>
      <c r="F2482" s="2" t="n">
        <v>43</v>
      </c>
      <c r="G2482" s="2" t="s">
        <v>543</v>
      </c>
      <c r="H2482" s="2" t="str">
        <f aca="false">IFERROR(__xludf.dummyfunction("IF(I2502="""", """", REGEXEXTRACT(I2502, ""Padrao/([^/]+)""))"),"Loteamento Santa Marta")</f>
        <v>Loteamento Santa Marta</v>
      </c>
    </row>
    <row r="2483" customFormat="false" ht="15.75" hidden="false" customHeight="false" outlineLevel="0" collapsed="false">
      <c r="A2483" s="2" t="n">
        <v>204857</v>
      </c>
      <c r="B2483" s="2" t="s">
        <v>2064</v>
      </c>
      <c r="C2483" s="2" t="n">
        <v>2</v>
      </c>
      <c r="D2483" s="2" t="n">
        <v>1</v>
      </c>
      <c r="E2483" s="2" t="n">
        <v>1</v>
      </c>
      <c r="F2483" s="2" t="n">
        <v>43</v>
      </c>
      <c r="G2483" s="2" t="s">
        <v>543</v>
      </c>
      <c r="H2483" s="2" t="str">
        <f aca="false">IFERROR(__xludf.dummyfunction("IF(I2503="""", """", REGEXEXTRACT(I2503, ""Padrao/([^/]+)""))"),"Jardim Heitor Rigon")</f>
        <v>Jardim Heitor Rigon</v>
      </c>
    </row>
    <row r="2484" customFormat="false" ht="15.75" hidden="false" customHeight="false" outlineLevel="0" collapsed="false">
      <c r="A2484" s="2" t="n">
        <v>203534</v>
      </c>
      <c r="B2484" s="2" t="s">
        <v>1131</v>
      </c>
      <c r="C2484" s="2" t="n">
        <v>2</v>
      </c>
      <c r="D2484" s="2" t="n">
        <v>1</v>
      </c>
      <c r="E2484" s="2" t="n">
        <v>1</v>
      </c>
      <c r="F2484" s="2" t="n">
        <v>48</v>
      </c>
      <c r="G2484" s="2" t="s">
        <v>543</v>
      </c>
      <c r="H2484" s="2" t="str">
        <f aca="false">IFERROR(__xludf.dummyfunction("IF(I2504="""", """", REGEXEXTRACT(I2504, ""Padrao/([^/]+)""))"),"Jardim Sao Fernando")</f>
        <v>Jardim Sao Fernando</v>
      </c>
    </row>
    <row r="2485" customFormat="false" ht="15.75" hidden="false" customHeight="false" outlineLevel="0" collapsed="false">
      <c r="A2485" s="2" t="n">
        <v>203012</v>
      </c>
      <c r="B2485" s="2" t="s">
        <v>2065</v>
      </c>
      <c r="C2485" s="2" t="n">
        <v>1</v>
      </c>
      <c r="D2485" s="2" t="n">
        <v>1</v>
      </c>
      <c r="E2485" s="2" t="n">
        <v>1</v>
      </c>
      <c r="F2485" s="2" t="n">
        <v>69</v>
      </c>
      <c r="G2485" s="2" t="s">
        <v>543</v>
      </c>
      <c r="H2485" s="2" t="str">
        <f aca="false">IFERROR(__xludf.dummyfunction("IF(I2505="""", """", REGEXEXTRACT(I2505, ""Padrao/([^/]+)""))"),"Jardim Anhanguera")</f>
        <v>Jardim Anhanguera</v>
      </c>
    </row>
    <row r="2486" customFormat="false" ht="15.75" hidden="false" customHeight="false" outlineLevel="0" collapsed="false">
      <c r="A2486" s="2" t="n">
        <v>201128</v>
      </c>
      <c r="B2486" s="2" t="s">
        <v>2066</v>
      </c>
      <c r="C2486" s="2" t="n">
        <v>2</v>
      </c>
      <c r="D2486" s="2" t="n">
        <v>2</v>
      </c>
      <c r="E2486" s="2" t="n">
        <v>1</v>
      </c>
      <c r="F2486" s="2" t="n">
        <v>62</v>
      </c>
      <c r="G2486" s="2" t="s">
        <v>543</v>
      </c>
      <c r="H2486" s="2" t="str">
        <f aca="false">IFERROR(__xludf.dummyfunction("IF(I2506="""", """", REGEXEXTRACT(I2506, ""Padrao/([^/]+)""))"),"Residencial e Comercial Palmares")</f>
        <v>Residencial e Comercial Palmares</v>
      </c>
    </row>
    <row r="2487" customFormat="false" ht="15.75" hidden="false" customHeight="false" outlineLevel="0" collapsed="false">
      <c r="A2487" s="2" t="n">
        <v>201068</v>
      </c>
      <c r="B2487" s="2" t="s">
        <v>2067</v>
      </c>
      <c r="C2487" s="2" t="n">
        <v>2</v>
      </c>
      <c r="D2487" s="2" t="n">
        <v>2</v>
      </c>
      <c r="E2487" s="2" t="n">
        <v>1</v>
      </c>
      <c r="F2487" s="2" t="n">
        <v>59</v>
      </c>
      <c r="G2487" s="2" t="s">
        <v>543</v>
      </c>
      <c r="H2487" s="2" t="str">
        <f aca="false">IFERROR(__xludf.dummyfunction("IF(I2507="""", """", REGEXEXTRACT(I2507, ""Padrao/([^/]+)""))"),"Centro")</f>
        <v>Centro</v>
      </c>
    </row>
    <row r="2488" customFormat="false" ht="15.75" hidden="false" customHeight="false" outlineLevel="0" collapsed="false">
      <c r="A2488" s="2" t="n">
        <v>199658</v>
      </c>
      <c r="B2488" s="2" t="s">
        <v>2068</v>
      </c>
      <c r="C2488" s="2" t="n">
        <v>2</v>
      </c>
      <c r="D2488" s="2" t="n">
        <v>1</v>
      </c>
      <c r="E2488" s="2" t="n">
        <v>1</v>
      </c>
      <c r="F2488" s="2" t="n">
        <v>48</v>
      </c>
      <c r="G2488" s="2" t="s">
        <v>543</v>
      </c>
      <c r="H2488" s="2" t="str">
        <f aca="false">IFERROR(__xludf.dummyfunction("IF(I2508="""", """", REGEXEXTRACT(I2508, ""Padrao/([^/]+)""))"),"Vila Virginia")</f>
        <v>Vila Virginia</v>
      </c>
    </row>
    <row r="2489" customFormat="false" ht="15.75" hidden="false" customHeight="false" outlineLevel="0" collapsed="false">
      <c r="A2489" s="2" t="n">
        <v>195287</v>
      </c>
      <c r="B2489" s="2" t="s">
        <v>2069</v>
      </c>
      <c r="C2489" s="2" t="n">
        <v>2</v>
      </c>
      <c r="D2489" s="2" t="n">
        <v>1</v>
      </c>
      <c r="E2489" s="2" t="n">
        <v>1</v>
      </c>
      <c r="F2489" s="2" t="n">
        <v>49</v>
      </c>
      <c r="G2489" s="2" t="s">
        <v>543</v>
      </c>
      <c r="H2489" s="2" t="str">
        <f aca="false">IFERROR(__xludf.dummyfunction("IF(I2509="""", """", REGEXEXTRACT(I2509, ""Padrao/([^/]+)""))"),"Reserva Sul Condominio")</f>
        <v>Reserva Sul Condominio</v>
      </c>
    </row>
    <row r="2490" customFormat="false" ht="15.75" hidden="false" customHeight="false" outlineLevel="0" collapsed="false">
      <c r="A2490" s="2" t="n">
        <v>195155</v>
      </c>
      <c r="B2490" s="2" t="s">
        <v>2070</v>
      </c>
      <c r="C2490" s="2" t="n">
        <v>2</v>
      </c>
      <c r="D2490" s="2" t="n">
        <v>2</v>
      </c>
      <c r="E2490" s="2" t="n">
        <v>1</v>
      </c>
      <c r="F2490" s="2" t="n">
        <v>47</v>
      </c>
      <c r="G2490" s="2" t="s">
        <v>543</v>
      </c>
      <c r="H2490" s="2" t="str">
        <f aca="false">IFERROR(__xludf.dummyfunction("IF(I2510="""", """", REGEXEXTRACT(I2510, ""Padrao/([^/]+)""))"),"Residencial Greenville")</f>
        <v>Residencial Greenville</v>
      </c>
    </row>
    <row r="2491" customFormat="false" ht="15.75" hidden="false" customHeight="false" outlineLevel="0" collapsed="false">
      <c r="A2491" s="2" t="n">
        <v>194861</v>
      </c>
      <c r="B2491" s="2" t="s">
        <v>2071</v>
      </c>
      <c r="C2491" s="2" t="n">
        <v>2</v>
      </c>
      <c r="D2491" s="2" t="n">
        <v>1</v>
      </c>
      <c r="E2491" s="2" t="n">
        <v>1</v>
      </c>
      <c r="F2491" s="2" t="n">
        <v>51</v>
      </c>
      <c r="G2491" s="2" t="s">
        <v>543</v>
      </c>
      <c r="H2491" s="2" t="str">
        <f aca="false">IFERROR(__xludf.dummyfunction("IF(I2511="""", """", REGEXEXTRACT(I2511, ""Padrao/([^/]+)""))"),"Campos Eliseos")</f>
        <v>Campos Eliseos</v>
      </c>
    </row>
    <row r="2492" customFormat="false" ht="15.75" hidden="false" customHeight="false" outlineLevel="0" collapsed="false">
      <c r="A2492" s="2" t="n">
        <v>194084</v>
      </c>
      <c r="B2492" s="2" t="s">
        <v>2072</v>
      </c>
      <c r="C2492" s="2" t="n">
        <v>3</v>
      </c>
      <c r="D2492" s="2" t="n">
        <v>2</v>
      </c>
      <c r="E2492" s="2" t="n">
        <v>2</v>
      </c>
      <c r="F2492" s="2" t="n">
        <v>67</v>
      </c>
      <c r="G2492" s="2" t="s">
        <v>543</v>
      </c>
      <c r="H2492" s="2" t="str">
        <f aca="false">IFERROR(__xludf.dummyfunction("IF(I2512="""", """", REGEXEXTRACT(I2512, ""Padrao/([^/]+)""))"),"Parque Sao Sebastiao")</f>
        <v>Parque Sao Sebastiao</v>
      </c>
    </row>
    <row r="2493" customFormat="false" ht="15.75" hidden="false" customHeight="false" outlineLevel="0" collapsed="false">
      <c r="A2493" s="2" t="n">
        <v>193097</v>
      </c>
      <c r="B2493" s="2" t="s">
        <v>1136</v>
      </c>
      <c r="C2493" s="2" t="n">
        <v>2</v>
      </c>
      <c r="D2493" s="2" t="n">
        <v>1</v>
      </c>
      <c r="E2493" s="2" t="n">
        <v>1</v>
      </c>
      <c r="F2493" s="2" t="n">
        <v>43</v>
      </c>
      <c r="G2493" s="2" t="s">
        <v>543</v>
      </c>
      <c r="H2493" s="2" t="str">
        <f aca="false">IFERROR(__xludf.dummyfunction("IF(I2513="""", """", REGEXEXTRACT(I2513, ""Padrao/([^/]+)""))"),"Reserva Macauba")</f>
        <v>Reserva Macauba</v>
      </c>
    </row>
    <row r="2494" customFormat="false" ht="15.75" hidden="false" customHeight="false" outlineLevel="0" collapsed="false">
      <c r="A2494" s="2" t="n">
        <v>190664</v>
      </c>
      <c r="B2494" s="2" t="s">
        <v>2073</v>
      </c>
      <c r="C2494" s="2" t="n">
        <v>2</v>
      </c>
      <c r="D2494" s="2" t="n">
        <v>1</v>
      </c>
      <c r="E2494" s="2" t="n">
        <v>1</v>
      </c>
      <c r="F2494" s="2" t="n">
        <v>50</v>
      </c>
      <c r="G2494" s="2" t="s">
        <v>543</v>
      </c>
      <c r="H2494" s="2" t="str">
        <f aca="false">IFERROR(__xludf.dummyfunction("IF(I2514="""", """", REGEXEXTRACT(I2514, ""Padrao/([^/]+)""))"),"Jardim Anhanguera")</f>
        <v>Jardim Anhanguera</v>
      </c>
    </row>
    <row r="2495" customFormat="false" ht="15.75" hidden="false" customHeight="false" outlineLevel="0" collapsed="false">
      <c r="A2495" s="2" t="n">
        <v>185795</v>
      </c>
      <c r="B2495" s="2" t="s">
        <v>2041</v>
      </c>
      <c r="C2495" s="2" t="n">
        <v>2</v>
      </c>
      <c r="D2495" s="2" t="n">
        <v>1</v>
      </c>
      <c r="E2495" s="2" t="n">
        <v>1</v>
      </c>
      <c r="F2495" s="2" t="n">
        <v>48</v>
      </c>
      <c r="G2495" s="2" t="s">
        <v>543</v>
      </c>
      <c r="H2495" s="2" t="str">
        <f aca="false">IFERROR(__xludf.dummyfunction("IF(I2515="""", """", REGEXEXTRACT(I2515, ""Padrao/([^/]+)""))"),"Condominio Mirante Sul")</f>
        <v>Condominio Mirante Sul</v>
      </c>
    </row>
    <row r="2496" customFormat="false" ht="15.75" hidden="false" customHeight="false" outlineLevel="0" collapsed="false">
      <c r="A2496" s="2" t="n">
        <v>185624</v>
      </c>
      <c r="B2496" s="2" t="s">
        <v>1159</v>
      </c>
      <c r="C2496" s="2" t="n">
        <v>2</v>
      </c>
      <c r="D2496" s="2" t="n">
        <v>1</v>
      </c>
      <c r="E2496" s="2" t="n">
        <v>1</v>
      </c>
      <c r="F2496" s="2" t="n">
        <v>42</v>
      </c>
      <c r="G2496" s="2" t="s">
        <v>543</v>
      </c>
      <c r="H2496" s="2" t="str">
        <f aca="false">IFERROR(__xludf.dummyfunction("IF(I2516="""", """", REGEXEXTRACT(I2516, ""Padrao/([^/]+)""))"),"Jardim Florestan Fernandes")</f>
        <v>Jardim Florestan Fernandes</v>
      </c>
    </row>
    <row r="2497" customFormat="false" ht="15.75" hidden="false" customHeight="false" outlineLevel="0" collapsed="false">
      <c r="A2497" s="2" t="n">
        <v>185066</v>
      </c>
      <c r="B2497" s="2" t="s">
        <v>2074</v>
      </c>
      <c r="C2497" s="2" t="n">
        <v>2</v>
      </c>
      <c r="D2497" s="2" t="n">
        <v>1</v>
      </c>
      <c r="E2497" s="2" t="n">
        <v>1</v>
      </c>
      <c r="F2497" s="2" t="n">
        <v>65</v>
      </c>
      <c r="G2497" s="2" t="s">
        <v>543</v>
      </c>
      <c r="H2497" s="2" t="str">
        <f aca="false">IFERROR(__xludf.dummyfunction("IF(I2517="""", """", REGEXEXTRACT(I2517, ""Padrao/([^/]+)""))"),"Jardim Novo Mundo")</f>
        <v>Jardim Novo Mundo</v>
      </c>
    </row>
    <row r="2498" customFormat="false" ht="15.75" hidden="false" customHeight="false" outlineLevel="0" collapsed="false">
      <c r="A2498" s="2" t="n">
        <v>183368</v>
      </c>
      <c r="B2498" s="2" t="s">
        <v>2075</v>
      </c>
      <c r="C2498" s="2" t="n">
        <v>1</v>
      </c>
      <c r="D2498" s="2" t="n">
        <v>2</v>
      </c>
      <c r="E2498" s="2" t="n">
        <v>1</v>
      </c>
      <c r="F2498" s="2" t="n">
        <v>63</v>
      </c>
      <c r="G2498" s="2" t="s">
        <v>543</v>
      </c>
      <c r="H2498" s="2" t="str">
        <f aca="false">IFERROR(__xludf.dummyfunction("IF(I2518="""", """", REGEXEXTRACT(I2518, ""Padrao/([^/]+)""))"),"Reserva Sul Condominio")</f>
        <v>Reserva Sul Condominio</v>
      </c>
    </row>
    <row r="2499" customFormat="false" ht="15.75" hidden="false" customHeight="false" outlineLevel="0" collapsed="false">
      <c r="A2499" s="2" t="n">
        <v>173918</v>
      </c>
      <c r="B2499" s="2" t="s">
        <v>2076</v>
      </c>
      <c r="C2499" s="2" t="n">
        <v>1</v>
      </c>
      <c r="D2499" s="2" t="n">
        <v>1</v>
      </c>
      <c r="E2499" s="2" t="n">
        <v>1</v>
      </c>
      <c r="F2499" s="2" t="n">
        <v>40</v>
      </c>
      <c r="G2499" s="2" t="s">
        <v>543</v>
      </c>
      <c r="H2499" s="2" t="str">
        <f aca="false">IFERROR(__xludf.dummyfunction("IF(I2519="""", """", REGEXEXTRACT(I2519, ""Padrao/([^/]+)""))"),"Vila Seixas")</f>
        <v>Vila Seixas</v>
      </c>
    </row>
    <row r="2500" customFormat="false" ht="15.75" hidden="false" customHeight="false" outlineLevel="0" collapsed="false">
      <c r="A2500" s="2" t="n">
        <v>173735</v>
      </c>
      <c r="B2500" s="2" t="s">
        <v>2077</v>
      </c>
      <c r="C2500" s="2" t="n">
        <v>2</v>
      </c>
      <c r="D2500" s="2" t="n">
        <v>2</v>
      </c>
      <c r="E2500" s="2" t="n">
        <v>1</v>
      </c>
      <c r="F2500" s="2" t="n">
        <v>53</v>
      </c>
      <c r="G2500" s="2" t="s">
        <v>543</v>
      </c>
      <c r="H2500" s="2" t="str">
        <f aca="false">IFERROR(__xludf.dummyfunction("IF(I2520="""", """", REGEXEXTRACT(I2520, ""Padrao/([^/]+)""))"),"Condominio Mirante Sul")</f>
        <v>Condominio Mirante Sul</v>
      </c>
    </row>
    <row r="2501" customFormat="false" ht="15.75" hidden="false" customHeight="false" outlineLevel="0" collapsed="false">
      <c r="A2501" s="2" t="n">
        <v>170462</v>
      </c>
      <c r="B2501" s="2" t="s">
        <v>363</v>
      </c>
      <c r="C2501" s="2" t="n">
        <v>2</v>
      </c>
      <c r="D2501" s="2" t="n">
        <v>1</v>
      </c>
      <c r="E2501" s="2" t="n">
        <v>1</v>
      </c>
      <c r="F2501" s="2" t="n">
        <v>46</v>
      </c>
      <c r="G2501" s="2" t="s">
        <v>543</v>
      </c>
      <c r="H2501" s="2" t="str">
        <f aca="false">IFERROR(__xludf.dummyfunction("IF(I2521="""", """", REGEXEXTRACT(I2521, ""Padrao/([^/]+)""))"),"Residencial das Americas")</f>
        <v>Residencial das Americas</v>
      </c>
    </row>
    <row r="2502" customFormat="false" ht="15.75" hidden="false" customHeight="false" outlineLevel="0" collapsed="false">
      <c r="A2502" s="2" t="n">
        <v>165308</v>
      </c>
      <c r="B2502" s="2" t="s">
        <v>866</v>
      </c>
      <c r="C2502" s="2" t="n">
        <v>3</v>
      </c>
      <c r="D2502" s="2" t="n">
        <v>1</v>
      </c>
      <c r="E2502" s="2" t="n">
        <v>1</v>
      </c>
      <c r="F2502" s="2" t="n">
        <v>71</v>
      </c>
      <c r="G2502" s="2" t="s">
        <v>543</v>
      </c>
      <c r="H2502" s="2" t="str">
        <f aca="false">IFERROR(__xludf.dummyfunction("IF(I2522="""", """", REGEXEXTRACT(I2522, ""Padrao/([^/]+)""))"),"Vila Monte Alegre")</f>
        <v>Vila Monte Alegre</v>
      </c>
    </row>
    <row r="2503" customFormat="false" ht="15.75" hidden="false" customHeight="false" outlineLevel="0" collapsed="false">
      <c r="A2503" s="2" t="n">
        <v>159437</v>
      </c>
      <c r="B2503" s="2" t="s">
        <v>2078</v>
      </c>
      <c r="C2503" s="2" t="n">
        <v>1</v>
      </c>
      <c r="D2503" s="2" t="n">
        <v>1</v>
      </c>
      <c r="E2503" s="2" t="n">
        <v>1</v>
      </c>
      <c r="F2503" s="2" t="n">
        <v>43</v>
      </c>
      <c r="G2503" s="2" t="s">
        <v>543</v>
      </c>
      <c r="H2503" s="2" t="str">
        <f aca="false">IFERROR(__xludf.dummyfunction("IF(I2523="""", """", REGEXEXTRACT(I2523, ""Padrao/([^/]+)""))"),"Vila Ana Maria")</f>
        <v>Vila Ana Maria</v>
      </c>
    </row>
    <row r="2504" customFormat="false" ht="15.75" hidden="false" customHeight="false" outlineLevel="0" collapsed="false">
      <c r="A2504" s="2" t="n">
        <v>157889</v>
      </c>
      <c r="B2504" s="2" t="s">
        <v>2079</v>
      </c>
      <c r="C2504" s="2" t="n">
        <v>2</v>
      </c>
      <c r="D2504" s="2" t="n">
        <v>1</v>
      </c>
      <c r="E2504" s="2" t="n">
        <v>1</v>
      </c>
      <c r="F2504" s="2" t="n">
        <v>51</v>
      </c>
      <c r="G2504" s="2" t="s">
        <v>543</v>
      </c>
      <c r="H2504" s="2" t="str">
        <f aca="false">IFERROR(__xludf.dummyfunction("IF(I2524="""", """", REGEXEXTRACT(I2524, ""Padrao/([^/]+)""))"),"Presidente Medici")</f>
        <v>Presidente Medici</v>
      </c>
    </row>
    <row r="2505" customFormat="false" ht="15.75" hidden="false" customHeight="false" outlineLevel="0" collapsed="false">
      <c r="A2505" s="2" t="n">
        <v>156659</v>
      </c>
      <c r="B2505" s="2" t="s">
        <v>1149</v>
      </c>
      <c r="C2505" s="2" t="n">
        <v>3</v>
      </c>
      <c r="D2505" s="2" t="n">
        <v>1</v>
      </c>
      <c r="E2505" s="2" t="n">
        <v>1</v>
      </c>
      <c r="F2505" s="2" t="n">
        <v>72</v>
      </c>
      <c r="G2505" s="2" t="s">
        <v>543</v>
      </c>
      <c r="H2505" s="2" t="str">
        <f aca="false">IFERROR(__xludf.dummyfunction("IF(I2525="""", """", REGEXEXTRACT(I2525, ""Padrao/([^/]+)""))"),"Iguatemi")</f>
        <v>Iguatemi</v>
      </c>
    </row>
    <row r="2506" customFormat="false" ht="15.75" hidden="false" customHeight="false" outlineLevel="0" collapsed="false">
      <c r="A2506" s="2" t="n">
        <v>152684</v>
      </c>
      <c r="B2506" s="2" t="s">
        <v>2080</v>
      </c>
      <c r="C2506" s="2" t="n">
        <v>3</v>
      </c>
      <c r="D2506" s="2" t="n">
        <v>1</v>
      </c>
      <c r="E2506" s="2" t="n">
        <v>1</v>
      </c>
      <c r="F2506" s="2" t="n">
        <v>58</v>
      </c>
      <c r="G2506" s="2" t="s">
        <v>543</v>
      </c>
      <c r="H2506" s="2" t="str">
        <f aca="false">IFERROR(__xludf.dummyfunction("IF(I2526="""", """", REGEXEXTRACT(I2526, ""Padrao/([^/]+)""))"),"Campos Eliseos")</f>
        <v>Campos Eliseos</v>
      </c>
    </row>
    <row r="2507" customFormat="false" ht="15.75" hidden="false" customHeight="false" outlineLevel="0" collapsed="false">
      <c r="A2507" s="2" t="n">
        <v>151568</v>
      </c>
      <c r="B2507" s="2" t="s">
        <v>2081</v>
      </c>
      <c r="C2507" s="2" t="n">
        <v>3</v>
      </c>
      <c r="D2507" s="2" t="n">
        <v>1</v>
      </c>
      <c r="E2507" s="2" t="n">
        <v>1</v>
      </c>
      <c r="F2507" s="2" t="n">
        <v>58</v>
      </c>
      <c r="G2507" s="2" t="s">
        <v>543</v>
      </c>
      <c r="H2507" s="2" t="str">
        <f aca="false">IFERROR(__xludf.dummyfunction("IF(I2527="""", """", REGEXEXTRACT(I2527, ""Padrao/([^/]+)""))"),"Campos Eliseos")</f>
        <v>Campos Eliseos</v>
      </c>
    </row>
    <row r="2508" customFormat="false" ht="15.75" hidden="false" customHeight="false" outlineLevel="0" collapsed="false">
      <c r="A2508" s="2" t="n">
        <v>150398</v>
      </c>
      <c r="B2508" s="2" t="s">
        <v>2082</v>
      </c>
      <c r="C2508" s="2" t="n">
        <v>2</v>
      </c>
      <c r="D2508" s="2" t="n">
        <v>1</v>
      </c>
      <c r="E2508" s="2" t="n">
        <v>1</v>
      </c>
      <c r="F2508" s="2" t="n">
        <v>62</v>
      </c>
      <c r="G2508" s="2" t="s">
        <v>543</v>
      </c>
      <c r="H2508" s="2" t="str">
        <f aca="false">IFERROR(__xludf.dummyfunction("IF(I2528="""", """", REGEXEXTRACT(I2528, ""Padrao/([^/]+)""))"),"Jardim Paulista")</f>
        <v>Jardim Paulista</v>
      </c>
    </row>
    <row r="2509" customFormat="false" ht="15.75" hidden="false" customHeight="false" outlineLevel="0" collapsed="false">
      <c r="A2509" s="2" t="n">
        <v>149309</v>
      </c>
      <c r="B2509" s="2" t="s">
        <v>1998</v>
      </c>
      <c r="C2509" s="2" t="n">
        <v>2</v>
      </c>
      <c r="D2509" s="2" t="n">
        <v>2</v>
      </c>
      <c r="E2509" s="2" t="n">
        <v>1</v>
      </c>
      <c r="F2509" s="2" t="n">
        <v>53</v>
      </c>
      <c r="G2509" s="2" t="s">
        <v>543</v>
      </c>
      <c r="H2509" s="2" t="str">
        <f aca="false">IFERROR(__xludf.dummyfunction("IF(I2529="""", """", REGEXEXTRACT(I2529, ""Padrao/([^/]+)""))"),"Residencial Greenville")</f>
        <v>Residencial Greenville</v>
      </c>
    </row>
    <row r="2510" customFormat="false" ht="15.75" hidden="false" customHeight="false" outlineLevel="0" collapsed="false">
      <c r="A2510" s="2" t="n">
        <v>142748</v>
      </c>
      <c r="B2510" s="2" t="s">
        <v>2083</v>
      </c>
      <c r="C2510" s="2" t="n">
        <v>1</v>
      </c>
      <c r="D2510" s="2" t="n">
        <v>1</v>
      </c>
      <c r="E2510" s="2" t="n">
        <v>1</v>
      </c>
      <c r="F2510" s="2" t="n">
        <v>55</v>
      </c>
      <c r="G2510" s="2" t="s">
        <v>543</v>
      </c>
      <c r="H2510" s="2" t="str">
        <f aca="false">IFERROR(__xludf.dummyfunction("IF(I2530="""", """", REGEXEXTRACT(I2530, ""Padrao/([^/]+)""))"),"Centro")</f>
        <v>Centro</v>
      </c>
    </row>
    <row r="2511" customFormat="false" ht="15.75" hidden="false" customHeight="false" outlineLevel="0" collapsed="false">
      <c r="A2511" s="2" t="n">
        <v>129998</v>
      </c>
      <c r="B2511" s="2" t="s">
        <v>162</v>
      </c>
      <c r="C2511" s="2" t="n">
        <v>2</v>
      </c>
      <c r="D2511" s="2" t="n">
        <v>1</v>
      </c>
      <c r="E2511" s="2" t="n">
        <v>1</v>
      </c>
      <c r="F2511" s="2" t="n">
        <v>48</v>
      </c>
      <c r="G2511" s="2" t="s">
        <v>543</v>
      </c>
      <c r="H2511" s="2" t="str">
        <f aca="false">IFERROR(__xludf.dummyfunction("IF(I2531="""", """", REGEXEXTRACT(I2531, ""Padrao/([^/]+)""))"),"Condominio Mirante Sul")</f>
        <v>Condominio Mirante Sul</v>
      </c>
    </row>
    <row r="2512" customFormat="false" ht="15.75" hidden="false" customHeight="false" outlineLevel="0" collapsed="false">
      <c r="A2512" s="2" t="n">
        <v>127322</v>
      </c>
      <c r="B2512" s="2" t="s">
        <v>2084</v>
      </c>
      <c r="C2512" s="2" t="n">
        <v>2</v>
      </c>
      <c r="D2512" s="2" t="n">
        <v>1</v>
      </c>
      <c r="E2512" s="2" t="n">
        <v>1</v>
      </c>
      <c r="F2512" s="2" t="n">
        <v>52</v>
      </c>
      <c r="G2512" s="2" t="s">
        <v>543</v>
      </c>
      <c r="H2512" s="2" t="str">
        <f aca="false">IFERROR(__xludf.dummyfunction("IF(I2532="""", """", REGEXEXTRACT(I2532, ""Padrao/([^/]+)""))"),"Jardim Presidente Dutra")</f>
        <v>Jardim Presidente Dutra</v>
      </c>
    </row>
    <row r="2513" customFormat="false" ht="15.75" hidden="false" customHeight="false" outlineLevel="0" collapsed="false">
      <c r="A2513" s="2" t="n">
        <v>125864</v>
      </c>
      <c r="B2513" s="2" t="s">
        <v>2085</v>
      </c>
      <c r="C2513" s="2" t="n">
        <v>1</v>
      </c>
      <c r="D2513" s="2" t="n">
        <v>1</v>
      </c>
      <c r="E2513" s="2" t="n">
        <v>1</v>
      </c>
      <c r="F2513" s="2" t="n">
        <v>45</v>
      </c>
      <c r="G2513" s="2" t="s">
        <v>543</v>
      </c>
      <c r="H2513" s="2" t="str">
        <f aca="false">IFERROR(__xludf.dummyfunction("IF(I2533="""", """", REGEXEXTRACT(I2533, ""Padrao/([^/]+)""))"),"Vila Ana Maria")</f>
        <v>Vila Ana Maria</v>
      </c>
    </row>
    <row r="2514" customFormat="false" ht="15.75" hidden="false" customHeight="false" outlineLevel="0" collapsed="false">
      <c r="A2514" s="2" t="n">
        <v>125588</v>
      </c>
      <c r="B2514" s="2" t="s">
        <v>2086</v>
      </c>
      <c r="C2514" s="2" t="n">
        <v>1</v>
      </c>
      <c r="D2514" s="2" t="n">
        <v>1</v>
      </c>
      <c r="E2514" s="2" t="n">
        <v>1</v>
      </c>
      <c r="F2514" s="2" t="n">
        <v>40</v>
      </c>
      <c r="G2514" s="2" t="s">
        <v>543</v>
      </c>
      <c r="H2514" s="2" t="str">
        <f aca="false">IFERROR(__xludf.dummyfunction("IF(I2534="""", """", REGEXEXTRACT(I2534, ""Padrao/([^/]+)""))"),"Vila Amelia")</f>
        <v>Vila Amelia</v>
      </c>
    </row>
    <row r="2515" customFormat="false" ht="15.75" hidden="false" customHeight="false" outlineLevel="0" collapsed="false">
      <c r="A2515" s="2" t="n">
        <v>122456</v>
      </c>
      <c r="B2515" s="2" t="s">
        <v>2087</v>
      </c>
      <c r="C2515" s="2" t="n">
        <v>1</v>
      </c>
      <c r="D2515" s="2" t="n">
        <v>1</v>
      </c>
      <c r="E2515" s="2" t="n">
        <v>1</v>
      </c>
      <c r="F2515" s="2" t="n">
        <v>51</v>
      </c>
      <c r="G2515" s="2" t="s">
        <v>543</v>
      </c>
      <c r="H2515" s="2" t="str">
        <f aca="false">IFERROR(__xludf.dummyfunction("IF(I2535="""", """", REGEXEXTRACT(I2535, ""Padrao/([^/]+)""))"),"Jardim Palma Travassos")</f>
        <v>Jardim Palma Travassos</v>
      </c>
    </row>
    <row r="2516" customFormat="false" ht="15.75" hidden="false" customHeight="false" outlineLevel="0" collapsed="false">
      <c r="A2516" s="2" t="n">
        <v>113345</v>
      </c>
      <c r="B2516" s="2" t="s">
        <v>2088</v>
      </c>
      <c r="C2516" s="2" t="n">
        <v>2</v>
      </c>
      <c r="D2516" s="2" t="n">
        <v>1</v>
      </c>
      <c r="E2516" s="2" t="n">
        <v>1</v>
      </c>
      <c r="F2516" s="2" t="n">
        <v>46</v>
      </c>
      <c r="G2516" s="2" t="s">
        <v>543</v>
      </c>
      <c r="H2516" s="2" t="str">
        <f aca="false">IFERROR(__xludf.dummyfunction("IF(I2536="""", """", REGEXEXTRACT(I2536, ""Padrao/([^/]+)""))"),"Reserva Sul Condominio")</f>
        <v>Reserva Sul Condominio</v>
      </c>
    </row>
    <row r="2517" customFormat="false" ht="15.75" hidden="false" customHeight="false" outlineLevel="0" collapsed="false">
      <c r="A2517" s="2" t="n">
        <v>111923</v>
      </c>
      <c r="B2517" s="2" t="s">
        <v>2089</v>
      </c>
      <c r="C2517" s="2" t="n">
        <v>2</v>
      </c>
      <c r="D2517" s="2" t="n">
        <v>1</v>
      </c>
      <c r="E2517" s="2" t="n">
        <v>1</v>
      </c>
      <c r="F2517" s="2" t="n">
        <v>52</v>
      </c>
      <c r="G2517" s="2" t="s">
        <v>543</v>
      </c>
      <c r="H2517" s="2" t="str">
        <f aca="false">IFERROR(__xludf.dummyfunction("IF(I2537="""", """", REGEXEXTRACT(I2537, ""Padrao/([^/]+)""))"),"Jardim Zara")</f>
        <v>Jardim Zara</v>
      </c>
    </row>
    <row r="2518" customFormat="false" ht="15.75" hidden="false" customHeight="false" outlineLevel="0" collapsed="false">
      <c r="A2518" s="2" t="n">
        <v>107681</v>
      </c>
      <c r="B2518" s="2" t="s">
        <v>2090</v>
      </c>
      <c r="C2518" s="2" t="n">
        <v>1</v>
      </c>
      <c r="D2518" s="2" t="n">
        <v>1</v>
      </c>
      <c r="E2518" s="2" t="n">
        <v>2</v>
      </c>
      <c r="F2518" s="2" t="n">
        <v>45</v>
      </c>
      <c r="G2518" s="2" t="s">
        <v>543</v>
      </c>
      <c r="H2518" s="2" t="str">
        <f aca="false">IFERROR(__xludf.dummyfunction("IF(I2538="""", """", REGEXEXTRACT(I2538, ""Padrao/([^/]+)""))"),"Jardim Botanico")</f>
        <v>Jardim Botanico</v>
      </c>
    </row>
    <row r="2519" customFormat="false" ht="15.75" hidden="false" customHeight="false" outlineLevel="0" collapsed="false">
      <c r="A2519" s="2" t="n">
        <v>103124</v>
      </c>
      <c r="B2519" s="2" t="s">
        <v>2091</v>
      </c>
      <c r="C2519" s="2" t="n">
        <v>2</v>
      </c>
      <c r="D2519" s="2" t="n">
        <v>1</v>
      </c>
      <c r="E2519" s="2" t="n">
        <v>1</v>
      </c>
      <c r="F2519" s="2" t="n">
        <v>46</v>
      </c>
      <c r="G2519" s="2" t="s">
        <v>543</v>
      </c>
      <c r="H2519" s="2" t="str">
        <f aca="false">IFERROR(__xludf.dummyfunction("IF(I2539="""", """", REGEXEXTRACT(I2539, ""Padrao/([^/]+)""))"),"City Ribeirao")</f>
        <v>City Ribeirao</v>
      </c>
    </row>
    <row r="2520" customFormat="false" ht="15.75" hidden="false" customHeight="false" outlineLevel="0" collapsed="false">
      <c r="A2520" s="2" t="n">
        <v>98582</v>
      </c>
      <c r="B2520" s="2" t="s">
        <v>868</v>
      </c>
      <c r="C2520" s="2" t="n">
        <v>2</v>
      </c>
      <c r="D2520" s="2" t="n">
        <v>1</v>
      </c>
      <c r="E2520" s="2" t="n">
        <v>1</v>
      </c>
      <c r="F2520" s="2" t="n">
        <v>42</v>
      </c>
      <c r="G2520" s="2" t="s">
        <v>543</v>
      </c>
      <c r="H2520" s="2" t="str">
        <f aca="false">IFERROR(__xludf.dummyfunction("IF(I2540="""", """", REGEXEXTRACT(I2540, ""Padrao/([^/]+)""))"),"Vila Virginia")</f>
        <v>Vila Virginia</v>
      </c>
    </row>
    <row r="2521" customFormat="false" ht="15.75" hidden="false" customHeight="false" outlineLevel="0" collapsed="false">
      <c r="A2521" s="2" t="n">
        <v>92681</v>
      </c>
      <c r="B2521" s="2" t="s">
        <v>440</v>
      </c>
      <c r="C2521" s="2" t="n">
        <v>2</v>
      </c>
      <c r="D2521" s="2" t="n">
        <v>1</v>
      </c>
      <c r="E2521" s="2" t="n">
        <v>1</v>
      </c>
      <c r="F2521" s="2" t="n">
        <v>71</v>
      </c>
      <c r="G2521" s="2" t="s">
        <v>543</v>
      </c>
      <c r="H2521" s="2" t="str">
        <f aca="false">IFERROR(__xludf.dummyfunction("IF(I2541="""", """", REGEXEXTRACT(I2541, ""Padrao/([^/]+)""))"),"Alto da Boa Vista")</f>
        <v>Alto da Boa Vista</v>
      </c>
    </row>
    <row r="2522" customFormat="false" ht="15.75" hidden="false" customHeight="false" outlineLevel="0" collapsed="false">
      <c r="A2522" s="2" t="n">
        <v>82583</v>
      </c>
      <c r="B2522" s="2" t="s">
        <v>2092</v>
      </c>
      <c r="C2522" s="2" t="n">
        <v>3</v>
      </c>
      <c r="D2522" s="2" t="n">
        <v>2</v>
      </c>
      <c r="E2522" s="2" t="n">
        <v>1</v>
      </c>
      <c r="F2522" s="2" t="n">
        <v>95</v>
      </c>
      <c r="G2522" s="2" t="s">
        <v>543</v>
      </c>
      <c r="H2522" s="2" t="str">
        <f aca="false">IFERROR(__xludf.dummyfunction("IF(I2542="""", """", REGEXEXTRACT(I2542, ""Padrao/([^/]+)""))"),"Jardim Sumare")</f>
        <v>Jardim Sumare</v>
      </c>
    </row>
    <row r="2523" customFormat="false" ht="15.75" hidden="false" customHeight="false" outlineLevel="0" collapsed="false">
      <c r="A2523" s="2" t="n">
        <v>77309</v>
      </c>
      <c r="B2523" s="2" t="s">
        <v>2093</v>
      </c>
      <c r="C2523" s="2" t="n">
        <v>2</v>
      </c>
      <c r="D2523" s="2" t="n">
        <v>1</v>
      </c>
      <c r="E2523" s="2" t="n">
        <v>2</v>
      </c>
      <c r="F2523" s="2" t="n">
        <v>48</v>
      </c>
      <c r="G2523" s="2" t="s">
        <v>543</v>
      </c>
      <c r="H2523" s="2" t="str">
        <f aca="false">IFERROR(__xludf.dummyfunction("IF(I2543="""", """", REGEXEXTRACT(I2543, ""Padrao/([^/]+)""))"),"Vila Maria Luiza")</f>
        <v>Vila Maria Luiza</v>
      </c>
    </row>
    <row r="2524" customFormat="false" ht="15.75" hidden="false" customHeight="false" outlineLevel="0" collapsed="false">
      <c r="A2524" s="2" t="n">
        <v>50633</v>
      </c>
      <c r="B2524" s="2" t="s">
        <v>2094</v>
      </c>
      <c r="C2524" s="2" t="n">
        <v>1</v>
      </c>
      <c r="D2524" s="2" t="n">
        <v>1</v>
      </c>
      <c r="E2524" s="2" t="n">
        <v>1</v>
      </c>
      <c r="F2524" s="2" t="n">
        <v>39</v>
      </c>
      <c r="G2524" s="2" t="s">
        <v>543</v>
      </c>
      <c r="H2524" s="2" t="str">
        <f aca="false">IFERROR(__xludf.dummyfunction("IF(I2544="""", """", REGEXEXTRACT(I2544, ""Padrao/([^/]+)""))"),"Vila Ana Maria")</f>
        <v>Vila Ana Maria</v>
      </c>
    </row>
    <row r="2525" customFormat="false" ht="15.75" hidden="false" customHeight="false" outlineLevel="0" collapsed="false">
      <c r="A2525" s="2" t="n">
        <v>40376</v>
      </c>
      <c r="B2525" s="2" t="s">
        <v>2095</v>
      </c>
      <c r="C2525" s="2" t="n">
        <v>3</v>
      </c>
      <c r="D2525" s="2" t="n">
        <v>3</v>
      </c>
      <c r="E2525" s="2" t="n">
        <v>2</v>
      </c>
      <c r="F2525" s="2" t="n">
        <v>89</v>
      </c>
      <c r="G2525" s="2" t="s">
        <v>543</v>
      </c>
      <c r="H2525" s="2" t="str">
        <f aca="false">IFERROR(__xludf.dummyfunction("IF(I2545="""", """", REGEXEXTRACT(I2545, ""Padrao/([^/]+)""))"),"Vila Monte Alegre")</f>
        <v>Vila Monte Alegre</v>
      </c>
    </row>
    <row r="2526" customFormat="false" ht="15.75" hidden="false" customHeight="false" outlineLevel="0" collapsed="false">
      <c r="A2526" s="2" t="n">
        <v>34739</v>
      </c>
      <c r="B2526" s="2" t="s">
        <v>897</v>
      </c>
      <c r="C2526" s="2" t="n">
        <v>2</v>
      </c>
      <c r="D2526" s="2" t="n">
        <v>2</v>
      </c>
      <c r="E2526" s="2" t="n">
        <v>2</v>
      </c>
      <c r="F2526" s="2" t="n">
        <v>90</v>
      </c>
      <c r="G2526" s="2" t="s">
        <v>543</v>
      </c>
      <c r="H2526" s="2" t="str">
        <f aca="false">IFERROR(__xludf.dummyfunction("IF(I2546="""", """", REGEXEXTRACT(I2546, ""Padrao/([^/]+)""))"),"Vila Virginia")</f>
        <v>Vila Virginia</v>
      </c>
    </row>
    <row r="2527" customFormat="false" ht="15.75" hidden="false" customHeight="false" outlineLevel="0" collapsed="false">
      <c r="A2527" s="2" t="n">
        <v>180737</v>
      </c>
      <c r="B2527" s="2" t="s">
        <v>1976</v>
      </c>
      <c r="C2527" s="2" t="n">
        <v>2</v>
      </c>
      <c r="D2527" s="2" t="n">
        <v>1</v>
      </c>
      <c r="E2527" s="2" t="n">
        <v>1</v>
      </c>
      <c r="F2527" s="2" t="n">
        <v>41</v>
      </c>
      <c r="G2527" s="2" t="s">
        <v>2096</v>
      </c>
      <c r="H2527" s="2" t="str">
        <f aca="false">IFERROR(__xludf.dummyfunction("IF(I2547="""", """", REGEXEXTRACT(I2547, ""Padrao/([^/]+)""))"),"Residencial Jequitiba")</f>
        <v>Residencial Jequitiba</v>
      </c>
    </row>
    <row r="2528" customFormat="false" ht="15.75" hidden="false" customHeight="false" outlineLevel="0" collapsed="false">
      <c r="A2528" s="2" t="n">
        <v>157511</v>
      </c>
      <c r="B2528" s="2" t="s">
        <v>2097</v>
      </c>
      <c r="C2528" s="2" t="n">
        <v>2</v>
      </c>
      <c r="D2528" s="2" t="n">
        <v>2</v>
      </c>
      <c r="E2528" s="2" t="n">
        <v>1</v>
      </c>
      <c r="F2528" s="2" t="n">
        <v>62</v>
      </c>
      <c r="G2528" s="2" t="s">
        <v>2098</v>
      </c>
      <c r="H2528" s="2" t="str">
        <f aca="false">IFERROR(__xludf.dummyfunction("IF(I2548="""", """", REGEXEXTRACT(I2548, ""Padrao/([^/]+)""))"),"Ipiranga")</f>
        <v>Ipiranga</v>
      </c>
    </row>
    <row r="2529" customFormat="false" ht="15.75" hidden="false" customHeight="false" outlineLevel="0" collapsed="false">
      <c r="A2529" s="2" t="n">
        <v>166913</v>
      </c>
      <c r="B2529" s="2" t="s">
        <v>2099</v>
      </c>
      <c r="C2529" s="2" t="n">
        <v>2</v>
      </c>
      <c r="D2529" s="2" t="n">
        <v>1</v>
      </c>
      <c r="E2529" s="2" t="n">
        <v>1</v>
      </c>
      <c r="F2529" s="2" t="n">
        <v>45</v>
      </c>
      <c r="G2529" s="2" t="s">
        <v>2100</v>
      </c>
      <c r="H2529" s="2" t="str">
        <f aca="false">IFERROR(__xludf.dummyfunction("IF(I2549="""", """", REGEXEXTRACT(I2549, ""Padrao/([^/]+)""))"),"Jardim Heitor Rigon")</f>
        <v>Jardim Heitor Rigon</v>
      </c>
    </row>
    <row r="2530" customFormat="false" ht="15.75" hidden="false" customHeight="false" outlineLevel="0" collapsed="false">
      <c r="A2530" s="2" t="n">
        <v>245381</v>
      </c>
      <c r="B2530" s="2" t="s">
        <v>2081</v>
      </c>
      <c r="C2530" s="2" t="n">
        <v>3</v>
      </c>
      <c r="D2530" s="2" t="n">
        <v>1</v>
      </c>
      <c r="E2530" s="2" t="n">
        <v>1</v>
      </c>
      <c r="F2530" s="2" t="n">
        <v>58</v>
      </c>
      <c r="G2530" s="2" t="s">
        <v>547</v>
      </c>
      <c r="H2530" s="2" t="str">
        <f aca="false">IFERROR(__xludf.dummyfunction("IF(I2550="""", """", REGEXEXTRACT(I2550, ""Padrao/([^/]+)""))"),"Campos Eliseos")</f>
        <v>Campos Eliseos</v>
      </c>
    </row>
    <row r="2531" customFormat="false" ht="15.75" hidden="false" customHeight="false" outlineLevel="0" collapsed="false">
      <c r="A2531" s="2" t="n">
        <v>240791</v>
      </c>
      <c r="B2531" s="2" t="s">
        <v>1848</v>
      </c>
      <c r="C2531" s="2" t="n">
        <v>2</v>
      </c>
      <c r="D2531" s="2" t="n">
        <v>1</v>
      </c>
      <c r="E2531" s="2" t="n">
        <v>1</v>
      </c>
      <c r="F2531" s="2" t="n">
        <v>49</v>
      </c>
      <c r="G2531" s="2" t="s">
        <v>547</v>
      </c>
      <c r="H2531" s="2" t="str">
        <f aca="false">IFERROR(__xludf.dummyfunction("IF(I2551="""", """", REGEXEXTRACT(I2551, ""Padrao/([^/]+)""))"),"Campos Eliseos")</f>
        <v>Campos Eliseos</v>
      </c>
    </row>
    <row r="2532" customFormat="false" ht="15.75" hidden="false" customHeight="false" outlineLevel="0" collapsed="false">
      <c r="A2532" s="2" t="n">
        <v>105641</v>
      </c>
      <c r="B2532" s="2" t="s">
        <v>2101</v>
      </c>
      <c r="C2532" s="2" t="n">
        <v>2</v>
      </c>
      <c r="D2532" s="2" t="n">
        <v>1</v>
      </c>
      <c r="E2532" s="2" t="n">
        <v>1</v>
      </c>
      <c r="F2532" s="2" t="n">
        <v>47</v>
      </c>
      <c r="G2532" s="2" t="s">
        <v>547</v>
      </c>
      <c r="H2532" s="2" t="str">
        <f aca="false">IFERROR(__xludf.dummyfunction("IF(I2552="""", """", REGEXEXTRACT(I2552, ""Padrao/([^/]+)""))"),"City Ribeirao")</f>
        <v>City Ribeirao</v>
      </c>
    </row>
    <row r="2533" customFormat="false" ht="15.75" hidden="false" customHeight="false" outlineLevel="0" collapsed="false">
      <c r="A2533" s="2" t="n">
        <v>241436</v>
      </c>
      <c r="B2533" s="2" t="s">
        <v>2102</v>
      </c>
      <c r="C2533" s="2" t="n">
        <v>2</v>
      </c>
      <c r="D2533" s="2" t="n">
        <v>1</v>
      </c>
      <c r="E2533" s="2" t="n">
        <v>1</v>
      </c>
      <c r="F2533" s="2" t="n">
        <v>65</v>
      </c>
      <c r="G2533" s="2" t="s">
        <v>1457</v>
      </c>
      <c r="H2533" s="2" t="str">
        <f aca="false">IFERROR(__xludf.dummyfunction("IF(I2553="""", """", REGEXEXTRACT(I2553, ""Padrao/([^/]+)""))"),"Vila Tiberio")</f>
        <v>Vila Tiberio</v>
      </c>
    </row>
    <row r="2534" customFormat="false" ht="15.75" hidden="false" customHeight="false" outlineLevel="0" collapsed="false">
      <c r="A2534" s="2" t="n">
        <v>208877</v>
      </c>
      <c r="B2534" s="2" t="s">
        <v>2103</v>
      </c>
      <c r="C2534" s="2" t="n">
        <v>3</v>
      </c>
      <c r="D2534" s="2" t="n">
        <v>2</v>
      </c>
      <c r="E2534" s="2" t="n">
        <v>1</v>
      </c>
      <c r="F2534" s="2" t="n">
        <v>76</v>
      </c>
      <c r="G2534" s="2" t="s">
        <v>1457</v>
      </c>
      <c r="H2534" s="2" t="str">
        <f aca="false">IFERROR(__xludf.dummyfunction("IF(I2554="""", """", REGEXEXTRACT(I2554, ""Padrao/([^/]+)""))"),"Presidente Medici")</f>
        <v>Presidente Medici</v>
      </c>
    </row>
    <row r="2535" customFormat="false" ht="15.75" hidden="false" customHeight="false" outlineLevel="0" collapsed="false">
      <c r="A2535" s="2" t="n">
        <v>219461</v>
      </c>
      <c r="B2535" s="2" t="s">
        <v>1458</v>
      </c>
      <c r="C2535" s="2" t="n">
        <v>3</v>
      </c>
      <c r="D2535" s="2" t="n">
        <v>2</v>
      </c>
      <c r="E2535" s="2" t="n">
        <v>1</v>
      </c>
      <c r="F2535" s="2" t="n">
        <v>66</v>
      </c>
      <c r="G2535" s="2" t="s">
        <v>531</v>
      </c>
      <c r="H2535" s="2" t="str">
        <f aca="false">IFERROR(__xludf.dummyfunction("IF(I2555="""", """", REGEXEXTRACT(I2555, ""Padrao/([^/]+)""))"),"Parque Industrial Lagoinha")</f>
        <v>Parque Industrial Lagoinha</v>
      </c>
    </row>
    <row r="2536" customFormat="false" ht="15.75" hidden="false" customHeight="false" outlineLevel="0" collapsed="false">
      <c r="A2536" s="2" t="n">
        <v>86117</v>
      </c>
      <c r="B2536" s="2" t="s">
        <v>1076</v>
      </c>
      <c r="C2536" s="2" t="n">
        <v>2</v>
      </c>
      <c r="D2536" s="2" t="n">
        <v>2</v>
      </c>
      <c r="E2536" s="2" t="n">
        <v>1</v>
      </c>
      <c r="F2536" s="2" t="n">
        <v>60</v>
      </c>
      <c r="G2536" s="2" t="s">
        <v>2010</v>
      </c>
      <c r="H2536" s="2" t="str">
        <f aca="false">IFERROR(__xludf.dummyfunction("IF(I2556="""", """", REGEXEXTRACT(I2556, ""Padrao/([^/]+)""))"),"Residencial Greenville")</f>
        <v>Residencial Greenville</v>
      </c>
    </row>
    <row r="2537" customFormat="false" ht="15.75" hidden="false" customHeight="false" outlineLevel="0" collapsed="false">
      <c r="A2537" s="2" t="n">
        <v>154001</v>
      </c>
      <c r="B2537" s="2" t="s">
        <v>1955</v>
      </c>
      <c r="C2537" s="2" t="n">
        <v>3</v>
      </c>
      <c r="D2537" s="2" t="n">
        <v>2</v>
      </c>
      <c r="E2537" s="2" t="n">
        <v>1</v>
      </c>
      <c r="F2537" s="2" t="n">
        <v>69</v>
      </c>
      <c r="G2537" s="2" t="s">
        <v>543</v>
      </c>
      <c r="H2537" s="2" t="str">
        <f aca="false">IFERROR(__xludf.dummyfunction("IF(I2557="""", """", REGEXEXTRACT(I2557, ""Padrao/([^/]+)""))"),"Jardim Paulista")</f>
        <v>Jardim Paulista</v>
      </c>
    </row>
    <row r="2538" customFormat="false" ht="15.75" hidden="false" customHeight="false" outlineLevel="0" collapsed="false">
      <c r="A2538" s="2" t="n">
        <v>195980</v>
      </c>
      <c r="B2538" s="2" t="s">
        <v>2104</v>
      </c>
      <c r="C2538" s="2" t="n">
        <v>1</v>
      </c>
      <c r="D2538" s="2" t="n">
        <v>1</v>
      </c>
      <c r="E2538" s="2" t="n">
        <v>1</v>
      </c>
      <c r="F2538" s="2" t="n">
        <v>40</v>
      </c>
      <c r="G2538" s="2" t="s">
        <v>2105</v>
      </c>
      <c r="H2538" s="2" t="str">
        <f aca="false">IFERROR(__xludf.dummyfunction("IF(I2558="""", """", REGEXEXTRACT(I2558, ""Padrao/([^/]+)""))"),"Vila Ana Maria")</f>
        <v>Vila Ana Maria</v>
      </c>
    </row>
    <row r="2539" customFormat="false" ht="15.75" hidden="false" customHeight="false" outlineLevel="0" collapsed="false">
      <c r="A2539" s="2" t="n">
        <v>192194</v>
      </c>
      <c r="B2539" s="2" t="s">
        <v>2106</v>
      </c>
      <c r="C2539" s="2" t="n">
        <v>2</v>
      </c>
      <c r="D2539" s="2" t="n">
        <v>1</v>
      </c>
      <c r="E2539" s="2" t="n">
        <v>1</v>
      </c>
      <c r="F2539" s="2" t="n">
        <v>67</v>
      </c>
      <c r="G2539" s="2" t="s">
        <v>2105</v>
      </c>
      <c r="H2539" s="2" t="str">
        <f aca="false">IFERROR(__xludf.dummyfunction("IF(I2559="""", """", REGEXEXTRACT(I2559, ""Padrao/([^/]+)""))"),"Vila Amelia")</f>
        <v>Vila Amelia</v>
      </c>
    </row>
    <row r="2540" customFormat="false" ht="15.75" hidden="false" customHeight="false" outlineLevel="0" collapsed="false">
      <c r="A2540" s="2" t="n">
        <v>168998</v>
      </c>
      <c r="B2540" s="2" t="s">
        <v>1761</v>
      </c>
      <c r="C2540" s="2" t="n">
        <v>2</v>
      </c>
      <c r="D2540" s="2" t="n">
        <v>2</v>
      </c>
      <c r="E2540" s="2" t="n">
        <v>2</v>
      </c>
      <c r="F2540" s="2" t="n">
        <v>54</v>
      </c>
      <c r="G2540" s="2" t="s">
        <v>2105</v>
      </c>
      <c r="H2540" s="2" t="str">
        <f aca="false">IFERROR(__xludf.dummyfunction("IF(I2560="""", """", REGEXEXTRACT(I2560, ""Padrao/([^/]+)""))"),"Jardim Zara")</f>
        <v>Jardim Zara</v>
      </c>
    </row>
    <row r="2541" customFormat="false" ht="15.75" hidden="false" customHeight="false" outlineLevel="0" collapsed="false">
      <c r="A2541" s="2" t="n">
        <v>167024</v>
      </c>
      <c r="B2541" s="2" t="s">
        <v>1648</v>
      </c>
      <c r="C2541" s="2" t="n">
        <v>1</v>
      </c>
      <c r="D2541" s="2" t="n">
        <v>2</v>
      </c>
      <c r="E2541" s="2" t="n">
        <v>1</v>
      </c>
      <c r="F2541" s="2" t="n">
        <v>43</v>
      </c>
      <c r="G2541" s="2" t="s">
        <v>2105</v>
      </c>
      <c r="H2541" s="2" t="str">
        <f aca="false">IFERROR(__xludf.dummyfunction("IF(I2561="""", """", REGEXEXTRACT(I2561, ""Padrao/([^/]+)""))"),"Nova Alianca")</f>
        <v>Nova Alianca</v>
      </c>
    </row>
    <row r="2542" customFormat="false" ht="15.75" hidden="false" customHeight="false" outlineLevel="0" collapsed="false">
      <c r="A2542" s="2" t="n">
        <v>149555</v>
      </c>
      <c r="B2542" s="2" t="s">
        <v>879</v>
      </c>
      <c r="C2542" s="2" t="n">
        <v>2</v>
      </c>
      <c r="D2542" s="2" t="n">
        <v>1</v>
      </c>
      <c r="E2542" s="2" t="n">
        <v>1</v>
      </c>
      <c r="F2542" s="2" t="n">
        <v>41</v>
      </c>
      <c r="G2542" s="2" t="s">
        <v>2105</v>
      </c>
      <c r="H2542" s="2" t="str">
        <f aca="false">IFERROR(__xludf.dummyfunction("IF(I2562="""", """", REGEXEXTRACT(I2562, ""Padrao/([^/]+)""))"),"Reserva Real")</f>
        <v>Reserva Real</v>
      </c>
    </row>
    <row r="2543" customFormat="false" ht="15.75" hidden="false" customHeight="false" outlineLevel="0" collapsed="false">
      <c r="A2543" s="2" t="n">
        <v>147170</v>
      </c>
      <c r="B2543" s="2" t="s">
        <v>2107</v>
      </c>
      <c r="C2543" s="2" t="n">
        <v>2</v>
      </c>
      <c r="D2543" s="2" t="n">
        <v>1</v>
      </c>
      <c r="E2543" s="2" t="n">
        <v>1</v>
      </c>
      <c r="F2543" s="2" t="n">
        <v>46</v>
      </c>
      <c r="G2543" s="2" t="s">
        <v>2105</v>
      </c>
      <c r="H2543" s="2" t="str">
        <f aca="false">IFERROR(__xludf.dummyfunction("IF(I2563="""", """", REGEXEXTRACT(I2563, ""Padrao/([^/]+)""))"),"Sumarezinho")</f>
        <v>Sumarezinho</v>
      </c>
    </row>
    <row r="2544" customFormat="false" ht="15.75" hidden="false" customHeight="false" outlineLevel="0" collapsed="false">
      <c r="A2544" s="2" t="n">
        <v>131432</v>
      </c>
      <c r="B2544" s="2" t="s">
        <v>2108</v>
      </c>
      <c r="C2544" s="2" t="n">
        <v>2</v>
      </c>
      <c r="D2544" s="2" t="n">
        <v>2</v>
      </c>
      <c r="E2544" s="2" t="n">
        <v>1</v>
      </c>
      <c r="F2544" s="2" t="n">
        <v>48</v>
      </c>
      <c r="G2544" s="2" t="s">
        <v>2105</v>
      </c>
      <c r="H2544" s="2" t="str">
        <f aca="false">IFERROR(__xludf.dummyfunction("IF(I2564="""", """", REGEXEXTRACT(I2564, ""Padrao/([^/]+)""))"),"Alto do Ipiranga")</f>
        <v>Alto do Ipiranga</v>
      </c>
    </row>
    <row r="2545" customFormat="false" ht="15.75" hidden="false" customHeight="false" outlineLevel="0" collapsed="false">
      <c r="A2545" s="2" t="n">
        <v>109514</v>
      </c>
      <c r="B2545" s="2" t="s">
        <v>1612</v>
      </c>
      <c r="C2545" s="2" t="n">
        <v>2</v>
      </c>
      <c r="D2545" s="2" t="n">
        <v>2</v>
      </c>
      <c r="E2545" s="2" t="n">
        <v>1</v>
      </c>
      <c r="F2545" s="2" t="n">
        <v>71</v>
      </c>
      <c r="G2545" s="2" t="s">
        <v>2105</v>
      </c>
      <c r="H2545" s="2" t="str">
        <f aca="false">IFERROR(__xludf.dummyfunction("IF(I2565="""", """", REGEXEXTRACT(I2565, ""Padrao/([^/]+)""))"),"Residencial Greenville")</f>
        <v>Residencial Greenville</v>
      </c>
    </row>
    <row r="2546" customFormat="false" ht="15.75" hidden="false" customHeight="false" outlineLevel="0" collapsed="false">
      <c r="A2546" s="2" t="n">
        <v>96605</v>
      </c>
      <c r="B2546" s="2" t="s">
        <v>2109</v>
      </c>
      <c r="C2546" s="2" t="n">
        <v>3</v>
      </c>
      <c r="D2546" s="2" t="n">
        <v>2</v>
      </c>
      <c r="E2546" s="2" t="n">
        <v>1</v>
      </c>
      <c r="F2546" s="2" t="n">
        <v>59</v>
      </c>
      <c r="G2546" s="2" t="s">
        <v>2105</v>
      </c>
      <c r="H2546" s="2" t="str">
        <f aca="false">IFERROR(__xludf.dummyfunction("IF(I2566="""", """", REGEXEXTRACT(I2566, ""Padrao/([^/]+)""))"),"Campos Eliseos")</f>
        <v>Campos Eliseos</v>
      </c>
    </row>
    <row r="2547" customFormat="false" ht="15.75" hidden="false" customHeight="false" outlineLevel="0" collapsed="false">
      <c r="A2547" s="2" t="n">
        <v>121631</v>
      </c>
      <c r="B2547" s="2" t="s">
        <v>2110</v>
      </c>
      <c r="C2547" s="2" t="n">
        <v>2</v>
      </c>
      <c r="D2547" s="2" t="n">
        <v>1</v>
      </c>
      <c r="E2547" s="2" t="n">
        <v>1</v>
      </c>
      <c r="F2547" s="2" t="n">
        <v>46</v>
      </c>
      <c r="G2547" s="2" t="s">
        <v>464</v>
      </c>
      <c r="H2547" s="2" t="str">
        <f aca="false">IFERROR(__xludf.dummyfunction("IF(I2567="""", """", REGEXEXTRACT(I2567, ""Padrao/([^/]+)""))"),"Residencial Greenville")</f>
        <v>Residencial Greenville</v>
      </c>
    </row>
    <row r="2548" customFormat="false" ht="15.75" hidden="false" customHeight="false" outlineLevel="0" collapsed="false">
      <c r="A2548" s="2" t="n">
        <v>240815</v>
      </c>
      <c r="B2548" s="2" t="s">
        <v>2019</v>
      </c>
      <c r="C2548" s="2" t="n">
        <v>2</v>
      </c>
      <c r="D2548" s="2" t="n">
        <v>1</v>
      </c>
      <c r="E2548" s="2" t="n">
        <v>1</v>
      </c>
      <c r="F2548" s="2" t="n">
        <v>44</v>
      </c>
      <c r="G2548" s="2" t="s">
        <v>2111</v>
      </c>
      <c r="H2548" s="2" t="str">
        <f aca="false">IFERROR(__xludf.dummyfunction("IF(I2568="""", """", REGEXEXTRACT(I2568, ""Padrao/([^/]+)""))"),"Recreio das Acacias")</f>
        <v>Recreio das Acacias</v>
      </c>
    </row>
    <row r="2549" customFormat="false" ht="15.75" hidden="false" customHeight="false" outlineLevel="0" collapsed="false">
      <c r="A2549" s="2" t="n">
        <v>133535</v>
      </c>
      <c r="B2549" s="2" t="s">
        <v>2112</v>
      </c>
      <c r="C2549" s="2" t="n">
        <v>2</v>
      </c>
      <c r="D2549" s="2" t="n">
        <v>1</v>
      </c>
      <c r="E2549" s="2" t="n">
        <v>1</v>
      </c>
      <c r="F2549" s="2" t="n">
        <v>48</v>
      </c>
      <c r="G2549" s="2" t="s">
        <v>2001</v>
      </c>
      <c r="H2549" s="2" t="str">
        <f aca="false">IFERROR(__xludf.dummyfunction("IF(I2569="""", """", REGEXEXTRACT(I2569, ""Padrao/([^/]+)""))"),"Residencial Jequitiba")</f>
        <v>Residencial Jequitiba</v>
      </c>
    </row>
    <row r="2550" customFormat="false" ht="15.75" hidden="false" customHeight="false" outlineLevel="0" collapsed="false">
      <c r="A2550" s="2" t="n">
        <v>93146</v>
      </c>
      <c r="B2550" s="2" t="s">
        <v>2113</v>
      </c>
      <c r="C2550" s="2" t="n">
        <v>2</v>
      </c>
      <c r="D2550" s="2" t="n">
        <v>2</v>
      </c>
      <c r="E2550" s="2" t="n">
        <v>1</v>
      </c>
      <c r="F2550" s="2" t="n">
        <v>62</v>
      </c>
      <c r="G2550" s="2" t="s">
        <v>537</v>
      </c>
      <c r="H2550" s="2" t="str">
        <f aca="false">IFERROR(__xludf.dummyfunction("IF(I2570="""", """", REGEXEXTRACT(I2570, ""Padrao/([^/]+)""))"),"Vila Tiberio")</f>
        <v>Vila Tiberio</v>
      </c>
    </row>
    <row r="2551" customFormat="false" ht="15.75" hidden="false" customHeight="false" outlineLevel="0" collapsed="false">
      <c r="A2551" s="2" t="n">
        <v>168512</v>
      </c>
      <c r="B2551" s="2" t="s">
        <v>2114</v>
      </c>
      <c r="C2551" s="2" t="n">
        <v>3</v>
      </c>
      <c r="D2551" s="2" t="n">
        <v>2</v>
      </c>
      <c r="E2551" s="2" t="n">
        <v>1</v>
      </c>
      <c r="F2551" s="2" t="n">
        <v>66</v>
      </c>
      <c r="G2551" s="2" t="s">
        <v>547</v>
      </c>
      <c r="H2551" s="2" t="str">
        <f aca="false">IFERROR(__xludf.dummyfunction("IF(I2571="""", """", REGEXEXTRACT(I2571, ""Padrao/([^/]+)""))"),"Parque Industrial Lagoinha")</f>
        <v>Parque Industrial Lagoinha</v>
      </c>
    </row>
    <row r="2552" customFormat="false" ht="15.75" hidden="false" customHeight="false" outlineLevel="0" collapsed="false">
      <c r="A2552" s="2" t="n">
        <v>242720</v>
      </c>
      <c r="B2552" s="2" t="s">
        <v>2115</v>
      </c>
      <c r="C2552" s="2" t="n">
        <v>2</v>
      </c>
      <c r="D2552" s="2" t="n">
        <v>1</v>
      </c>
      <c r="E2552" s="2" t="n">
        <v>1</v>
      </c>
      <c r="F2552" s="2" t="n">
        <v>54</v>
      </c>
      <c r="G2552" s="2" t="s">
        <v>549</v>
      </c>
      <c r="H2552" s="2" t="str">
        <f aca="false">IFERROR(__xludf.dummyfunction("IF(I2572="""", """", REGEXEXTRACT(I2572, ""Padrao/([^/]+)""))"),"Dom Bernardo Jose Mielle")</f>
        <v>Dom Bernardo Jose Mielle</v>
      </c>
    </row>
    <row r="2553" customFormat="false" ht="15.75" hidden="false" customHeight="false" outlineLevel="0" collapsed="false">
      <c r="A2553" s="2" t="n">
        <v>241247</v>
      </c>
      <c r="B2553" s="2" t="s">
        <v>2116</v>
      </c>
      <c r="C2553" s="2" t="n">
        <v>2</v>
      </c>
      <c r="D2553" s="2" t="n">
        <v>2</v>
      </c>
      <c r="E2553" s="2" t="n">
        <v>1</v>
      </c>
      <c r="F2553" s="2" t="n">
        <v>76</v>
      </c>
      <c r="G2553" s="2" t="s">
        <v>549</v>
      </c>
      <c r="H2553" s="2" t="str">
        <f aca="false">IFERROR(__xludf.dummyfunction("IF(I2573="""", """", REGEXEXTRACT(I2573, ""Padrao/([^/]+)""))"),"Centro")</f>
        <v>Centro</v>
      </c>
    </row>
    <row r="2554" customFormat="false" ht="15.75" hidden="false" customHeight="false" outlineLevel="0" collapsed="false">
      <c r="A2554" s="2" t="n">
        <v>238772</v>
      </c>
      <c r="B2554" s="2" t="s">
        <v>1719</v>
      </c>
      <c r="C2554" s="2" t="n">
        <v>2</v>
      </c>
      <c r="D2554" s="2" t="n">
        <v>1</v>
      </c>
      <c r="E2554" s="2" t="n">
        <v>1</v>
      </c>
      <c r="F2554" s="2" t="n">
        <v>47</v>
      </c>
      <c r="G2554" s="2" t="s">
        <v>549</v>
      </c>
      <c r="H2554" s="2" t="str">
        <f aca="false">IFERROR(__xludf.dummyfunction("IF(I2574="""", """", REGEXEXTRACT(I2574, ""Padrao/([^/]+)""))"),"Alto do Ipiranga")</f>
        <v>Alto do Ipiranga</v>
      </c>
    </row>
    <row r="2555" customFormat="false" ht="15.75" hidden="false" customHeight="false" outlineLevel="0" collapsed="false">
      <c r="A2555" s="2" t="n">
        <v>238424</v>
      </c>
      <c r="B2555" s="2" t="s">
        <v>2117</v>
      </c>
      <c r="C2555" s="2" t="n">
        <v>2</v>
      </c>
      <c r="D2555" s="2" t="n">
        <v>2</v>
      </c>
      <c r="E2555" s="2" t="n">
        <v>1</v>
      </c>
      <c r="F2555" s="2" t="n">
        <v>60</v>
      </c>
      <c r="G2555" s="2" t="s">
        <v>549</v>
      </c>
      <c r="H2555" s="2" t="str">
        <f aca="false">IFERROR(__xludf.dummyfunction("IF(I2575="""", """", REGEXEXTRACT(I2575, ""Padrao/([^/]+)""))"),"Jardim Paulistano")</f>
        <v>Jardim Paulistano</v>
      </c>
    </row>
    <row r="2556" customFormat="false" ht="15.75" hidden="false" customHeight="false" outlineLevel="0" collapsed="false">
      <c r="A2556" s="2" t="n">
        <v>225605</v>
      </c>
      <c r="B2556" s="2" t="s">
        <v>2089</v>
      </c>
      <c r="C2556" s="2" t="n">
        <v>2</v>
      </c>
      <c r="D2556" s="2" t="n">
        <v>2</v>
      </c>
      <c r="E2556" s="2" t="n">
        <v>1</v>
      </c>
      <c r="F2556" s="2" t="n">
        <v>52</v>
      </c>
      <c r="G2556" s="2" t="s">
        <v>549</v>
      </c>
      <c r="H2556" s="2" t="str">
        <f aca="false">IFERROR(__xludf.dummyfunction("IF(I2576="""", """", REGEXEXTRACT(I2576, ""Padrao/([^/]+)""))"),"Jardim Zara")</f>
        <v>Jardim Zara</v>
      </c>
    </row>
    <row r="2557" customFormat="false" ht="15.75" hidden="false" customHeight="false" outlineLevel="0" collapsed="false">
      <c r="A2557" s="2" t="n">
        <v>223778</v>
      </c>
      <c r="B2557" s="2" t="s">
        <v>1458</v>
      </c>
      <c r="C2557" s="2" t="n">
        <v>3</v>
      </c>
      <c r="D2557" s="2" t="n">
        <v>2</v>
      </c>
      <c r="E2557" s="2" t="n">
        <v>1</v>
      </c>
      <c r="F2557" s="2" t="n">
        <v>66</v>
      </c>
      <c r="G2557" s="2" t="s">
        <v>549</v>
      </c>
      <c r="H2557" s="2" t="str">
        <f aca="false">IFERROR(__xludf.dummyfunction("IF(I2577="""", """", REGEXEXTRACT(I2577, ""Padrao/([^/]+)""))"),"Parque Industrial Lagoinha")</f>
        <v>Parque Industrial Lagoinha</v>
      </c>
    </row>
    <row r="2558" customFormat="false" ht="15.75" hidden="false" customHeight="false" outlineLevel="0" collapsed="false">
      <c r="A2558" s="2" t="n">
        <v>198563</v>
      </c>
      <c r="B2558" s="2" t="s">
        <v>386</v>
      </c>
      <c r="C2558" s="2" t="n">
        <v>2</v>
      </c>
      <c r="D2558" s="2" t="n">
        <v>1</v>
      </c>
      <c r="E2558" s="2" t="n">
        <v>1</v>
      </c>
      <c r="F2558" s="2" t="n">
        <v>53</v>
      </c>
      <c r="G2558" s="2" t="s">
        <v>549</v>
      </c>
      <c r="H2558" s="2" t="str">
        <f aca="false">IFERROR(__xludf.dummyfunction("IF(I2578="""", """", REGEXEXTRACT(I2578, ""Padrao/([^/]+)""))"),"Jardim Zara")</f>
        <v>Jardim Zara</v>
      </c>
    </row>
    <row r="2559" customFormat="false" ht="15.75" hidden="false" customHeight="false" outlineLevel="0" collapsed="false">
      <c r="A2559" s="2" t="n">
        <v>192695</v>
      </c>
      <c r="B2559" s="2" t="s">
        <v>2118</v>
      </c>
      <c r="C2559" s="2" t="n">
        <v>2</v>
      </c>
      <c r="D2559" s="2" t="n">
        <v>2</v>
      </c>
      <c r="E2559" s="2" t="n">
        <v>1</v>
      </c>
      <c r="F2559" s="2" t="n">
        <v>57</v>
      </c>
      <c r="G2559" s="2" t="s">
        <v>549</v>
      </c>
      <c r="H2559" s="2" t="str">
        <f aca="false">IFERROR(__xludf.dummyfunction("IF(I2579="""", """", REGEXEXTRACT(I2579, ""Padrao/([^/]+)""))"),"Residencial Greenville")</f>
        <v>Residencial Greenville</v>
      </c>
    </row>
    <row r="2560" customFormat="false" ht="15.75" hidden="false" customHeight="false" outlineLevel="0" collapsed="false">
      <c r="A2560" s="2" t="n">
        <v>182222</v>
      </c>
      <c r="B2560" s="2" t="s">
        <v>2119</v>
      </c>
      <c r="C2560" s="2" t="n">
        <v>2</v>
      </c>
      <c r="D2560" s="2" t="n">
        <v>1</v>
      </c>
      <c r="E2560" s="2" t="n">
        <v>1</v>
      </c>
      <c r="F2560" s="2" t="n">
        <v>44</v>
      </c>
      <c r="G2560" s="2" t="s">
        <v>549</v>
      </c>
      <c r="H2560" s="2" t="str">
        <f aca="false">IFERROR(__xludf.dummyfunction("IF(I2580="""", """", REGEXEXTRACT(I2580, ""Padrao/([^/]+)""))"),"Sumarezinho")</f>
        <v>Sumarezinho</v>
      </c>
    </row>
    <row r="2561" customFormat="false" ht="15.75" hidden="false" customHeight="false" outlineLevel="0" collapsed="false">
      <c r="A2561" s="2" t="n">
        <v>170756</v>
      </c>
      <c r="B2561" s="2" t="s">
        <v>1221</v>
      </c>
      <c r="C2561" s="2" t="n">
        <v>2</v>
      </c>
      <c r="D2561" s="2" t="n">
        <v>1</v>
      </c>
      <c r="E2561" s="2" t="n">
        <v>1</v>
      </c>
      <c r="F2561" s="2" t="n">
        <v>48</v>
      </c>
      <c r="G2561" s="2" t="s">
        <v>549</v>
      </c>
      <c r="H2561" s="2" t="str">
        <f aca="false">IFERROR(__xludf.dummyfunction("IF(I2581="""", """", REGEXEXTRACT(I2581, ""Padrao/([^/]+)""))"),"Jardim Sao Fernando")</f>
        <v>Jardim Sao Fernando</v>
      </c>
    </row>
    <row r="2562" customFormat="false" ht="15.75" hidden="false" customHeight="false" outlineLevel="0" collapsed="false">
      <c r="A2562" s="2" t="n">
        <v>159710</v>
      </c>
      <c r="B2562" s="2" t="s">
        <v>2120</v>
      </c>
      <c r="C2562" s="2" t="n">
        <v>2</v>
      </c>
      <c r="D2562" s="2" t="n">
        <v>1</v>
      </c>
      <c r="E2562" s="2" t="n">
        <v>1</v>
      </c>
      <c r="F2562" s="2" t="n">
        <v>46</v>
      </c>
      <c r="G2562" s="2" t="s">
        <v>549</v>
      </c>
      <c r="H2562" s="2" t="str">
        <f aca="false">IFERROR(__xludf.dummyfunction("IF(I2582="""", """", REGEXEXTRACT(I2582, ""Padrao/([^/]+)""))"),"Parque Sao Sebastiao")</f>
        <v>Parque Sao Sebastiao</v>
      </c>
    </row>
    <row r="2563" customFormat="false" ht="15.75" hidden="false" customHeight="false" outlineLevel="0" collapsed="false">
      <c r="A2563" s="2" t="n">
        <v>157496</v>
      </c>
      <c r="B2563" s="2" t="s">
        <v>973</v>
      </c>
      <c r="C2563" s="2" t="n">
        <v>2</v>
      </c>
      <c r="D2563" s="2" t="n">
        <v>1</v>
      </c>
      <c r="E2563" s="2" t="n">
        <v>1</v>
      </c>
      <c r="F2563" s="2" t="n">
        <v>48</v>
      </c>
      <c r="G2563" s="2" t="s">
        <v>549</v>
      </c>
      <c r="H2563" s="2" t="str">
        <f aca="false">IFERROR(__xludf.dummyfunction("IF(I2583="""", """", REGEXEXTRACT(I2583, ""Padrao/([^/]+)""))"),"Vila Virginia")</f>
        <v>Vila Virginia</v>
      </c>
    </row>
    <row r="2564" customFormat="false" ht="15.75" hidden="false" customHeight="false" outlineLevel="0" collapsed="false">
      <c r="A2564" s="2" t="n">
        <v>122384</v>
      </c>
      <c r="B2564" s="2" t="s">
        <v>1824</v>
      </c>
      <c r="C2564" s="2" t="n">
        <v>2</v>
      </c>
      <c r="D2564" s="2" t="n">
        <v>1</v>
      </c>
      <c r="E2564" s="2" t="n">
        <v>2</v>
      </c>
      <c r="F2564" s="2" t="n">
        <v>44</v>
      </c>
      <c r="G2564" s="2" t="s">
        <v>549</v>
      </c>
      <c r="H2564" s="2" t="str">
        <f aca="false">IFERROR(__xludf.dummyfunction("IF(I2584="""", """", REGEXEXTRACT(I2584, ""Padrao/([^/]+)""))"),"Residencial Greenville")</f>
        <v>Residencial Greenville</v>
      </c>
    </row>
    <row r="2565" customFormat="false" ht="15.75" hidden="false" customHeight="false" outlineLevel="0" collapsed="false">
      <c r="A2565" s="2" t="n">
        <v>110282</v>
      </c>
      <c r="B2565" s="2" t="s">
        <v>2121</v>
      </c>
      <c r="C2565" s="2" t="n">
        <v>1</v>
      </c>
      <c r="D2565" s="2" t="n">
        <v>1</v>
      </c>
      <c r="E2565" s="2" t="n">
        <v>1</v>
      </c>
      <c r="F2565" s="2" t="n">
        <v>30</v>
      </c>
      <c r="G2565" s="2" t="s">
        <v>549</v>
      </c>
      <c r="H2565" s="2" t="str">
        <f aca="false">IFERROR(__xludf.dummyfunction("IF(I2585="""", """", REGEXEXTRACT(I2585, ""Padrao/([^/]+)""))"),"Nova Alianca")</f>
        <v>Nova Alianca</v>
      </c>
    </row>
    <row r="2566" customFormat="false" ht="15.75" hidden="false" customHeight="false" outlineLevel="0" collapsed="false">
      <c r="A2566" s="2" t="n">
        <v>109934</v>
      </c>
      <c r="B2566" s="2" t="s">
        <v>2122</v>
      </c>
      <c r="C2566" s="2" t="n">
        <v>1</v>
      </c>
      <c r="D2566" s="2" t="n">
        <v>1</v>
      </c>
      <c r="E2566" s="2" t="n">
        <v>1</v>
      </c>
      <c r="F2566" s="2" t="n">
        <v>33</v>
      </c>
      <c r="G2566" s="2" t="s">
        <v>549</v>
      </c>
      <c r="H2566" s="2" t="str">
        <f aca="false">IFERROR(__xludf.dummyfunction("IF(I2586="""", """", REGEXEXTRACT(I2586, ""Padrao/([^/]+)""))"),"Nova Alianca")</f>
        <v>Nova Alianca</v>
      </c>
    </row>
    <row r="2567" customFormat="false" ht="15.75" hidden="false" customHeight="false" outlineLevel="0" collapsed="false">
      <c r="A2567" s="2" t="n">
        <v>98507</v>
      </c>
      <c r="B2567" s="2" t="s">
        <v>2000</v>
      </c>
      <c r="C2567" s="2" t="n">
        <v>1</v>
      </c>
      <c r="D2567" s="2" t="n">
        <v>1</v>
      </c>
      <c r="E2567" s="2" t="n">
        <v>1</v>
      </c>
      <c r="F2567" s="2" t="n">
        <v>43</v>
      </c>
      <c r="G2567" s="2" t="s">
        <v>549</v>
      </c>
      <c r="H2567" s="2" t="str">
        <f aca="false">IFERROR(__xludf.dummyfunction("IF(I2587="""", """", REGEXEXTRACT(I2587, ""Padrao/([^/]+)""))"),"Jardim Botanico")</f>
        <v>Jardim Botanico</v>
      </c>
    </row>
    <row r="2568" customFormat="false" ht="15.75" hidden="false" customHeight="false" outlineLevel="0" collapsed="false">
      <c r="A2568" s="2" t="n">
        <v>97844</v>
      </c>
      <c r="B2568" s="2" t="s">
        <v>2123</v>
      </c>
      <c r="C2568" s="2" t="n">
        <v>1</v>
      </c>
      <c r="D2568" s="2" t="n">
        <v>1</v>
      </c>
      <c r="E2568" s="2" t="n">
        <v>1</v>
      </c>
      <c r="F2568" s="2" t="n">
        <v>42</v>
      </c>
      <c r="G2568" s="2" t="s">
        <v>549</v>
      </c>
      <c r="H2568" s="2" t="str">
        <f aca="false">IFERROR(__xludf.dummyfunction("IF(I2588="""", """", REGEXEXTRACT(I2588, ""Padrao/([^/]+)""))"),"Jardim Nova Alianca Sul")</f>
        <v>Jardim Nova Alianca Sul</v>
      </c>
    </row>
    <row r="2569" customFormat="false" ht="15.75" hidden="false" customHeight="false" outlineLevel="0" collapsed="false">
      <c r="A2569" s="2" t="n">
        <v>87719</v>
      </c>
      <c r="B2569" s="2" t="s">
        <v>162</v>
      </c>
      <c r="C2569" s="2" t="n">
        <v>1</v>
      </c>
      <c r="D2569" s="2" t="n">
        <v>1</v>
      </c>
      <c r="E2569" s="2" t="n">
        <v>1</v>
      </c>
      <c r="F2569" s="2" t="n">
        <v>42</v>
      </c>
      <c r="G2569" s="2" t="s">
        <v>549</v>
      </c>
      <c r="H2569" s="2" t="str">
        <f aca="false">IFERROR(__xludf.dummyfunction("IF(I2589="""", """", REGEXEXTRACT(I2589, ""Padrao/([^/]+)""))"),"Jardim Nova Alianca Sul")</f>
        <v>Jardim Nova Alianca Sul</v>
      </c>
    </row>
    <row r="2570" customFormat="false" ht="15.75" hidden="false" customHeight="false" outlineLevel="0" collapsed="false">
      <c r="A2570" s="2" t="n">
        <v>86570</v>
      </c>
      <c r="B2570" s="2" t="s">
        <v>1261</v>
      </c>
      <c r="C2570" s="2" t="n">
        <v>1</v>
      </c>
      <c r="D2570" s="2" t="n">
        <v>1</v>
      </c>
      <c r="E2570" s="2" t="n">
        <v>1</v>
      </c>
      <c r="F2570" s="2" t="n">
        <v>40</v>
      </c>
      <c r="G2570" s="2" t="s">
        <v>549</v>
      </c>
      <c r="H2570" s="2" t="str">
        <f aca="false">IFERROR(__xludf.dummyfunction("IF(I2590="""", """", REGEXEXTRACT(I2590, ""Padrao/([^/]+)""))"),"Vila Ana Maria")</f>
        <v>Vila Ana Maria</v>
      </c>
    </row>
    <row r="2571" customFormat="false" ht="15.75" hidden="false" customHeight="false" outlineLevel="0" collapsed="false">
      <c r="A2571" s="2" t="n">
        <v>68546</v>
      </c>
      <c r="B2571" s="2" t="s">
        <v>2124</v>
      </c>
      <c r="C2571" s="2" t="n">
        <v>1</v>
      </c>
      <c r="D2571" s="2" t="n">
        <v>1</v>
      </c>
      <c r="E2571" s="2" t="n">
        <v>1</v>
      </c>
      <c r="F2571" s="2" t="n">
        <v>42</v>
      </c>
      <c r="G2571" s="2" t="s">
        <v>549</v>
      </c>
      <c r="H2571" s="2" t="str">
        <f aca="false">IFERROR(__xludf.dummyfunction("IF(I2591="""", """", REGEXEXTRACT(I2591, ""Padrao/([^/]+)""))"),"Vila Ana Maria")</f>
        <v>Vila Ana Maria</v>
      </c>
    </row>
    <row r="2572" customFormat="false" ht="15.75" hidden="false" customHeight="false" outlineLevel="0" collapsed="false">
      <c r="A2572" s="2" t="n">
        <v>65471</v>
      </c>
      <c r="B2572" s="2" t="s">
        <v>2125</v>
      </c>
      <c r="C2572" s="2" t="n">
        <v>3</v>
      </c>
      <c r="D2572" s="2" t="n">
        <v>1</v>
      </c>
      <c r="E2572" s="2" t="n">
        <v>1</v>
      </c>
      <c r="F2572" s="2" t="n">
        <v>72</v>
      </c>
      <c r="G2572" s="2" t="s">
        <v>549</v>
      </c>
      <c r="H2572" s="2" t="str">
        <f aca="false">IFERROR(__xludf.dummyfunction("IF(I2592="""", """", REGEXEXTRACT(I2592, ""Padrao/([^/]+)""))"),"Presidente Medici")</f>
        <v>Presidente Medici</v>
      </c>
    </row>
    <row r="2573" customFormat="false" ht="15.75" hidden="false" customHeight="false" outlineLevel="0" collapsed="false">
      <c r="A2573" s="2" t="n">
        <v>64127</v>
      </c>
      <c r="B2573" s="2" t="s">
        <v>2126</v>
      </c>
      <c r="C2573" s="2" t="n">
        <v>1</v>
      </c>
      <c r="D2573" s="2" t="n">
        <v>1</v>
      </c>
      <c r="E2573" s="2" t="n">
        <v>1</v>
      </c>
      <c r="F2573" s="2" t="n">
        <v>37</v>
      </c>
      <c r="G2573" s="2" t="s">
        <v>549</v>
      </c>
      <c r="H2573" s="2" t="str">
        <f aca="false">IFERROR(__xludf.dummyfunction("IF(I2593="""", """", REGEXEXTRACT(I2593, ""Padrao/([^/]+)""))"),"Presidente Medici")</f>
        <v>Presidente Medici</v>
      </c>
    </row>
    <row r="2574" customFormat="false" ht="15.75" hidden="false" customHeight="false" outlineLevel="0" collapsed="false">
      <c r="A2574" s="2" t="n">
        <v>63386</v>
      </c>
      <c r="B2574" s="2" t="s">
        <v>2127</v>
      </c>
      <c r="C2574" s="2" t="n">
        <v>1</v>
      </c>
      <c r="D2574" s="2" t="n">
        <v>1</v>
      </c>
      <c r="E2574" s="2" t="n">
        <v>1</v>
      </c>
      <c r="F2574" s="2" t="n">
        <v>47</v>
      </c>
      <c r="G2574" s="2" t="s">
        <v>549</v>
      </c>
      <c r="H2574" s="2" t="str">
        <f aca="false">IFERROR(__xludf.dummyfunction("IF(I2594="""", """", REGEXEXTRACT(I2594, ""Padrao/([^/]+)""))"),"Nova Alianca")</f>
        <v>Nova Alianca</v>
      </c>
    </row>
    <row r="2575" customFormat="false" ht="15.75" hidden="false" customHeight="false" outlineLevel="0" collapsed="false">
      <c r="A2575" s="2" t="n">
        <v>33035</v>
      </c>
      <c r="B2575" s="2" t="s">
        <v>2128</v>
      </c>
      <c r="C2575" s="2" t="n">
        <v>3</v>
      </c>
      <c r="D2575" s="2" t="n">
        <v>2</v>
      </c>
      <c r="E2575" s="2" t="n">
        <v>1</v>
      </c>
      <c r="F2575" s="2" t="n">
        <v>84</v>
      </c>
      <c r="G2575" s="2" t="s">
        <v>549</v>
      </c>
      <c r="H2575" s="2" t="str">
        <f aca="false">IFERROR(__xludf.dummyfunction("IF(I2595="""", """", REGEXEXTRACT(I2595, ""Padrao/([^/]+)""))"),"Parque Industrial Lagoinha")</f>
        <v>Parque Industrial Lagoinha</v>
      </c>
    </row>
    <row r="2576" customFormat="false" ht="15.75" hidden="false" customHeight="false" outlineLevel="0" collapsed="false">
      <c r="A2576" s="2" t="n">
        <v>148040</v>
      </c>
      <c r="B2576" s="2" t="s">
        <v>1217</v>
      </c>
      <c r="C2576" s="2" t="n">
        <v>2</v>
      </c>
      <c r="D2576" s="2" t="n">
        <v>1</v>
      </c>
      <c r="E2576" s="2" t="n">
        <v>1</v>
      </c>
      <c r="F2576" s="2" t="n">
        <v>44</v>
      </c>
      <c r="G2576" s="2" t="s">
        <v>2129</v>
      </c>
      <c r="H2576" s="2" t="str">
        <f aca="false">IFERROR(__xludf.dummyfunction("IF(I2596="""", """", REGEXEXTRACT(I2596, ""Padrao/([^/]+)""))"),"Residencial Greenville")</f>
        <v>Residencial Greenville</v>
      </c>
    </row>
    <row r="2577" customFormat="false" ht="15.75" hidden="false" customHeight="false" outlineLevel="0" collapsed="false">
      <c r="A2577" s="2" t="n">
        <v>142280</v>
      </c>
      <c r="B2577" s="2" t="s">
        <v>1086</v>
      </c>
      <c r="C2577" s="2" t="n">
        <v>2</v>
      </c>
      <c r="D2577" s="2" t="n">
        <v>1</v>
      </c>
      <c r="E2577" s="2" t="n">
        <v>1</v>
      </c>
      <c r="F2577" s="2" t="n">
        <v>56</v>
      </c>
      <c r="G2577" s="2" t="s">
        <v>2130</v>
      </c>
      <c r="H2577" s="2" t="str">
        <f aca="false">IFERROR(__xludf.dummyfunction("IF(I2597="""", """", REGEXEXTRACT(I2597, ""Padrao/([^/]+)""))"),"Parque Sao Sebastiao")</f>
        <v>Parque Sao Sebastiao</v>
      </c>
    </row>
    <row r="2578" customFormat="false" ht="15.75" hidden="false" customHeight="false" outlineLevel="0" collapsed="false">
      <c r="A2578" s="2" t="n">
        <v>138077</v>
      </c>
      <c r="B2578" s="2" t="s">
        <v>1109</v>
      </c>
      <c r="C2578" s="2" t="n">
        <v>2</v>
      </c>
      <c r="D2578" s="2" t="n">
        <v>1</v>
      </c>
      <c r="E2578" s="2" t="n">
        <v>1</v>
      </c>
      <c r="F2578" s="2" t="n">
        <v>47</v>
      </c>
      <c r="G2578" s="2" t="s">
        <v>474</v>
      </c>
      <c r="H2578" s="2" t="str">
        <f aca="false">IFERROR(__xludf.dummyfunction("IF(I2598="""", """", REGEXEXTRACT(I2598, ""Padrao/([^/]+)""))"),"Jardim Paulistano")</f>
        <v>Jardim Paulistano</v>
      </c>
    </row>
    <row r="2579" customFormat="false" ht="15.75" hidden="false" customHeight="false" outlineLevel="0" collapsed="false">
      <c r="A2579" s="2" t="n">
        <v>122168</v>
      </c>
      <c r="B2579" s="2" t="s">
        <v>1650</v>
      </c>
      <c r="C2579" s="2" t="n">
        <v>2</v>
      </c>
      <c r="D2579" s="2" t="n">
        <v>2</v>
      </c>
      <c r="E2579" s="2" t="n">
        <v>1</v>
      </c>
      <c r="F2579" s="2" t="n">
        <v>75</v>
      </c>
      <c r="G2579" s="2" t="s">
        <v>537</v>
      </c>
      <c r="H2579" s="2" t="str">
        <f aca="false">IFERROR(__xludf.dummyfunction("IF(I2599="""", """", REGEXEXTRACT(I2599, ""Padrao/([^/]+)""))"),"Ipiranga")</f>
        <v>Ipiranga</v>
      </c>
    </row>
    <row r="2580" customFormat="false" ht="15.75" hidden="false" customHeight="false" outlineLevel="0" collapsed="false">
      <c r="A2580" s="2" t="n">
        <v>223862</v>
      </c>
      <c r="B2580" s="2" t="s">
        <v>2131</v>
      </c>
      <c r="C2580" s="2" t="n">
        <v>2</v>
      </c>
      <c r="D2580" s="2" t="n">
        <v>2</v>
      </c>
      <c r="E2580" s="2" t="n">
        <v>1</v>
      </c>
      <c r="F2580" s="2" t="n">
        <v>64</v>
      </c>
      <c r="G2580" s="2" t="s">
        <v>552</v>
      </c>
      <c r="H2580" s="2" t="str">
        <f aca="false">IFERROR(__xludf.dummyfunction("IF(I2600="""", """", REGEXEXTRACT(I2600, ""Padrao/([^/]+)""))"),"Jardim Itapora")</f>
        <v>Jardim Itapora</v>
      </c>
    </row>
    <row r="2581" customFormat="false" ht="15.75" hidden="false" customHeight="false" outlineLevel="0" collapsed="false">
      <c r="A2581" s="2" t="n">
        <v>170300</v>
      </c>
      <c r="B2581" s="2" t="s">
        <v>2132</v>
      </c>
      <c r="C2581" s="2" t="n">
        <v>2</v>
      </c>
      <c r="D2581" s="2" t="n">
        <v>1</v>
      </c>
      <c r="E2581" s="2" t="n">
        <v>1</v>
      </c>
      <c r="F2581" s="2" t="n">
        <v>52</v>
      </c>
      <c r="G2581" s="2" t="s">
        <v>552</v>
      </c>
      <c r="H2581" s="2" t="str">
        <f aca="false">IFERROR(__xludf.dummyfunction("IF(I2601="""", """", REGEXEXTRACT(I2601, ""Padrao/([^/]+)""))"),"Jardim Anhanguera")</f>
        <v>Jardim Anhanguera</v>
      </c>
    </row>
    <row r="2582" customFormat="false" ht="15.75" hidden="false" customHeight="false" outlineLevel="0" collapsed="false">
      <c r="A2582" s="2" t="n">
        <v>158831</v>
      </c>
      <c r="B2582" s="2" t="s">
        <v>2013</v>
      </c>
      <c r="C2582" s="2" t="n">
        <v>2</v>
      </c>
      <c r="D2582" s="2" t="n">
        <v>1</v>
      </c>
      <c r="E2582" s="2" t="n">
        <v>1</v>
      </c>
      <c r="F2582" s="2" t="n">
        <v>50</v>
      </c>
      <c r="G2582" s="2" t="s">
        <v>552</v>
      </c>
      <c r="H2582" s="2" t="str">
        <f aca="false">IFERROR(__xludf.dummyfunction("IF(I2602="""", """", REGEXEXTRACT(I2602, ""Padrao/([^/]+)""))"),"Jardim Anhanguera")</f>
        <v>Jardim Anhanguera</v>
      </c>
    </row>
    <row r="2583" customFormat="false" ht="15.75" hidden="false" customHeight="false" outlineLevel="0" collapsed="false">
      <c r="A2583" s="2" t="n">
        <v>192956</v>
      </c>
      <c r="B2583" s="2" t="s">
        <v>2133</v>
      </c>
      <c r="C2583" s="2" t="n">
        <v>2</v>
      </c>
      <c r="D2583" s="2" t="n">
        <v>1</v>
      </c>
      <c r="E2583" s="2" t="n">
        <v>1</v>
      </c>
      <c r="F2583" s="2" t="n">
        <v>47</v>
      </c>
      <c r="G2583" s="2" t="s">
        <v>2134</v>
      </c>
      <c r="H2583" s="2" t="str">
        <f aca="false">IFERROR(__xludf.dummyfunction("IF(I2603="""", """", REGEXEXTRACT(I2603, ""Padrao/([^/]+)""))"),"Vila Virginia")</f>
        <v>Vila Virginia</v>
      </c>
    </row>
    <row r="2584" customFormat="false" ht="15.75" hidden="false" customHeight="false" outlineLevel="0" collapsed="false">
      <c r="A2584" s="2" t="n">
        <v>183755</v>
      </c>
      <c r="B2584" s="2" t="s">
        <v>2135</v>
      </c>
      <c r="C2584" s="2" t="n">
        <v>2</v>
      </c>
      <c r="D2584" s="2" t="n">
        <v>1</v>
      </c>
      <c r="E2584" s="2" t="n">
        <v>1</v>
      </c>
      <c r="F2584" s="2" t="n">
        <v>50</v>
      </c>
      <c r="G2584" s="2" t="s">
        <v>543</v>
      </c>
      <c r="H2584" s="2" t="str">
        <f aca="false">IFERROR(__xludf.dummyfunction("IF(I2604="""", """", REGEXEXTRACT(I2604, ""Padrao/([^/]+)""))"),"Jardim Bom Pastor")</f>
        <v>Jardim Bom Pastor</v>
      </c>
    </row>
    <row r="2585" customFormat="false" ht="15.75" hidden="false" customHeight="false" outlineLevel="0" collapsed="false">
      <c r="A2585" s="2" t="n">
        <v>183752</v>
      </c>
      <c r="B2585" s="2" t="s">
        <v>2135</v>
      </c>
      <c r="C2585" s="2" t="n">
        <v>2</v>
      </c>
      <c r="D2585" s="2" t="n">
        <v>1</v>
      </c>
      <c r="E2585" s="2" t="n">
        <v>1</v>
      </c>
      <c r="F2585" s="2" t="n">
        <v>50</v>
      </c>
      <c r="G2585" s="2" t="s">
        <v>543</v>
      </c>
      <c r="H2585" s="2" t="str">
        <f aca="false">IFERROR(__xludf.dummyfunction("IF(I2605="""", """", REGEXEXTRACT(I2605, ""Padrao/([^/]+)""))"),"Jardim Bom Pastor")</f>
        <v>Jardim Bom Pastor</v>
      </c>
    </row>
    <row r="2586" customFormat="false" ht="15.75" hidden="false" customHeight="false" outlineLevel="0" collapsed="false">
      <c r="A2586" s="2" t="n">
        <v>183749</v>
      </c>
      <c r="B2586" s="2" t="s">
        <v>2135</v>
      </c>
      <c r="C2586" s="2" t="n">
        <v>2</v>
      </c>
      <c r="D2586" s="2" t="n">
        <v>1</v>
      </c>
      <c r="E2586" s="2" t="n">
        <v>1</v>
      </c>
      <c r="F2586" s="2" t="n">
        <v>50</v>
      </c>
      <c r="G2586" s="2" t="s">
        <v>543</v>
      </c>
      <c r="H2586" s="2" t="str">
        <f aca="false">IFERROR(__xludf.dummyfunction("IF(I2606="""", """", REGEXEXTRACT(I2606, ""Padrao/([^/]+)""))"),"Jardim Bom Pastor")</f>
        <v>Jardim Bom Pastor</v>
      </c>
    </row>
    <row r="2587" customFormat="false" ht="15.75" hidden="false" customHeight="false" outlineLevel="0" collapsed="false">
      <c r="A2587" s="2" t="n">
        <v>183746</v>
      </c>
      <c r="B2587" s="2" t="s">
        <v>2135</v>
      </c>
      <c r="C2587" s="2" t="n">
        <v>2</v>
      </c>
      <c r="D2587" s="2" t="n">
        <v>1</v>
      </c>
      <c r="E2587" s="2" t="n">
        <v>1</v>
      </c>
      <c r="F2587" s="2" t="n">
        <v>50</v>
      </c>
      <c r="G2587" s="2" t="s">
        <v>543</v>
      </c>
      <c r="H2587" s="2" t="str">
        <f aca="false">IFERROR(__xludf.dummyfunction("IF(I2607="""", """", REGEXEXTRACT(I2607, ""Padrao/([^/]+)""))"),"Jardim Bom Pastor")</f>
        <v>Jardim Bom Pastor</v>
      </c>
    </row>
    <row r="2588" customFormat="false" ht="15.75" hidden="false" customHeight="false" outlineLevel="0" collapsed="false">
      <c r="A2588" s="2" t="n">
        <v>162335</v>
      </c>
      <c r="B2588" s="2" t="s">
        <v>1060</v>
      </c>
      <c r="C2588" s="2" t="n">
        <v>3</v>
      </c>
      <c r="D2588" s="2" t="n">
        <v>2</v>
      </c>
      <c r="E2588" s="2" t="n">
        <v>1</v>
      </c>
      <c r="F2588" s="2" t="n">
        <v>75</v>
      </c>
      <c r="G2588" s="2" t="s">
        <v>543</v>
      </c>
      <c r="H2588" s="2" t="str">
        <f aca="false">IFERROR(__xludf.dummyfunction("IF(I2608="""", """", REGEXEXTRACT(I2608, ""Padrao/([^/]+)""))"),"Parque Industrial Lagoinha")</f>
        <v>Parque Industrial Lagoinha</v>
      </c>
    </row>
    <row r="2589" customFormat="false" ht="15.75" hidden="false" customHeight="false" outlineLevel="0" collapsed="false">
      <c r="A2589" s="2" t="n">
        <v>162884</v>
      </c>
      <c r="B2589" s="2" t="s">
        <v>162</v>
      </c>
      <c r="C2589" s="2" t="n">
        <v>2</v>
      </c>
      <c r="D2589" s="2" t="n">
        <v>2</v>
      </c>
      <c r="E2589" s="2" t="n">
        <v>1</v>
      </c>
      <c r="F2589" s="2" t="n">
        <v>53</v>
      </c>
      <c r="G2589" s="2" t="s">
        <v>2136</v>
      </c>
      <c r="H2589" s="2" t="str">
        <f aca="false">IFERROR(__xludf.dummyfunction("IF(I2609="""", """", REGEXEXTRACT(I2609, ""Padrao/([^/]+)""))"),"Residencial e Comercial Palmares")</f>
        <v>Residencial e Comercial Palmares</v>
      </c>
    </row>
    <row r="2590" customFormat="false" ht="15.75" hidden="false" customHeight="false" outlineLevel="0" collapsed="false">
      <c r="A2590" s="2" t="n">
        <v>168128</v>
      </c>
      <c r="B2590" s="2" t="s">
        <v>958</v>
      </c>
      <c r="C2590" s="2" t="n">
        <v>2</v>
      </c>
      <c r="D2590" s="2" t="n">
        <v>1</v>
      </c>
      <c r="E2590" s="2" t="n">
        <v>1</v>
      </c>
      <c r="F2590" s="2" t="n">
        <v>42</v>
      </c>
      <c r="G2590" s="2" t="s">
        <v>2137</v>
      </c>
      <c r="H2590" s="2" t="str">
        <f aca="false">IFERROR(__xludf.dummyfunction("IF(I2610="""", """", REGEXEXTRACT(I2610, ""Padrao/([^/]+)""))"),"Parque Industrial Lagoinha")</f>
        <v>Parque Industrial Lagoinha</v>
      </c>
    </row>
    <row r="2591" customFormat="false" ht="15.75" hidden="false" customHeight="false" outlineLevel="0" collapsed="false">
      <c r="A2591" s="2" t="n">
        <v>92015</v>
      </c>
      <c r="B2591" s="2" t="s">
        <v>900</v>
      </c>
      <c r="C2591" s="2" t="n">
        <v>2</v>
      </c>
      <c r="D2591" s="2" t="n">
        <v>2</v>
      </c>
      <c r="E2591" s="2" t="n">
        <v>1</v>
      </c>
      <c r="F2591" s="2" t="n">
        <v>62</v>
      </c>
      <c r="G2591" s="2" t="s">
        <v>2138</v>
      </c>
      <c r="H2591" s="2" t="str">
        <f aca="false">IFERROR(__xludf.dummyfunction("IF(I2611="""", """", REGEXEXTRACT(I2611, ""Padrao/([^/]+)""))"),"Jardim Zara")</f>
        <v>Jardim Zara</v>
      </c>
    </row>
    <row r="2592" customFormat="false" ht="15.75" hidden="false" customHeight="false" outlineLevel="0" collapsed="false">
      <c r="A2592" s="2" t="n">
        <v>234179</v>
      </c>
      <c r="B2592" s="2" t="s">
        <v>2139</v>
      </c>
      <c r="C2592" s="2" t="n">
        <v>4</v>
      </c>
      <c r="D2592" s="2" t="n">
        <v>7</v>
      </c>
      <c r="E2592" s="2" t="n">
        <v>5</v>
      </c>
      <c r="F2592" s="2" t="n">
        <v>376</v>
      </c>
      <c r="G2592" s="2" t="s">
        <v>2140</v>
      </c>
      <c r="H2592" s="2" t="str">
        <f aca="false">IFERROR(__xludf.dummyfunction("IF(I2612="""", """", REGEXEXTRACT(I2612, ""Padrao/([^/]+)""))"),"Jardim Ilhas do Sul")</f>
        <v>Jardim Ilhas do Sul</v>
      </c>
    </row>
    <row r="2593" customFormat="false" ht="15.75" hidden="false" customHeight="false" outlineLevel="0" collapsed="false">
      <c r="A2593" s="2" t="n">
        <v>221075</v>
      </c>
      <c r="B2593" s="2" t="s">
        <v>771</v>
      </c>
      <c r="C2593" s="2" t="n">
        <v>2</v>
      </c>
      <c r="D2593" s="2" t="n">
        <v>1</v>
      </c>
      <c r="E2593" s="2" t="n">
        <v>1</v>
      </c>
      <c r="F2593" s="2" t="n">
        <v>43</v>
      </c>
      <c r="G2593" s="2" t="s">
        <v>2141</v>
      </c>
      <c r="H2593" s="2" t="str">
        <f aca="false">IFERROR(__xludf.dummyfunction("IF(I2613="""", """", REGEXEXTRACT(I2613, ""Padrao/([^/]+)""))"),"Jardim Diva Tarla de Carvalho")</f>
        <v>Jardim Diva Tarla de Carvalho</v>
      </c>
    </row>
    <row r="2594" customFormat="false" ht="15.75" hidden="false" customHeight="false" outlineLevel="0" collapsed="false">
      <c r="A2594" s="2" t="n">
        <v>179111</v>
      </c>
      <c r="B2594" s="2" t="s">
        <v>2142</v>
      </c>
      <c r="C2594" s="2" t="n">
        <v>2</v>
      </c>
      <c r="D2594" s="2" t="n">
        <v>1</v>
      </c>
      <c r="E2594" s="2" t="n">
        <v>1</v>
      </c>
      <c r="F2594" s="2" t="n">
        <v>46</v>
      </c>
      <c r="G2594" s="2" t="s">
        <v>502</v>
      </c>
      <c r="H2594" s="2" t="str">
        <f aca="false">IFERROR(__xludf.dummyfunction("IF(I2614="""", """", REGEXEXTRACT(I2614, ""Padrao/([^/]+)""))"),"Reserva Sul Condominio")</f>
        <v>Reserva Sul Condominio</v>
      </c>
    </row>
    <row r="2595" customFormat="false" ht="15.75" hidden="false" customHeight="false" outlineLevel="0" collapsed="false">
      <c r="A2595" s="2" t="n">
        <v>200381</v>
      </c>
      <c r="B2595" s="2" t="s">
        <v>2143</v>
      </c>
      <c r="C2595" s="2" t="n">
        <v>2</v>
      </c>
      <c r="D2595" s="2" t="n">
        <v>1</v>
      </c>
      <c r="E2595" s="2" t="n">
        <v>1</v>
      </c>
      <c r="F2595" s="2" t="n">
        <v>41</v>
      </c>
      <c r="G2595" s="2" t="s">
        <v>518</v>
      </c>
      <c r="H2595" s="2" t="str">
        <f aca="false">IFERROR(__xludf.dummyfunction("IF(I2615="""", """", REGEXEXTRACT(I2615, ""Padrao/([^/]+)""))"),"Reserva Real")</f>
        <v>Reserva Real</v>
      </c>
    </row>
    <row r="2596" customFormat="false" ht="15.75" hidden="false" customHeight="false" outlineLevel="0" collapsed="false">
      <c r="A2596" s="2" t="n">
        <v>73034</v>
      </c>
      <c r="B2596" s="2" t="s">
        <v>2144</v>
      </c>
      <c r="C2596" s="2" t="n">
        <v>3</v>
      </c>
      <c r="D2596" s="2" t="n">
        <v>2</v>
      </c>
      <c r="E2596" s="2" t="n">
        <v>1</v>
      </c>
      <c r="F2596" s="2" t="n">
        <v>61</v>
      </c>
      <c r="G2596" s="2" t="s">
        <v>521</v>
      </c>
      <c r="H2596" s="2" t="str">
        <f aca="false">IFERROR(__xludf.dummyfunction("IF(I2616="""", """", REGEXEXTRACT(I2616, ""Padrao/([^/]+)""))"),"Parque dos Lagos")</f>
        <v>Parque dos Lagos</v>
      </c>
    </row>
    <row r="2597" customFormat="false" ht="15.75" hidden="false" customHeight="false" outlineLevel="0" collapsed="false">
      <c r="A2597" s="2" t="n">
        <v>205292</v>
      </c>
      <c r="B2597" s="2" t="s">
        <v>2145</v>
      </c>
      <c r="C2597" s="2" t="n">
        <v>2</v>
      </c>
      <c r="D2597" s="2" t="n">
        <v>1</v>
      </c>
      <c r="E2597" s="2" t="n">
        <v>1</v>
      </c>
      <c r="F2597" s="2" t="n">
        <v>54</v>
      </c>
      <c r="G2597" s="2" t="s">
        <v>525</v>
      </c>
      <c r="H2597" s="2" t="str">
        <f aca="false">IFERROR(__xludf.dummyfunction("IF(I2617="""", """", REGEXEXTRACT(I2617, ""Padrao/([^/]+)""))"),"Jardim Zara")</f>
        <v>Jardim Zara</v>
      </c>
    </row>
    <row r="2598" customFormat="false" ht="15.75" hidden="false" customHeight="false" outlineLevel="0" collapsed="false">
      <c r="A2598" s="2" t="n">
        <v>154175</v>
      </c>
      <c r="B2598" s="2" t="s">
        <v>2146</v>
      </c>
      <c r="C2598" s="2" t="n">
        <v>2</v>
      </c>
      <c r="D2598" s="2" t="n">
        <v>1</v>
      </c>
      <c r="E2598" s="2" t="n">
        <v>1</v>
      </c>
      <c r="F2598" s="2" t="n">
        <v>46</v>
      </c>
      <c r="G2598" s="2" t="s">
        <v>525</v>
      </c>
      <c r="H2598" s="2" t="str">
        <f aca="false">IFERROR(__xludf.dummyfunction("IF(I2618="""", """", REGEXEXTRACT(I2618, ""Padrao/([^/]+)""))"),"Ribeirania")</f>
        <v>Ribeirania</v>
      </c>
    </row>
    <row r="2599" customFormat="false" ht="15.75" hidden="false" customHeight="false" outlineLevel="0" collapsed="false">
      <c r="A2599" s="2" t="n">
        <v>131438</v>
      </c>
      <c r="B2599" s="2" t="s">
        <v>2147</v>
      </c>
      <c r="C2599" s="2" t="n">
        <v>2</v>
      </c>
      <c r="D2599" s="2" t="n">
        <v>1</v>
      </c>
      <c r="E2599" s="2" t="n">
        <v>1</v>
      </c>
      <c r="F2599" s="2" t="n">
        <v>49</v>
      </c>
      <c r="G2599" s="2" t="s">
        <v>525</v>
      </c>
      <c r="H2599" s="2" t="str">
        <f aca="false">IFERROR(__xludf.dummyfunction("IF(I2619="""", """", REGEXEXTRACT(I2619, ""Padrao/([^/]+)""))"),"Parque Sao Sebastiao")</f>
        <v>Parque Sao Sebastiao</v>
      </c>
    </row>
    <row r="2600" customFormat="false" ht="15.75" hidden="false" customHeight="false" outlineLevel="0" collapsed="false">
      <c r="A2600" s="2" t="n">
        <v>80786</v>
      </c>
      <c r="B2600" s="2" t="s">
        <v>2148</v>
      </c>
      <c r="C2600" s="2" t="n">
        <v>1</v>
      </c>
      <c r="D2600" s="2" t="n">
        <v>1</v>
      </c>
      <c r="E2600" s="2" t="n">
        <v>1</v>
      </c>
      <c r="F2600" s="2" t="n">
        <v>55</v>
      </c>
      <c r="G2600" s="2" t="s">
        <v>525</v>
      </c>
      <c r="H2600" s="2" t="str">
        <f aca="false">IFERROR(__xludf.dummyfunction("IF(I2620="""", """", REGEXEXTRACT(I2620, ""Padrao/([^/]+)""))"),"Jardim Sao Luiz")</f>
        <v>Jardim Sao Luiz</v>
      </c>
    </row>
    <row r="2601" customFormat="false" ht="15.75" hidden="false" customHeight="false" outlineLevel="0" collapsed="false">
      <c r="A2601" s="2" t="n">
        <v>117890</v>
      </c>
      <c r="B2601" s="2" t="s">
        <v>2149</v>
      </c>
      <c r="C2601" s="2" t="n">
        <v>3</v>
      </c>
      <c r="D2601" s="2" t="n">
        <v>2</v>
      </c>
      <c r="E2601" s="2" t="n">
        <v>1</v>
      </c>
      <c r="F2601" s="2" t="n">
        <v>76</v>
      </c>
      <c r="G2601" s="2" t="s">
        <v>529</v>
      </c>
      <c r="H2601" s="2" t="str">
        <f aca="false">IFERROR(__xludf.dummyfunction("IF(I2621="""", """", REGEXEXTRACT(I2621, ""Padrao/([^/]+)""))"),"Jardim Palma Travassos")</f>
        <v>Jardim Palma Travassos</v>
      </c>
    </row>
    <row r="2602" customFormat="false" ht="15.75" hidden="false" customHeight="false" outlineLevel="0" collapsed="false">
      <c r="A2602" s="2" t="n">
        <v>238325</v>
      </c>
      <c r="B2602" s="2" t="s">
        <v>2150</v>
      </c>
      <c r="C2602" s="2" t="n">
        <v>2</v>
      </c>
      <c r="D2602" s="2" t="n">
        <v>1</v>
      </c>
      <c r="E2602" s="2" t="n">
        <v>1</v>
      </c>
      <c r="F2602" s="2" t="n">
        <v>46</v>
      </c>
      <c r="G2602" s="2" t="s">
        <v>533</v>
      </c>
      <c r="H2602" s="2" t="str">
        <f aca="false">IFERROR(__xludf.dummyfunction("IF(I2622="""", """", REGEXEXTRACT(I2622, ""Padrao/([^/]+)""))"),"Jardim Paulistano")</f>
        <v>Jardim Paulistano</v>
      </c>
    </row>
    <row r="2603" customFormat="false" ht="15.75" hidden="false" customHeight="false" outlineLevel="0" collapsed="false">
      <c r="A2603" s="2" t="n">
        <v>221675</v>
      </c>
      <c r="B2603" s="2" t="s">
        <v>2151</v>
      </c>
      <c r="C2603" s="2" t="n">
        <v>2</v>
      </c>
      <c r="D2603" s="2" t="n">
        <v>1</v>
      </c>
      <c r="E2603" s="2" t="n">
        <v>1</v>
      </c>
      <c r="F2603" s="2" t="n">
        <v>56</v>
      </c>
      <c r="G2603" s="2" t="s">
        <v>533</v>
      </c>
      <c r="H2603" s="2" t="str">
        <f aca="false">IFERROR(__xludf.dummyfunction("IF(I2623="""", """", REGEXEXTRACT(I2623, ""Padrao/([^/]+)""))"),"Chacaras Pedro Correa de Carvalho")</f>
        <v>Chacaras Pedro Correa de Carvalho</v>
      </c>
    </row>
    <row r="2604" customFormat="false" ht="15.75" hidden="false" customHeight="false" outlineLevel="0" collapsed="false">
      <c r="A2604" s="2" t="n">
        <v>161459</v>
      </c>
      <c r="B2604" s="2" t="s">
        <v>2152</v>
      </c>
      <c r="C2604" s="2" t="n">
        <v>2</v>
      </c>
      <c r="D2604" s="2" t="n">
        <v>2</v>
      </c>
      <c r="E2604" s="2" t="n">
        <v>1</v>
      </c>
      <c r="F2604" s="2" t="n">
        <v>64</v>
      </c>
      <c r="G2604" s="2" t="s">
        <v>533</v>
      </c>
      <c r="H2604" s="2" t="str">
        <f aca="false">IFERROR(__xludf.dummyfunction("IF(I2624="""", """", REGEXEXTRACT(I2624, ""Padrao/([^/]+)""))"),"Parque Anhanguera")</f>
        <v>Parque Anhanguera</v>
      </c>
    </row>
    <row r="2605" customFormat="false" ht="15.75" hidden="false" customHeight="false" outlineLevel="0" collapsed="false">
      <c r="A2605" s="2" t="n">
        <v>141449</v>
      </c>
      <c r="B2605" s="2" t="s">
        <v>2153</v>
      </c>
      <c r="C2605" s="2" t="n">
        <v>1</v>
      </c>
      <c r="D2605" s="2" t="n">
        <v>1</v>
      </c>
      <c r="E2605" s="2" t="n">
        <v>1</v>
      </c>
      <c r="F2605" s="2" t="n">
        <v>43</v>
      </c>
      <c r="G2605" s="2" t="s">
        <v>533</v>
      </c>
      <c r="H2605" s="2" t="str">
        <f aca="false">IFERROR(__xludf.dummyfunction("IF(I2625="""", """", REGEXEXTRACT(I2625, ""Padrao/([^/]+)""))"),"Centro")</f>
        <v>Centro</v>
      </c>
    </row>
    <row r="2606" customFormat="false" ht="15.75" hidden="false" customHeight="false" outlineLevel="0" collapsed="false">
      <c r="A2606" s="2" t="n">
        <v>70046</v>
      </c>
      <c r="B2606" s="2" t="s">
        <v>2154</v>
      </c>
      <c r="C2606" s="2" t="n">
        <v>1</v>
      </c>
      <c r="D2606" s="2" t="n">
        <v>1</v>
      </c>
      <c r="E2606" s="2" t="n">
        <v>1</v>
      </c>
      <c r="F2606" s="2" t="n">
        <v>44</v>
      </c>
      <c r="G2606" s="2" t="s">
        <v>533</v>
      </c>
      <c r="H2606" s="2" t="str">
        <f aca="false">IFERROR(__xludf.dummyfunction("IF(I2626="""", """", REGEXEXTRACT(I2626, ""Padrao/([^/]+)""))"),"Jardim Sumare")</f>
        <v>Jardim Sumare</v>
      </c>
    </row>
    <row r="2607" customFormat="false" ht="15.75" hidden="false" customHeight="false" outlineLevel="0" collapsed="false">
      <c r="A2607" s="2" t="n">
        <v>214226</v>
      </c>
      <c r="B2607" s="2" t="s">
        <v>1318</v>
      </c>
      <c r="C2607" s="2" t="n">
        <v>2</v>
      </c>
      <c r="D2607" s="2" t="n">
        <v>1</v>
      </c>
      <c r="E2607" s="2" t="n">
        <v>1</v>
      </c>
      <c r="F2607" s="2" t="n">
        <v>43</v>
      </c>
      <c r="G2607" s="2" t="s">
        <v>537</v>
      </c>
      <c r="H2607" s="2" t="str">
        <f aca="false">IFERROR(__xludf.dummyfunction("IF(I2627="""", """", REGEXEXTRACT(I2627, ""Padrao/([^/]+)""))"),"Sumarezinho")</f>
        <v>Sumarezinho</v>
      </c>
    </row>
    <row r="2608" customFormat="false" ht="15.75" hidden="false" customHeight="false" outlineLevel="0" collapsed="false">
      <c r="A2608" s="2" t="n">
        <v>118250</v>
      </c>
      <c r="B2608" s="2" t="s">
        <v>1955</v>
      </c>
      <c r="C2608" s="2" t="n">
        <v>3</v>
      </c>
      <c r="D2608" s="2" t="n">
        <v>2</v>
      </c>
      <c r="E2608" s="2" t="n">
        <v>1</v>
      </c>
      <c r="F2608" s="2" t="n">
        <v>69</v>
      </c>
      <c r="G2608" s="2" t="s">
        <v>537</v>
      </c>
      <c r="H2608" s="2" t="str">
        <f aca="false">IFERROR(__xludf.dummyfunction("IF(I2628="""", """", REGEXEXTRACT(I2628, ""Padrao/([^/]+)""))"),"Jardim Paulista")</f>
        <v>Jardim Paulista</v>
      </c>
    </row>
    <row r="2609" customFormat="false" ht="15.75" hidden="false" customHeight="false" outlineLevel="0" collapsed="false">
      <c r="A2609" s="2" t="n">
        <v>103010</v>
      </c>
      <c r="B2609" s="2" t="s">
        <v>2155</v>
      </c>
      <c r="C2609" s="2" t="n">
        <v>1</v>
      </c>
      <c r="D2609" s="2" t="n">
        <v>1</v>
      </c>
      <c r="E2609" s="2" t="n">
        <v>1</v>
      </c>
      <c r="F2609" s="2" t="n">
        <v>38</v>
      </c>
      <c r="G2609" s="2" t="s">
        <v>537</v>
      </c>
      <c r="H2609" s="2" t="str">
        <f aca="false">IFERROR(__xludf.dummyfunction("IF(I2629="""", """", REGEXEXTRACT(I2629, ""Padrao/([^/]+)""))"),"Presidente Medici")</f>
        <v>Presidente Medici</v>
      </c>
    </row>
    <row r="2610" customFormat="false" ht="15.75" hidden="false" customHeight="false" outlineLevel="0" collapsed="false">
      <c r="A2610" s="2" t="n">
        <v>52817</v>
      </c>
      <c r="B2610" s="2" t="s">
        <v>2156</v>
      </c>
      <c r="C2610" s="2" t="n">
        <v>1</v>
      </c>
      <c r="D2610" s="2" t="n">
        <v>1</v>
      </c>
      <c r="E2610" s="2" t="n">
        <v>1</v>
      </c>
      <c r="F2610" s="2" t="n">
        <v>49</v>
      </c>
      <c r="G2610" s="2" t="s">
        <v>537</v>
      </c>
      <c r="H2610" s="2" t="str">
        <f aca="false">IFERROR(__xludf.dummyfunction("IF(I2630="""", """", REGEXEXTRACT(I2630, ""Padrao/([^/]+)""))"),"Centro")</f>
        <v>Centro</v>
      </c>
    </row>
    <row r="2611" customFormat="false" ht="15.75" hidden="false" customHeight="false" outlineLevel="0" collapsed="false">
      <c r="A2611" s="2" t="n">
        <v>208682</v>
      </c>
      <c r="B2611" s="2" t="s">
        <v>2157</v>
      </c>
      <c r="C2611" s="2" t="n">
        <v>2</v>
      </c>
      <c r="D2611" s="2" t="n">
        <v>1</v>
      </c>
      <c r="E2611" s="2" t="n">
        <v>1</v>
      </c>
      <c r="F2611" s="2" t="n">
        <v>52</v>
      </c>
      <c r="G2611" s="2" t="s">
        <v>543</v>
      </c>
      <c r="H2611" s="2" t="str">
        <f aca="false">IFERROR(__xludf.dummyfunction("IF(I2631="""", """", REGEXEXTRACT(I2631, ""Padrao/([^/]+)""))"),"Jardim Anhanguera")</f>
        <v>Jardim Anhanguera</v>
      </c>
    </row>
    <row r="2612" customFormat="false" ht="15.75" hidden="false" customHeight="false" outlineLevel="0" collapsed="false">
      <c r="A2612" s="2" t="n">
        <v>204302</v>
      </c>
      <c r="B2612" s="2" t="s">
        <v>2158</v>
      </c>
      <c r="C2612" s="2" t="n">
        <v>2</v>
      </c>
      <c r="D2612" s="2" t="n">
        <v>2</v>
      </c>
      <c r="E2612" s="2" t="n">
        <v>1</v>
      </c>
      <c r="F2612" s="2" t="n">
        <v>150</v>
      </c>
      <c r="G2612" s="2" t="s">
        <v>543</v>
      </c>
      <c r="H2612" s="2" t="str">
        <f aca="false">IFERROR(__xludf.dummyfunction("IF(I2632="""", """", REGEXEXTRACT(I2632, ""Padrao/([^/]+)""))"),"Jardim Zara")</f>
        <v>Jardim Zara</v>
      </c>
    </row>
    <row r="2613" customFormat="false" ht="15.75" hidden="false" customHeight="false" outlineLevel="0" collapsed="false">
      <c r="A2613" s="2" t="n">
        <v>126491</v>
      </c>
      <c r="B2613" s="2" t="s">
        <v>2159</v>
      </c>
      <c r="C2613" s="2" t="n">
        <v>2</v>
      </c>
      <c r="D2613" s="2" t="n">
        <v>1</v>
      </c>
      <c r="E2613" s="2" t="n">
        <v>1</v>
      </c>
      <c r="F2613" s="2" t="n">
        <v>54</v>
      </c>
      <c r="G2613" s="2" t="s">
        <v>549</v>
      </c>
      <c r="H2613" s="2" t="str">
        <f aca="false">IFERROR(__xludf.dummyfunction("IF(I2633="""", """", REGEXEXTRACT(I2633, ""Padrao/([^/]+)""))"),"Parque Sao Sebastiao")</f>
        <v>Parque Sao Sebastiao</v>
      </c>
    </row>
    <row r="2614" customFormat="false" ht="15.75" hidden="false" customHeight="false" outlineLevel="0" collapsed="false">
      <c r="A2614" s="2" t="n">
        <v>245273</v>
      </c>
      <c r="B2614" s="2" t="s">
        <v>2160</v>
      </c>
      <c r="C2614" s="2" t="n">
        <v>3</v>
      </c>
      <c r="D2614" s="2" t="n">
        <v>2</v>
      </c>
      <c r="E2614" s="2" t="n">
        <v>1</v>
      </c>
      <c r="F2614" s="2" t="n">
        <v>73</v>
      </c>
      <c r="G2614" s="2" t="s">
        <v>554</v>
      </c>
      <c r="H2614" s="2" t="str">
        <f aca="false">IFERROR(__xludf.dummyfunction("IF(I2634="""", """", REGEXEXTRACT(I2634, ""Padrao/([^/]+)""))"),"Parque dos Bandeirantes")</f>
        <v>Parque dos Bandeirantes</v>
      </c>
    </row>
    <row r="2615" customFormat="false" ht="15.75" hidden="false" customHeight="false" outlineLevel="0" collapsed="false">
      <c r="A2615" s="2" t="n">
        <v>243608</v>
      </c>
      <c r="B2615" s="2" t="s">
        <v>2056</v>
      </c>
      <c r="C2615" s="2" t="n">
        <v>1</v>
      </c>
      <c r="D2615" s="2" t="n">
        <v>1</v>
      </c>
      <c r="E2615" s="2" t="n">
        <v>1</v>
      </c>
      <c r="F2615" s="2" t="n">
        <v>41</v>
      </c>
      <c r="G2615" s="2" t="s">
        <v>554</v>
      </c>
      <c r="H2615" s="2" t="str">
        <f aca="false">IFERROR(__xludf.dummyfunction("IF(I2635="""", """", REGEXEXTRACT(I2635, ""Padrao/([^/]+)""))"),"Jardim Nova Alianca Sul")</f>
        <v>Jardim Nova Alianca Sul</v>
      </c>
    </row>
    <row r="2616" customFormat="false" ht="15.75" hidden="false" customHeight="false" outlineLevel="0" collapsed="false">
      <c r="A2616" s="2" t="n">
        <v>243431</v>
      </c>
      <c r="B2616" s="2" t="s">
        <v>2161</v>
      </c>
      <c r="C2616" s="2" t="n">
        <v>1</v>
      </c>
      <c r="D2616" s="2" t="n">
        <v>1</v>
      </c>
      <c r="E2616" s="2" t="n">
        <v>1</v>
      </c>
      <c r="F2616" s="2" t="n">
        <v>44</v>
      </c>
      <c r="G2616" s="2" t="s">
        <v>554</v>
      </c>
      <c r="H2616" s="2" t="str">
        <f aca="false">IFERROR(__xludf.dummyfunction("IF(I2636="""", """", REGEXEXTRACT(I2636, ""Padrao/([^/]+)""))"),"Nova Alianca")</f>
        <v>Nova Alianca</v>
      </c>
    </row>
    <row r="2617" customFormat="false" ht="15.75" hidden="false" customHeight="false" outlineLevel="0" collapsed="false">
      <c r="A2617" s="2" t="n">
        <v>243005</v>
      </c>
      <c r="B2617" s="2" t="s">
        <v>2017</v>
      </c>
      <c r="C2617" s="2" t="n">
        <v>2</v>
      </c>
      <c r="D2617" s="2" t="n">
        <v>1</v>
      </c>
      <c r="E2617" s="2" t="n">
        <v>1</v>
      </c>
      <c r="F2617" s="2" t="n">
        <v>44</v>
      </c>
      <c r="G2617" s="2" t="s">
        <v>554</v>
      </c>
      <c r="H2617" s="2" t="str">
        <f aca="false">IFERROR(__xludf.dummyfunction("IF(I2637="""", """", REGEXEXTRACT(I2637, ""Padrao/([^/]+)""))"),"Recreio das Acacias")</f>
        <v>Recreio das Acacias</v>
      </c>
    </row>
    <row r="2618" customFormat="false" ht="15.75" hidden="false" customHeight="false" outlineLevel="0" collapsed="false">
      <c r="A2618" s="2" t="n">
        <v>240761</v>
      </c>
      <c r="B2618" s="2" t="s">
        <v>2162</v>
      </c>
      <c r="C2618" s="2" t="n">
        <v>3</v>
      </c>
      <c r="D2618" s="2" t="n">
        <v>2</v>
      </c>
      <c r="E2618" s="2" t="n">
        <v>1</v>
      </c>
      <c r="F2618" s="2" t="n">
        <v>94</v>
      </c>
      <c r="G2618" s="2" t="s">
        <v>554</v>
      </c>
      <c r="H2618" s="2" t="str">
        <f aca="false">IFERROR(__xludf.dummyfunction("IF(I2638="""", """", REGEXEXTRACT(I2638, ""Padrao/([^/]+)""))"),"Vila Monte Alegre")</f>
        <v>Vila Monte Alegre</v>
      </c>
    </row>
    <row r="2619" customFormat="false" ht="15.75" hidden="false" customHeight="false" outlineLevel="0" collapsed="false">
      <c r="A2619" s="2" t="n">
        <v>238388</v>
      </c>
      <c r="B2619" s="2" t="s">
        <v>2163</v>
      </c>
      <c r="C2619" s="2" t="n">
        <v>2</v>
      </c>
      <c r="D2619" s="2" t="n">
        <v>1</v>
      </c>
      <c r="E2619" s="2" t="n">
        <v>1</v>
      </c>
      <c r="F2619" s="2" t="n">
        <v>47</v>
      </c>
      <c r="G2619" s="2" t="s">
        <v>554</v>
      </c>
      <c r="H2619" s="2" t="str">
        <f aca="false">IFERROR(__xludf.dummyfunction("IF(I2639="""", """", REGEXEXTRACT(I2639, ""Padrao/([^/]+)""))"),"Jardim Regatas")</f>
        <v>Jardim Regatas</v>
      </c>
    </row>
    <row r="2620" customFormat="false" ht="15.75" hidden="false" customHeight="false" outlineLevel="0" collapsed="false">
      <c r="A2620" s="2" t="n">
        <v>236930</v>
      </c>
      <c r="B2620" s="2" t="s">
        <v>607</v>
      </c>
      <c r="C2620" s="2" t="n">
        <v>3</v>
      </c>
      <c r="D2620" s="2" t="n">
        <v>1</v>
      </c>
      <c r="E2620" s="2" t="n">
        <v>1</v>
      </c>
      <c r="F2620" s="2" t="n">
        <v>69</v>
      </c>
      <c r="G2620" s="2" t="s">
        <v>554</v>
      </c>
      <c r="H2620" s="2" t="str">
        <f aca="false">IFERROR(__xludf.dummyfunction("IF(I2640="""", """", REGEXEXTRACT(I2640, ""Padrao/([^/]+)""))"),"Jardim Paulista")</f>
        <v>Jardim Paulista</v>
      </c>
    </row>
    <row r="2621" customFormat="false" ht="15.75" hidden="false" customHeight="false" outlineLevel="0" collapsed="false">
      <c r="A2621" s="2" t="n">
        <v>235481</v>
      </c>
      <c r="B2621" s="2" t="s">
        <v>2164</v>
      </c>
      <c r="C2621" s="2" t="n">
        <v>1</v>
      </c>
      <c r="D2621" s="2" t="n">
        <v>1</v>
      </c>
      <c r="E2621" s="2" t="n">
        <v>1</v>
      </c>
      <c r="F2621" s="2" t="n">
        <v>41</v>
      </c>
      <c r="G2621" s="2" t="s">
        <v>554</v>
      </c>
      <c r="H2621" s="2" t="str">
        <f aca="false">IFERROR(__xludf.dummyfunction("IF(I2641="""", """", REGEXEXTRACT(I2641, ""Padrao/([^/]+)""))"),"Vila Monte Alegre")</f>
        <v>Vila Monte Alegre</v>
      </c>
    </row>
    <row r="2622" customFormat="false" ht="15.75" hidden="false" customHeight="false" outlineLevel="0" collapsed="false">
      <c r="A2622" s="2" t="n">
        <v>234497</v>
      </c>
      <c r="B2622" s="2" t="s">
        <v>2165</v>
      </c>
      <c r="C2622" s="2" t="n">
        <v>2</v>
      </c>
      <c r="D2622" s="2" t="n">
        <v>1</v>
      </c>
      <c r="E2622" s="2" t="n">
        <v>1</v>
      </c>
      <c r="F2622" s="2" t="n">
        <v>51</v>
      </c>
      <c r="G2622" s="2" t="s">
        <v>554</v>
      </c>
      <c r="H2622" s="2" t="str">
        <f aca="false">IFERROR(__xludf.dummyfunction("IF(I2642="""", """", REGEXEXTRACT(I2642, ""Padrao/([^/]+)""))"),"Residencial Greenville")</f>
        <v>Residencial Greenville</v>
      </c>
    </row>
    <row r="2623" customFormat="false" ht="15.75" hidden="false" customHeight="false" outlineLevel="0" collapsed="false">
      <c r="A2623" s="2" t="n">
        <v>233894</v>
      </c>
      <c r="B2623" s="2" t="s">
        <v>2166</v>
      </c>
      <c r="C2623" s="2" t="n">
        <v>2</v>
      </c>
      <c r="D2623" s="2" t="n">
        <v>1</v>
      </c>
      <c r="E2623" s="2" t="n">
        <v>1</v>
      </c>
      <c r="F2623" s="2" t="n">
        <v>53</v>
      </c>
      <c r="G2623" s="2" t="s">
        <v>554</v>
      </c>
      <c r="H2623" s="2" t="str">
        <f aca="false">IFERROR(__xludf.dummyfunction("IF(I2643="""", """", REGEXEXTRACT(I2643, ""Padrao/([^/]+)""))"),"Condominio Mirante Sul")</f>
        <v>Condominio Mirante Sul</v>
      </c>
    </row>
    <row r="2624" customFormat="false" ht="15.75" hidden="false" customHeight="false" outlineLevel="0" collapsed="false">
      <c r="A2624" s="2" t="n">
        <v>232688</v>
      </c>
      <c r="B2624" s="2" t="s">
        <v>1875</v>
      </c>
      <c r="C2624" s="2" t="n">
        <v>2</v>
      </c>
      <c r="D2624" s="2" t="n">
        <v>1</v>
      </c>
      <c r="E2624" s="2" t="n">
        <v>1</v>
      </c>
      <c r="F2624" s="2" t="n">
        <v>43</v>
      </c>
      <c r="G2624" s="2" t="s">
        <v>554</v>
      </c>
      <c r="H2624" s="2" t="str">
        <f aca="false">IFERROR(__xludf.dummyfunction("IF(I2644="""", """", REGEXEXTRACT(I2644, ""Padrao/([^/]+)""))"),"Jardim Interlagos")</f>
        <v>Jardim Interlagos</v>
      </c>
    </row>
    <row r="2625" customFormat="false" ht="15.75" hidden="false" customHeight="false" outlineLevel="0" collapsed="false">
      <c r="A2625" s="2" t="n">
        <v>232478</v>
      </c>
      <c r="B2625" s="2" t="s">
        <v>2167</v>
      </c>
      <c r="C2625" s="2" t="n">
        <v>2</v>
      </c>
      <c r="D2625" s="2" t="n">
        <v>1</v>
      </c>
      <c r="E2625" s="2" t="n">
        <v>1</v>
      </c>
      <c r="F2625" s="2" t="n">
        <v>47</v>
      </c>
      <c r="G2625" s="2" t="s">
        <v>554</v>
      </c>
      <c r="H2625" s="2" t="str">
        <f aca="false">IFERROR(__xludf.dummyfunction("IF(I2645="""", """", REGEXEXTRACT(I2645, ""Padrao/([^/]+)""))"),"Jardim Centenario")</f>
        <v>Jardim Centenario</v>
      </c>
    </row>
    <row r="2626" customFormat="false" ht="15.75" hidden="false" customHeight="false" outlineLevel="0" collapsed="false">
      <c r="A2626" s="2" t="n">
        <v>230960</v>
      </c>
      <c r="B2626" s="2" t="s">
        <v>2168</v>
      </c>
      <c r="C2626" s="2" t="n">
        <v>2</v>
      </c>
      <c r="D2626" s="2" t="n">
        <v>1</v>
      </c>
      <c r="E2626" s="2" t="n">
        <v>1</v>
      </c>
      <c r="F2626" s="2" t="n">
        <v>52</v>
      </c>
      <c r="G2626" s="2" t="s">
        <v>554</v>
      </c>
      <c r="H2626" s="2" t="str">
        <f aca="false">IFERROR(__xludf.dummyfunction("IF(I2646="""", """", REGEXEXTRACT(I2646, ""Padrao/([^/]+)""))"),"Jardim Anhanguera")</f>
        <v>Jardim Anhanguera</v>
      </c>
    </row>
    <row r="2627" customFormat="false" ht="15.75" hidden="false" customHeight="false" outlineLevel="0" collapsed="false">
      <c r="A2627" s="2" t="n">
        <v>230177</v>
      </c>
      <c r="B2627" s="2" t="s">
        <v>2169</v>
      </c>
      <c r="C2627" s="2" t="n">
        <v>2</v>
      </c>
      <c r="D2627" s="2" t="n">
        <v>2</v>
      </c>
      <c r="E2627" s="2" t="n">
        <v>1</v>
      </c>
      <c r="F2627" s="2" t="n">
        <v>72</v>
      </c>
      <c r="G2627" s="2" t="s">
        <v>554</v>
      </c>
      <c r="H2627" s="2" t="str">
        <f aca="false">IFERROR(__xludf.dummyfunction("IF(I2647="""", """", REGEXEXTRACT(I2647, ""Padrao/([^/]+)""))"),"Jardim Castelo Branco")</f>
        <v>Jardim Castelo Branco</v>
      </c>
    </row>
    <row r="2628" customFormat="false" ht="15.75" hidden="false" customHeight="false" outlineLevel="0" collapsed="false">
      <c r="A2628" s="2" t="n">
        <v>230138</v>
      </c>
      <c r="B2628" s="2" t="s">
        <v>2170</v>
      </c>
      <c r="C2628" s="2" t="n">
        <v>2</v>
      </c>
      <c r="D2628" s="2" t="n">
        <v>1</v>
      </c>
      <c r="E2628" s="2" t="n">
        <v>1</v>
      </c>
      <c r="F2628" s="2" t="n">
        <v>65</v>
      </c>
      <c r="G2628" s="2" t="s">
        <v>554</v>
      </c>
      <c r="H2628" s="2" t="str">
        <f aca="false">IFERROR(__xludf.dummyfunction("IF(I2648="""", """", REGEXEXTRACT(I2648, ""Padrao/([^/]+)""))"),"Parque Anhanguera")</f>
        <v>Parque Anhanguera</v>
      </c>
    </row>
    <row r="2629" customFormat="false" ht="15.75" hidden="false" customHeight="false" outlineLevel="0" collapsed="false">
      <c r="A2629" s="2" t="n">
        <v>229700</v>
      </c>
      <c r="B2629" s="2" t="s">
        <v>2171</v>
      </c>
      <c r="C2629" s="2" t="n">
        <v>1</v>
      </c>
      <c r="D2629" s="2" t="n">
        <v>1</v>
      </c>
      <c r="E2629" s="2" t="n">
        <v>1</v>
      </c>
      <c r="F2629" s="2" t="n">
        <v>46</v>
      </c>
      <c r="G2629" s="2" t="s">
        <v>554</v>
      </c>
      <c r="H2629" s="2" t="str">
        <f aca="false">IFERROR(__xludf.dummyfunction("IF(I2649="""", """", REGEXEXTRACT(I2649, ""Padrao/([^/]+)""))"),"Centro")</f>
        <v>Centro</v>
      </c>
    </row>
    <row r="2630" customFormat="false" ht="15.75" hidden="false" customHeight="false" outlineLevel="0" collapsed="false">
      <c r="A2630" s="2" t="n">
        <v>228026</v>
      </c>
      <c r="B2630" s="2" t="s">
        <v>2172</v>
      </c>
      <c r="C2630" s="2" t="n">
        <v>2</v>
      </c>
      <c r="D2630" s="2" t="n">
        <v>1</v>
      </c>
      <c r="E2630" s="2" t="n">
        <v>1</v>
      </c>
      <c r="F2630" s="2" t="n">
        <v>44</v>
      </c>
      <c r="G2630" s="2" t="s">
        <v>554</v>
      </c>
      <c r="H2630" s="2" t="str">
        <f aca="false">IFERROR(__xludf.dummyfunction("IF(I2650="""", """", REGEXEXTRACT(I2650, ""Padrao/([^/]+)""))"),"Jardim Paulista")</f>
        <v>Jardim Paulista</v>
      </c>
    </row>
    <row r="2631" customFormat="false" ht="15.75" hidden="false" customHeight="false" outlineLevel="0" collapsed="false">
      <c r="A2631" s="2" t="n">
        <v>225911</v>
      </c>
      <c r="B2631" s="2" t="s">
        <v>478</v>
      </c>
      <c r="C2631" s="2" t="n">
        <v>2</v>
      </c>
      <c r="D2631" s="2" t="n">
        <v>1</v>
      </c>
      <c r="E2631" s="2" t="n">
        <v>1</v>
      </c>
      <c r="F2631" s="2" t="n">
        <v>42</v>
      </c>
      <c r="G2631" s="2" t="s">
        <v>554</v>
      </c>
      <c r="H2631" s="2" t="str">
        <f aca="false">IFERROR(__xludf.dummyfunction("IF(I2651="""", """", REGEXEXTRACT(I2651, ""Padrao/([^/]+)""))"),"Residencial Parque dos Servidores")</f>
        <v>Residencial Parque dos Servidores</v>
      </c>
    </row>
    <row r="2632" customFormat="false" ht="15.75" hidden="false" customHeight="false" outlineLevel="0" collapsed="false">
      <c r="A2632" s="2" t="n">
        <v>225254</v>
      </c>
      <c r="B2632" s="2" t="s">
        <v>2173</v>
      </c>
      <c r="C2632" s="2" t="n">
        <v>2</v>
      </c>
      <c r="D2632" s="2" t="n">
        <v>2</v>
      </c>
      <c r="E2632" s="2" t="n">
        <v>1</v>
      </c>
      <c r="F2632" s="2" t="n">
        <v>64</v>
      </c>
      <c r="G2632" s="2" t="s">
        <v>554</v>
      </c>
      <c r="H2632" s="2" t="str">
        <f aca="false">IFERROR(__xludf.dummyfunction("IF(I2652="""", """", REGEXEXTRACT(I2652, ""Padrao/([^/]+)""))"),"Presidente Medici")</f>
        <v>Presidente Medici</v>
      </c>
    </row>
    <row r="2633" customFormat="false" ht="15.75" hidden="false" customHeight="false" outlineLevel="0" collapsed="false">
      <c r="A2633" s="2" t="n">
        <v>224555</v>
      </c>
      <c r="B2633" s="2" t="s">
        <v>2174</v>
      </c>
      <c r="C2633" s="2" t="n">
        <v>3</v>
      </c>
      <c r="D2633" s="2" t="n">
        <v>2</v>
      </c>
      <c r="E2633" s="2" t="n">
        <v>1</v>
      </c>
      <c r="F2633" s="2" t="n">
        <v>66</v>
      </c>
      <c r="G2633" s="2" t="s">
        <v>554</v>
      </c>
      <c r="H2633" s="2" t="str">
        <f aca="false">IFERROR(__xludf.dummyfunction("IF(I2653="""", """", REGEXEXTRACT(I2653, ""Padrao/([^/]+)""))"),"Parque Industrial Lagoinha")</f>
        <v>Parque Industrial Lagoinha</v>
      </c>
    </row>
    <row r="2634" customFormat="false" ht="15.75" hidden="false" customHeight="false" outlineLevel="0" collapsed="false">
      <c r="A2634" s="2" t="n">
        <v>223904</v>
      </c>
      <c r="B2634" s="2" t="s">
        <v>2175</v>
      </c>
      <c r="C2634" s="2" t="n">
        <v>3</v>
      </c>
      <c r="D2634" s="2" t="n">
        <v>2</v>
      </c>
      <c r="E2634" s="2" t="n">
        <v>1</v>
      </c>
      <c r="F2634" s="2" t="n">
        <v>86</v>
      </c>
      <c r="G2634" s="2" t="s">
        <v>554</v>
      </c>
      <c r="H2634" s="2" t="str">
        <f aca="false">IFERROR(__xludf.dummyfunction("IF(I2654="""", """", REGEXEXTRACT(I2654, ""Padrao/([^/]+)""))"),"Jardim Castelo Branco")</f>
        <v>Jardim Castelo Branco</v>
      </c>
    </row>
    <row r="2635" customFormat="false" ht="15.75" hidden="false" customHeight="false" outlineLevel="0" collapsed="false">
      <c r="A2635" s="2" t="n">
        <v>222671</v>
      </c>
      <c r="B2635" s="2" t="s">
        <v>2176</v>
      </c>
      <c r="C2635" s="2" t="n">
        <v>2</v>
      </c>
      <c r="D2635" s="2" t="n">
        <v>1</v>
      </c>
      <c r="E2635" s="2" t="n">
        <v>1</v>
      </c>
      <c r="F2635" s="2" t="n">
        <v>52</v>
      </c>
      <c r="G2635" s="2" t="s">
        <v>554</v>
      </c>
      <c r="H2635" s="2" t="str">
        <f aca="false">IFERROR(__xludf.dummyfunction("IF(I2655="""", """", REGEXEXTRACT(I2655, ""Padrao/([^/]+)""))"),"Residencial Greenville")</f>
        <v>Residencial Greenville</v>
      </c>
    </row>
    <row r="2636" customFormat="false" ht="15.75" hidden="false" customHeight="false" outlineLevel="0" collapsed="false">
      <c r="A2636" s="2" t="n">
        <v>215924</v>
      </c>
      <c r="B2636" s="2" t="s">
        <v>2177</v>
      </c>
      <c r="C2636" s="2" t="n">
        <v>1</v>
      </c>
      <c r="D2636" s="2" t="n">
        <v>1</v>
      </c>
      <c r="E2636" s="2" t="n">
        <v>1</v>
      </c>
      <c r="F2636" s="2" t="n">
        <v>45</v>
      </c>
      <c r="G2636" s="2" t="s">
        <v>554</v>
      </c>
      <c r="H2636" s="2" t="str">
        <f aca="false">IFERROR(__xludf.dummyfunction("IF(I2656="""", """", REGEXEXTRACT(I2656, ""Padrao/([^/]+)""))"),"Jardim Iraja")</f>
        <v>Jardim Iraja</v>
      </c>
    </row>
    <row r="2637" customFormat="false" ht="15.75" hidden="false" customHeight="false" outlineLevel="0" collapsed="false">
      <c r="A2637" s="2" t="n">
        <v>215348</v>
      </c>
      <c r="B2637" s="2" t="s">
        <v>2178</v>
      </c>
      <c r="C2637" s="2" t="n">
        <v>2</v>
      </c>
      <c r="D2637" s="2" t="n">
        <v>1</v>
      </c>
      <c r="E2637" s="2" t="n">
        <v>1</v>
      </c>
      <c r="F2637" s="2" t="n">
        <v>46</v>
      </c>
      <c r="G2637" s="2" t="s">
        <v>554</v>
      </c>
      <c r="H2637" s="2" t="str">
        <f aca="false">IFERROR(__xludf.dummyfunction("IF(I2657="""", """", REGEXEXTRACT(I2657, ""Padrao/([^/]+)""))"),"Jardim Manoel Penna")</f>
        <v>Jardim Manoel Penna</v>
      </c>
    </row>
    <row r="2638" customFormat="false" ht="15.75" hidden="false" customHeight="false" outlineLevel="0" collapsed="false">
      <c r="A2638" s="2" t="n">
        <v>212771</v>
      </c>
      <c r="B2638" s="2" t="s">
        <v>2179</v>
      </c>
      <c r="C2638" s="2" t="n">
        <v>2</v>
      </c>
      <c r="D2638" s="2" t="n">
        <v>1</v>
      </c>
      <c r="E2638" s="2" t="n">
        <v>1</v>
      </c>
      <c r="F2638" s="2" t="n">
        <v>48</v>
      </c>
      <c r="G2638" s="2" t="s">
        <v>554</v>
      </c>
      <c r="H2638" s="2" t="str">
        <f aca="false">IFERROR(__xludf.dummyfunction("IF(I2658="""", """", REGEXEXTRACT(I2658, ""Padrao/([^/]+)""))"),"Ipiranga")</f>
        <v>Ipiranga</v>
      </c>
    </row>
    <row r="2639" customFormat="false" ht="15.75" hidden="false" customHeight="false" outlineLevel="0" collapsed="false">
      <c r="A2639" s="2" t="n">
        <v>209828</v>
      </c>
      <c r="B2639" s="2" t="s">
        <v>2180</v>
      </c>
      <c r="C2639" s="2" t="n">
        <v>2</v>
      </c>
      <c r="D2639" s="2" t="n">
        <v>2</v>
      </c>
      <c r="E2639" s="2" t="n">
        <v>1</v>
      </c>
      <c r="F2639" s="2" t="n">
        <v>67</v>
      </c>
      <c r="G2639" s="2" t="s">
        <v>554</v>
      </c>
      <c r="H2639" s="2" t="str">
        <f aca="false">IFERROR(__xludf.dummyfunction("IF(I2659="""", """", REGEXEXTRACT(I2659, ""Padrao/([^/]+)""))"),"Residencial Florida")</f>
        <v>Residencial Florida</v>
      </c>
    </row>
    <row r="2640" customFormat="false" ht="15.75" hidden="false" customHeight="false" outlineLevel="0" collapsed="false">
      <c r="A2640" s="2" t="n">
        <v>209594</v>
      </c>
      <c r="B2640" s="2" t="s">
        <v>2181</v>
      </c>
      <c r="C2640" s="2" t="n">
        <v>1</v>
      </c>
      <c r="D2640" s="2" t="n">
        <v>1</v>
      </c>
      <c r="E2640" s="2" t="n">
        <v>1</v>
      </c>
      <c r="F2640" s="2" t="n">
        <v>38</v>
      </c>
      <c r="G2640" s="2" t="s">
        <v>554</v>
      </c>
      <c r="H2640" s="2" t="str">
        <f aca="false">IFERROR(__xludf.dummyfunction("IF(I2660="""", """", REGEXEXTRACT(I2660, ""Padrao/([^/]+)""))"),"Jardim Iraja")</f>
        <v>Jardim Iraja</v>
      </c>
    </row>
    <row r="2641" customFormat="false" ht="15.75" hidden="false" customHeight="false" outlineLevel="0" collapsed="false">
      <c r="A2641" s="2" t="n">
        <v>207332</v>
      </c>
      <c r="B2641" s="2" t="s">
        <v>162</v>
      </c>
      <c r="C2641" s="2" t="n">
        <v>2</v>
      </c>
      <c r="D2641" s="2" t="n">
        <v>1</v>
      </c>
      <c r="E2641" s="2" t="n">
        <v>1</v>
      </c>
      <c r="F2641" s="2" t="n">
        <v>47</v>
      </c>
      <c r="G2641" s="2" t="s">
        <v>554</v>
      </c>
      <c r="H2641" s="2" t="str">
        <f aca="false">IFERROR(__xludf.dummyfunction("IF(I2661="""", """", REGEXEXTRACT(I2661, ""Padrao/([^/]+)""))"),"City Ribeirao")</f>
        <v>City Ribeirao</v>
      </c>
    </row>
    <row r="2642" customFormat="false" ht="15.75" hidden="false" customHeight="false" outlineLevel="0" collapsed="false">
      <c r="A2642" s="2" t="n">
        <v>205883</v>
      </c>
      <c r="B2642" s="2" t="s">
        <v>2182</v>
      </c>
      <c r="C2642" s="2" t="n">
        <v>2</v>
      </c>
      <c r="D2642" s="2" t="n">
        <v>1</v>
      </c>
      <c r="E2642" s="2" t="n">
        <v>1</v>
      </c>
      <c r="F2642" s="2" t="n">
        <v>43</v>
      </c>
      <c r="G2642" s="2" t="s">
        <v>554</v>
      </c>
      <c r="H2642" s="2" t="str">
        <f aca="false">IFERROR(__xludf.dummyfunction("IF(I2662="""", """", REGEXEXTRACT(I2662, ""Padrao/([^/]+)""))"),"Recreio das Acacias")</f>
        <v>Recreio das Acacias</v>
      </c>
    </row>
    <row r="2643" customFormat="false" ht="15.75" hidden="false" customHeight="false" outlineLevel="0" collapsed="false">
      <c r="A2643" s="2" t="n">
        <v>204602</v>
      </c>
      <c r="B2643" s="2" t="s">
        <v>2183</v>
      </c>
      <c r="C2643" s="2" t="n">
        <v>2</v>
      </c>
      <c r="D2643" s="2" t="n">
        <v>2</v>
      </c>
      <c r="E2643" s="2" t="n">
        <v>1</v>
      </c>
      <c r="F2643" s="2" t="n">
        <v>72</v>
      </c>
      <c r="G2643" s="2" t="s">
        <v>554</v>
      </c>
      <c r="H2643" s="2" t="str">
        <f aca="false">IFERROR(__xludf.dummyfunction("IF(I2663="""", """", REGEXEXTRACT(I2663, ""Padrao/([^/]+)""))"),"Jardim Palma Travassos")</f>
        <v>Jardim Palma Travassos</v>
      </c>
    </row>
    <row r="2644" customFormat="false" ht="15.75" hidden="false" customHeight="false" outlineLevel="0" collapsed="false">
      <c r="A2644" s="2" t="n">
        <v>200960</v>
      </c>
      <c r="B2644" s="2" t="s">
        <v>2184</v>
      </c>
      <c r="C2644" s="2" t="n">
        <v>1</v>
      </c>
      <c r="D2644" s="2" t="n">
        <v>2</v>
      </c>
      <c r="E2644" s="2" t="n">
        <v>1</v>
      </c>
      <c r="F2644" s="2" t="n">
        <v>37</v>
      </c>
      <c r="G2644" s="2" t="s">
        <v>554</v>
      </c>
      <c r="H2644" s="2" t="str">
        <f aca="false">IFERROR(__xludf.dummyfunction("IF(I2664="""", """", REGEXEXTRACT(I2664, ""Padrao/([^/]+)""))"),"Jardim Iraja")</f>
        <v>Jardim Iraja</v>
      </c>
    </row>
    <row r="2645" customFormat="false" ht="15.75" hidden="false" customHeight="false" outlineLevel="0" collapsed="false">
      <c r="A2645" s="2" t="n">
        <v>198044</v>
      </c>
      <c r="B2645" s="2" t="s">
        <v>2185</v>
      </c>
      <c r="C2645" s="2" t="n">
        <v>3</v>
      </c>
      <c r="D2645" s="2" t="n">
        <v>2</v>
      </c>
      <c r="E2645" s="2" t="n">
        <v>1</v>
      </c>
      <c r="F2645" s="2" t="n">
        <v>66</v>
      </c>
      <c r="G2645" s="2" t="s">
        <v>554</v>
      </c>
      <c r="H2645" s="2" t="str">
        <f aca="false">IFERROR(__xludf.dummyfunction("IF(I2665="""", """", REGEXEXTRACT(I2665, ""Padrao/([^/]+)""))"),"Parque Industrial Lagoinha")</f>
        <v>Parque Industrial Lagoinha</v>
      </c>
    </row>
    <row r="2646" customFormat="false" ht="15.75" hidden="false" customHeight="false" outlineLevel="0" collapsed="false">
      <c r="A2646" s="2" t="n">
        <v>197069</v>
      </c>
      <c r="B2646" s="2" t="s">
        <v>2186</v>
      </c>
      <c r="C2646" s="2" t="n">
        <v>2</v>
      </c>
      <c r="D2646" s="2" t="n">
        <v>1</v>
      </c>
      <c r="E2646" s="2" t="n">
        <v>1</v>
      </c>
      <c r="F2646" s="2" t="n">
        <v>43</v>
      </c>
      <c r="G2646" s="2" t="s">
        <v>554</v>
      </c>
      <c r="H2646" s="2" t="str">
        <f aca="false">IFERROR(__xludf.dummyfunction("IF(I2666="""", """", REGEXEXTRACT(I2666, ""Padrao/([^/]+)""))"),"Loteamento Santa Marta")</f>
        <v>Loteamento Santa Marta</v>
      </c>
    </row>
    <row r="2647" customFormat="false" ht="15.75" hidden="false" customHeight="false" outlineLevel="0" collapsed="false">
      <c r="A2647" s="2" t="n">
        <v>195773</v>
      </c>
      <c r="B2647" s="2" t="s">
        <v>2187</v>
      </c>
      <c r="C2647" s="2" t="n">
        <v>2</v>
      </c>
      <c r="D2647" s="2" t="n">
        <v>1</v>
      </c>
      <c r="E2647" s="2" t="n">
        <v>1</v>
      </c>
      <c r="F2647" s="2" t="n">
        <v>47</v>
      </c>
      <c r="G2647" s="2" t="s">
        <v>554</v>
      </c>
      <c r="H2647" s="2" t="str">
        <f aca="false">IFERROR(__xludf.dummyfunction("IF(I2667="""", """", REGEXEXTRACT(I2667, ""Padrao/([^/]+)""))"),"City Ribeirao")</f>
        <v>City Ribeirao</v>
      </c>
    </row>
    <row r="2648" customFormat="false" ht="15.75" hidden="false" customHeight="false" outlineLevel="0" collapsed="false">
      <c r="A2648" s="2" t="n">
        <v>195686</v>
      </c>
      <c r="B2648" s="2" t="s">
        <v>2188</v>
      </c>
      <c r="C2648" s="2" t="n">
        <v>1</v>
      </c>
      <c r="D2648" s="2" t="n">
        <v>1</v>
      </c>
      <c r="E2648" s="2" t="n">
        <v>1</v>
      </c>
      <c r="F2648" s="2" t="n">
        <v>45</v>
      </c>
      <c r="G2648" s="2" t="s">
        <v>554</v>
      </c>
      <c r="H2648" s="2" t="str">
        <f aca="false">IFERROR(__xludf.dummyfunction("IF(I2668="""", """", REGEXEXTRACT(I2668, ""Padrao/([^/]+)""))"),"Iguatemi")</f>
        <v>Iguatemi</v>
      </c>
    </row>
    <row r="2649" customFormat="false" ht="15.75" hidden="false" customHeight="false" outlineLevel="0" collapsed="false">
      <c r="A2649" s="2" t="n">
        <v>194603</v>
      </c>
      <c r="B2649" s="2" t="s">
        <v>162</v>
      </c>
      <c r="C2649" s="2" t="n">
        <v>2</v>
      </c>
      <c r="D2649" s="2" t="n">
        <v>1</v>
      </c>
      <c r="E2649" s="2" t="n">
        <v>1</v>
      </c>
      <c r="F2649" s="2" t="n">
        <v>47</v>
      </c>
      <c r="G2649" s="2" t="s">
        <v>554</v>
      </c>
      <c r="H2649" s="2" t="str">
        <f aca="false">IFERROR(__xludf.dummyfunction("IF(I2669="""", """", REGEXEXTRACT(I2669, ""Padrao/([^/]+)""))"),"Alto da Boa Vista")</f>
        <v>Alto da Boa Vista</v>
      </c>
    </row>
    <row r="2650" customFormat="false" ht="15.75" hidden="false" customHeight="false" outlineLevel="0" collapsed="false">
      <c r="A2650" s="2" t="n">
        <v>192791</v>
      </c>
      <c r="B2650" s="2" t="s">
        <v>2189</v>
      </c>
      <c r="C2650" s="2" t="n">
        <v>3</v>
      </c>
      <c r="D2650" s="2" t="n">
        <v>2</v>
      </c>
      <c r="E2650" s="2" t="n">
        <v>2</v>
      </c>
      <c r="F2650" s="2" t="n">
        <v>71</v>
      </c>
      <c r="G2650" s="2" t="s">
        <v>554</v>
      </c>
      <c r="H2650" s="2" t="str">
        <f aca="false">IFERROR(__xludf.dummyfunction("IF(I2670="""", """", REGEXEXTRACT(I2670, ""Padrao/([^/]+)""))"),"Presidente Medici")</f>
        <v>Presidente Medici</v>
      </c>
    </row>
    <row r="2651" customFormat="false" ht="15.75" hidden="false" customHeight="false" outlineLevel="0" collapsed="false">
      <c r="A2651" s="2" t="n">
        <v>192788</v>
      </c>
      <c r="B2651" s="2" t="s">
        <v>2190</v>
      </c>
      <c r="C2651" s="2" t="n">
        <v>2</v>
      </c>
      <c r="D2651" s="2" t="n">
        <v>2</v>
      </c>
      <c r="E2651" s="2" t="n">
        <v>1</v>
      </c>
      <c r="F2651" s="2" t="n">
        <v>57</v>
      </c>
      <c r="G2651" s="2" t="s">
        <v>554</v>
      </c>
      <c r="H2651" s="2" t="str">
        <f aca="false">IFERROR(__xludf.dummyfunction("IF(I2671="""", """", REGEXEXTRACT(I2671, ""Padrao/([^/]+)""))"),"Jardim Paulista")</f>
        <v>Jardim Paulista</v>
      </c>
    </row>
    <row r="2652" customFormat="false" ht="15.75" hidden="false" customHeight="false" outlineLevel="0" collapsed="false">
      <c r="A2652" s="2" t="n">
        <v>192503</v>
      </c>
      <c r="B2652" s="2" t="s">
        <v>2191</v>
      </c>
      <c r="C2652" s="2" t="n">
        <v>2</v>
      </c>
      <c r="D2652" s="2" t="n">
        <v>2</v>
      </c>
      <c r="E2652" s="2" t="n">
        <v>1</v>
      </c>
      <c r="F2652" s="2" t="n">
        <v>81</v>
      </c>
      <c r="G2652" s="2" t="s">
        <v>554</v>
      </c>
      <c r="H2652" s="2" t="str">
        <f aca="false">IFERROR(__xludf.dummyfunction("IF(I2672="""", """", REGEXEXTRACT(I2672, ""Padrao/([^/]+)""))"),"Nova Ribeirania")</f>
        <v>Nova Ribeirania</v>
      </c>
    </row>
    <row r="2653" customFormat="false" ht="15.75" hidden="false" customHeight="false" outlineLevel="0" collapsed="false">
      <c r="A2653" s="2" t="n">
        <v>192134</v>
      </c>
      <c r="B2653" s="2" t="s">
        <v>2192</v>
      </c>
      <c r="C2653" s="2" t="n">
        <v>2</v>
      </c>
      <c r="D2653" s="2" t="n">
        <v>1</v>
      </c>
      <c r="E2653" s="2" t="n">
        <v>1</v>
      </c>
      <c r="F2653" s="2" t="n">
        <v>98</v>
      </c>
      <c r="G2653" s="2" t="s">
        <v>554</v>
      </c>
      <c r="H2653" s="2" t="str">
        <f aca="false">IFERROR(__xludf.dummyfunction("IF(I2673="""", """", REGEXEXTRACT(I2673, ""Padrao/([^/]+)""))"),"Condominio Mirante Sul")</f>
        <v>Condominio Mirante Sul</v>
      </c>
    </row>
    <row r="2654" customFormat="false" ht="15.75" hidden="false" customHeight="false" outlineLevel="0" collapsed="false">
      <c r="A2654" s="2" t="n">
        <v>189530</v>
      </c>
      <c r="B2654" s="2" t="s">
        <v>2172</v>
      </c>
      <c r="C2654" s="2" t="n">
        <v>1</v>
      </c>
      <c r="D2654" s="2" t="n">
        <v>1</v>
      </c>
      <c r="E2654" s="2" t="n">
        <v>1</v>
      </c>
      <c r="F2654" s="2" t="n">
        <v>44</v>
      </c>
      <c r="G2654" s="2" t="s">
        <v>554</v>
      </c>
      <c r="H2654" s="2" t="str">
        <f aca="false">IFERROR(__xludf.dummyfunction("IF(I2674="""", """", REGEXEXTRACT(I2674, ""Padrao/([^/]+)""))"),"Jardim Paulista")</f>
        <v>Jardim Paulista</v>
      </c>
    </row>
    <row r="2655" customFormat="false" ht="15.75" hidden="false" customHeight="false" outlineLevel="0" collapsed="false">
      <c r="A2655" s="2" t="n">
        <v>188561</v>
      </c>
      <c r="B2655" s="2" t="s">
        <v>2193</v>
      </c>
      <c r="C2655" s="2" t="n">
        <v>2</v>
      </c>
      <c r="D2655" s="2" t="n">
        <v>2</v>
      </c>
      <c r="E2655" s="2" t="n">
        <v>1</v>
      </c>
      <c r="F2655" s="2" t="n">
        <v>69</v>
      </c>
      <c r="G2655" s="2" t="s">
        <v>554</v>
      </c>
      <c r="H2655" s="2" t="str">
        <f aca="false">IFERROR(__xludf.dummyfunction("IF(I2675="""", """", REGEXEXTRACT(I2675, ""Padrao/([^/]+)""))"),"Parque dos Bandeirantes")</f>
        <v>Parque dos Bandeirantes</v>
      </c>
    </row>
    <row r="2656" customFormat="false" ht="15.75" hidden="false" customHeight="false" outlineLevel="0" collapsed="false">
      <c r="A2656" s="2" t="n">
        <v>188450</v>
      </c>
      <c r="B2656" s="2" t="s">
        <v>1327</v>
      </c>
      <c r="C2656" s="2" t="n">
        <v>2</v>
      </c>
      <c r="D2656" s="2" t="n">
        <v>2</v>
      </c>
      <c r="E2656" s="2" t="n">
        <v>1</v>
      </c>
      <c r="F2656" s="2" t="n">
        <v>56</v>
      </c>
      <c r="G2656" s="2" t="s">
        <v>554</v>
      </c>
      <c r="H2656" s="2" t="str">
        <f aca="false">IFERROR(__xludf.dummyfunction("IF(I2676="""", """", REGEXEXTRACT(I2676, ""Padrao/([^/]+)""))"),"Chacaras Pedro Correa de Carvalho")</f>
        <v>Chacaras Pedro Correa de Carvalho</v>
      </c>
    </row>
    <row r="2657" customFormat="false" ht="15.75" hidden="false" customHeight="false" outlineLevel="0" collapsed="false">
      <c r="A2657" s="2" t="n">
        <v>187577</v>
      </c>
      <c r="B2657" s="2" t="s">
        <v>2194</v>
      </c>
      <c r="C2657" s="2" t="n">
        <v>1</v>
      </c>
      <c r="D2657" s="2" t="n">
        <v>1</v>
      </c>
      <c r="E2657" s="2" t="n">
        <v>1</v>
      </c>
      <c r="F2657" s="2" t="n">
        <v>55</v>
      </c>
      <c r="G2657" s="2" t="s">
        <v>554</v>
      </c>
      <c r="H2657" s="2" t="str">
        <f aca="false">IFERROR(__xludf.dummyfunction("IF(I2677="""", """", REGEXEXTRACT(I2677, ""Padrao/([^/]+)""))"),"Centro")</f>
        <v>Centro</v>
      </c>
    </row>
    <row r="2658" customFormat="false" ht="15.75" hidden="false" customHeight="false" outlineLevel="0" collapsed="false">
      <c r="A2658" s="2" t="n">
        <v>183818</v>
      </c>
      <c r="B2658" s="2" t="s">
        <v>2195</v>
      </c>
      <c r="C2658" s="2" t="n">
        <v>3</v>
      </c>
      <c r="D2658" s="2" t="n">
        <v>2</v>
      </c>
      <c r="E2658" s="2" t="n">
        <v>1</v>
      </c>
      <c r="F2658" s="2" t="n">
        <v>73</v>
      </c>
      <c r="G2658" s="2" t="s">
        <v>554</v>
      </c>
      <c r="H2658" s="2" t="str">
        <f aca="false">IFERROR(__xludf.dummyfunction("IF(I2678="""", """", REGEXEXTRACT(I2678, ""Padrao/([^/]+)""))"),"Campos Eliseos")</f>
        <v>Campos Eliseos</v>
      </c>
    </row>
    <row r="2659" customFormat="false" ht="15.75" hidden="false" customHeight="false" outlineLevel="0" collapsed="false">
      <c r="A2659" s="2" t="n">
        <v>183563</v>
      </c>
      <c r="B2659" s="2" t="s">
        <v>1060</v>
      </c>
      <c r="C2659" s="2" t="n">
        <v>2</v>
      </c>
      <c r="D2659" s="2" t="n">
        <v>1</v>
      </c>
      <c r="E2659" s="2" t="n">
        <v>1</v>
      </c>
      <c r="F2659" s="2" t="n">
        <v>49</v>
      </c>
      <c r="G2659" s="2" t="s">
        <v>554</v>
      </c>
      <c r="H2659" s="2" t="str">
        <f aca="false">IFERROR(__xludf.dummyfunction("IF(I2679="""", """", REGEXEXTRACT(I2679, ""Padrao/([^/]+)""))"),"Ribeirania")</f>
        <v>Ribeirania</v>
      </c>
    </row>
    <row r="2660" customFormat="false" ht="15.75" hidden="false" customHeight="false" outlineLevel="0" collapsed="false">
      <c r="A2660" s="2" t="n">
        <v>183497</v>
      </c>
      <c r="B2660" s="2" t="s">
        <v>2196</v>
      </c>
      <c r="C2660" s="2" t="n">
        <v>2</v>
      </c>
      <c r="D2660" s="2" t="n">
        <v>2</v>
      </c>
      <c r="E2660" s="2" t="n">
        <v>1</v>
      </c>
      <c r="F2660" s="2" t="n">
        <v>65</v>
      </c>
      <c r="G2660" s="2" t="s">
        <v>554</v>
      </c>
      <c r="H2660" s="2" t="str">
        <f aca="false">IFERROR(__xludf.dummyfunction("IF(I2680="""", """", REGEXEXTRACT(I2680, ""Padrao/([^/]+)""))"),"Centro")</f>
        <v>Centro</v>
      </c>
    </row>
    <row r="2661" customFormat="false" ht="15.75" hidden="false" customHeight="false" outlineLevel="0" collapsed="false">
      <c r="A2661" s="2" t="n">
        <v>180518</v>
      </c>
      <c r="B2661" s="2" t="s">
        <v>162</v>
      </c>
      <c r="C2661" s="2" t="n">
        <v>3</v>
      </c>
      <c r="D2661" s="2" t="n">
        <v>2</v>
      </c>
      <c r="E2661" s="2" t="n">
        <v>1</v>
      </c>
      <c r="F2661" s="2" t="n">
        <v>85</v>
      </c>
      <c r="G2661" s="2" t="s">
        <v>554</v>
      </c>
      <c r="H2661" s="2" t="str">
        <f aca="false">IFERROR(__xludf.dummyfunction("IF(I2681="""", """", REGEXEXTRACT(I2681, ""Padrao/([^/]+)""))"),"Residencial e Comercial Palmares")</f>
        <v>Residencial e Comercial Palmares</v>
      </c>
    </row>
    <row r="2662" customFormat="false" ht="15.75" hidden="false" customHeight="false" outlineLevel="0" collapsed="false">
      <c r="A2662" s="2" t="n">
        <v>180020</v>
      </c>
      <c r="B2662" s="2" t="s">
        <v>748</v>
      </c>
      <c r="C2662" s="2" t="n">
        <v>2</v>
      </c>
      <c r="D2662" s="2" t="n">
        <v>1</v>
      </c>
      <c r="E2662" s="2" t="n">
        <v>1</v>
      </c>
      <c r="F2662" s="2" t="n">
        <v>54</v>
      </c>
      <c r="G2662" s="2" t="s">
        <v>554</v>
      </c>
      <c r="H2662" s="2" t="str">
        <f aca="false">IFERROR(__xludf.dummyfunction("IF(I2682="""", """", REGEXEXTRACT(I2682, ""Padrao/([^/]+)""))"),"Parque Sao Sebastiao")</f>
        <v>Parque Sao Sebastiao</v>
      </c>
    </row>
    <row r="2663" customFormat="false" ht="15.75" hidden="false" customHeight="false" outlineLevel="0" collapsed="false">
      <c r="A2663" s="2" t="n">
        <v>179804</v>
      </c>
      <c r="B2663" s="2" t="s">
        <v>2197</v>
      </c>
      <c r="C2663" s="2" t="n">
        <v>2</v>
      </c>
      <c r="D2663" s="2" t="n">
        <v>1</v>
      </c>
      <c r="E2663" s="2" t="n">
        <v>1</v>
      </c>
      <c r="F2663" s="2" t="n">
        <v>58</v>
      </c>
      <c r="G2663" s="2" t="s">
        <v>554</v>
      </c>
      <c r="H2663" s="2" t="str">
        <f aca="false">IFERROR(__xludf.dummyfunction("IF(I2683="""", """", REGEXEXTRACT(I2683, ""Padrao/([^/]+)""))"),"Campos Eliseos")</f>
        <v>Campos Eliseos</v>
      </c>
    </row>
    <row r="2664" customFormat="false" ht="15.75" hidden="false" customHeight="false" outlineLevel="0" collapsed="false">
      <c r="A2664" s="2" t="n">
        <v>178931</v>
      </c>
      <c r="B2664" s="2" t="s">
        <v>2198</v>
      </c>
      <c r="C2664" s="2" t="n">
        <v>2</v>
      </c>
      <c r="D2664" s="2" t="n">
        <v>2</v>
      </c>
      <c r="E2664" s="2" t="n">
        <v>1</v>
      </c>
      <c r="F2664" s="2" t="n">
        <v>72</v>
      </c>
      <c r="G2664" s="2" t="s">
        <v>554</v>
      </c>
      <c r="H2664" s="2" t="str">
        <f aca="false">IFERROR(__xludf.dummyfunction("IF(I2684="""", """", REGEXEXTRACT(I2684, ""Padrao/([^/]+)""))"),"Presidente Medici")</f>
        <v>Presidente Medici</v>
      </c>
    </row>
    <row r="2665" customFormat="false" ht="15.75" hidden="false" customHeight="false" outlineLevel="0" collapsed="false">
      <c r="A2665" s="2" t="n">
        <v>177557</v>
      </c>
      <c r="B2665" s="2" t="s">
        <v>2199</v>
      </c>
      <c r="C2665" s="2" t="n">
        <v>2</v>
      </c>
      <c r="D2665" s="2" t="n">
        <v>1</v>
      </c>
      <c r="E2665" s="2" t="n">
        <v>1</v>
      </c>
      <c r="F2665" s="2" t="n">
        <v>45</v>
      </c>
      <c r="G2665" s="2" t="s">
        <v>554</v>
      </c>
      <c r="H2665" s="2" t="str">
        <f aca="false">IFERROR(__xludf.dummyfunction("IF(I2685="""", """", REGEXEXTRACT(I2685, ""Padrao/([^/]+)""))"),"Vila Virginia")</f>
        <v>Vila Virginia</v>
      </c>
    </row>
    <row r="2666" customFormat="false" ht="15.75" hidden="false" customHeight="false" outlineLevel="0" collapsed="false">
      <c r="A2666" s="2" t="n">
        <v>177491</v>
      </c>
      <c r="B2666" s="2" t="s">
        <v>2200</v>
      </c>
      <c r="C2666" s="2" t="n">
        <v>2</v>
      </c>
      <c r="D2666" s="2" t="n">
        <v>1</v>
      </c>
      <c r="E2666" s="2" t="n">
        <v>1</v>
      </c>
      <c r="F2666" s="2" t="n">
        <v>50</v>
      </c>
      <c r="G2666" s="2" t="s">
        <v>554</v>
      </c>
      <c r="H2666" s="2" t="str">
        <f aca="false">IFERROR(__xludf.dummyfunction("IF(I2686="""", """", REGEXEXTRACT(I2686, ""Padrao/([^/]+)""))"),"Alto do Ipiranga")</f>
        <v>Alto do Ipiranga</v>
      </c>
    </row>
    <row r="2667" customFormat="false" ht="15.75" hidden="false" customHeight="false" outlineLevel="0" collapsed="false">
      <c r="A2667" s="2" t="n">
        <v>177320</v>
      </c>
      <c r="B2667" s="2" t="s">
        <v>958</v>
      </c>
      <c r="C2667" s="2" t="n">
        <v>2</v>
      </c>
      <c r="D2667" s="2" t="n">
        <v>1</v>
      </c>
      <c r="E2667" s="2" t="n">
        <v>1</v>
      </c>
      <c r="F2667" s="2" t="n">
        <v>42</v>
      </c>
      <c r="G2667" s="2" t="s">
        <v>554</v>
      </c>
      <c r="H2667" s="2" t="str">
        <f aca="false">IFERROR(__xludf.dummyfunction("IF(I2687="""", """", REGEXEXTRACT(I2687, ""Padrao/([^/]+)""))"),"Parque Industrial Lagoinha")</f>
        <v>Parque Industrial Lagoinha</v>
      </c>
    </row>
    <row r="2668" customFormat="false" ht="15.75" hidden="false" customHeight="false" outlineLevel="0" collapsed="false">
      <c r="A2668" s="2" t="n">
        <v>177026</v>
      </c>
      <c r="B2668" s="2" t="s">
        <v>2201</v>
      </c>
      <c r="C2668" s="2" t="n">
        <v>2</v>
      </c>
      <c r="D2668" s="2" t="n">
        <v>1</v>
      </c>
      <c r="E2668" s="2" t="n">
        <v>1</v>
      </c>
      <c r="F2668" s="2" t="n">
        <v>46</v>
      </c>
      <c r="G2668" s="2" t="s">
        <v>554</v>
      </c>
      <c r="H2668" s="2" t="str">
        <f aca="false">IFERROR(__xludf.dummyfunction("IF(I2688="""", """", REGEXEXTRACT(I2688, ""Padrao/([^/]+)""))"),"Recreio das Acacias")</f>
        <v>Recreio das Acacias</v>
      </c>
    </row>
    <row r="2669" customFormat="false" ht="15.75" hidden="false" customHeight="false" outlineLevel="0" collapsed="false">
      <c r="A2669" s="2" t="n">
        <v>174404</v>
      </c>
      <c r="B2669" s="2" t="s">
        <v>602</v>
      </c>
      <c r="C2669" s="2" t="n">
        <v>1</v>
      </c>
      <c r="D2669" s="2" t="n">
        <v>1</v>
      </c>
      <c r="E2669" s="2" t="n">
        <v>1</v>
      </c>
      <c r="F2669" s="2" t="n">
        <v>63</v>
      </c>
      <c r="G2669" s="2" t="s">
        <v>554</v>
      </c>
      <c r="H2669" s="2" t="str">
        <f aca="false">IFERROR(__xludf.dummyfunction("IF(I2689="""", """", REGEXEXTRACT(I2689, ""Padrao/([^/]+)""))"),"Centro")</f>
        <v>Centro</v>
      </c>
    </row>
    <row r="2670" customFormat="false" ht="15.75" hidden="false" customHeight="false" outlineLevel="0" collapsed="false">
      <c r="A2670" s="2" t="n">
        <v>171128</v>
      </c>
      <c r="B2670" s="2" t="s">
        <v>2202</v>
      </c>
      <c r="C2670" s="2" t="n">
        <v>1</v>
      </c>
      <c r="D2670" s="2" t="n">
        <v>1</v>
      </c>
      <c r="E2670" s="2" t="n">
        <v>1</v>
      </c>
      <c r="F2670" s="2" t="n">
        <v>46</v>
      </c>
      <c r="G2670" s="2" t="s">
        <v>554</v>
      </c>
      <c r="H2670" s="2" t="str">
        <f aca="false">IFERROR(__xludf.dummyfunction("IF(I2690="""", """", REGEXEXTRACT(I2690, ""Padrao/([^/]+)""))"),"Centro")</f>
        <v>Centro</v>
      </c>
    </row>
    <row r="2671" customFormat="false" ht="15.75" hidden="false" customHeight="false" outlineLevel="0" collapsed="false">
      <c r="A2671" s="2" t="n">
        <v>171116</v>
      </c>
      <c r="B2671" s="2" t="s">
        <v>1221</v>
      </c>
      <c r="C2671" s="2" t="n">
        <v>2</v>
      </c>
      <c r="D2671" s="2" t="n">
        <v>1</v>
      </c>
      <c r="E2671" s="2" t="n">
        <v>1</v>
      </c>
      <c r="F2671" s="2" t="n">
        <v>48</v>
      </c>
      <c r="G2671" s="2" t="s">
        <v>554</v>
      </c>
      <c r="H2671" s="2" t="str">
        <f aca="false">IFERROR(__xludf.dummyfunction("IF(I2691="""", """", REGEXEXTRACT(I2691, ""Padrao/([^/]+)""))"),"Condominio Mirante Sul")</f>
        <v>Condominio Mirante Sul</v>
      </c>
    </row>
    <row r="2672" customFormat="false" ht="15.75" hidden="false" customHeight="false" outlineLevel="0" collapsed="false">
      <c r="A2672" s="2" t="n">
        <v>170315</v>
      </c>
      <c r="B2672" s="2" t="s">
        <v>1221</v>
      </c>
      <c r="C2672" s="2" t="n">
        <v>2</v>
      </c>
      <c r="D2672" s="2" t="n">
        <v>1</v>
      </c>
      <c r="E2672" s="2" t="n">
        <v>1</v>
      </c>
      <c r="F2672" s="2" t="n">
        <v>42</v>
      </c>
      <c r="G2672" s="2" t="s">
        <v>554</v>
      </c>
      <c r="H2672" s="2" t="str">
        <f aca="false">IFERROR(__xludf.dummyfunction("IF(I2692="""", """", REGEXEXTRACT(I2692, ""Padrao/([^/]+)""))"),"Jardim Santa Cecilia")</f>
        <v>Jardim Santa Cecilia</v>
      </c>
    </row>
    <row r="2673" customFormat="false" ht="15.75" hidden="false" customHeight="false" outlineLevel="0" collapsed="false">
      <c r="A2673" s="2" t="n">
        <v>168866</v>
      </c>
      <c r="B2673" s="2" t="s">
        <v>2203</v>
      </c>
      <c r="C2673" s="2" t="n">
        <v>2</v>
      </c>
      <c r="D2673" s="2" t="n">
        <v>1</v>
      </c>
      <c r="E2673" s="2" t="n">
        <v>1</v>
      </c>
      <c r="F2673" s="2" t="n">
        <v>49</v>
      </c>
      <c r="G2673" s="2" t="s">
        <v>554</v>
      </c>
      <c r="H2673" s="2" t="str">
        <f aca="false">IFERROR(__xludf.dummyfunction("IF(I2693="""", """", REGEXEXTRACT(I2693, ""Padrao/([^/]+)""))"),"Ipiranga")</f>
        <v>Ipiranga</v>
      </c>
    </row>
    <row r="2674" customFormat="false" ht="15.75" hidden="false" customHeight="false" outlineLevel="0" collapsed="false">
      <c r="A2674" s="2" t="n">
        <v>166331</v>
      </c>
      <c r="B2674" s="2" t="s">
        <v>2204</v>
      </c>
      <c r="C2674" s="2" t="n">
        <v>1</v>
      </c>
      <c r="D2674" s="2" t="n">
        <v>1</v>
      </c>
      <c r="E2674" s="2" t="n">
        <v>1</v>
      </c>
      <c r="F2674" s="2" t="n">
        <v>47</v>
      </c>
      <c r="G2674" s="2" t="s">
        <v>554</v>
      </c>
      <c r="H2674" s="2" t="str">
        <f aca="false">IFERROR(__xludf.dummyfunction("IF(I2694="""", """", REGEXEXTRACT(I2694, ""Padrao/([^/]+)""))"),"Vila Seixas")</f>
        <v>Vila Seixas</v>
      </c>
    </row>
    <row r="2675" customFormat="false" ht="15.75" hidden="false" customHeight="false" outlineLevel="0" collapsed="false">
      <c r="A2675" s="2" t="n">
        <v>162116</v>
      </c>
      <c r="B2675" s="2" t="s">
        <v>2205</v>
      </c>
      <c r="C2675" s="2" t="n">
        <v>1</v>
      </c>
      <c r="D2675" s="2" t="n">
        <v>1</v>
      </c>
      <c r="E2675" s="2" t="n">
        <v>1</v>
      </c>
      <c r="F2675" s="2" t="n">
        <v>42</v>
      </c>
      <c r="G2675" s="2" t="s">
        <v>554</v>
      </c>
      <c r="H2675" s="2" t="str">
        <f aca="false">IFERROR(__xludf.dummyfunction("IF(I2695="""", """", REGEXEXTRACT(I2695, ""Padrao/([^/]+)""))"),"Nova Alianca")</f>
        <v>Nova Alianca</v>
      </c>
    </row>
    <row r="2676" customFormat="false" ht="15.75" hidden="false" customHeight="false" outlineLevel="0" collapsed="false">
      <c r="A2676" s="2" t="n">
        <v>159407</v>
      </c>
      <c r="B2676" s="2" t="s">
        <v>2206</v>
      </c>
      <c r="C2676" s="2" t="n">
        <v>2</v>
      </c>
      <c r="D2676" s="2" t="n">
        <v>1</v>
      </c>
      <c r="E2676" s="2" t="n">
        <v>1</v>
      </c>
      <c r="F2676" s="2" t="n">
        <v>78</v>
      </c>
      <c r="G2676" s="2" t="s">
        <v>554</v>
      </c>
      <c r="H2676" s="2" t="str">
        <f aca="false">IFERROR(__xludf.dummyfunction("IF(I2696="""", """", REGEXEXTRACT(I2696, ""Padrao/([^/]+)""))"),"Alto da Boa Vista")</f>
        <v>Alto da Boa Vista</v>
      </c>
    </row>
    <row r="2677" customFormat="false" ht="15.75" hidden="false" customHeight="false" outlineLevel="0" collapsed="false">
      <c r="A2677" s="2" t="n">
        <v>159368</v>
      </c>
      <c r="B2677" s="2" t="s">
        <v>2207</v>
      </c>
      <c r="C2677" s="2" t="n">
        <v>2</v>
      </c>
      <c r="D2677" s="2" t="n">
        <v>2</v>
      </c>
      <c r="E2677" s="2" t="n">
        <v>1</v>
      </c>
      <c r="F2677" s="2" t="n">
        <v>76</v>
      </c>
      <c r="G2677" s="2" t="s">
        <v>554</v>
      </c>
      <c r="H2677" s="2" t="str">
        <f aca="false">IFERROR(__xludf.dummyfunction("IF(I2697="""", """", REGEXEXTRACT(I2697, ""Padrao/([^/]+)""))"),"Alto do Ipiranga")</f>
        <v>Alto do Ipiranga</v>
      </c>
    </row>
    <row r="2678" customFormat="false" ht="15.75" hidden="false" customHeight="false" outlineLevel="0" collapsed="false">
      <c r="A2678" s="2" t="n">
        <v>158420</v>
      </c>
      <c r="B2678" s="2" t="s">
        <v>2208</v>
      </c>
      <c r="C2678" s="2" t="n">
        <v>2</v>
      </c>
      <c r="D2678" s="2" t="n">
        <v>1</v>
      </c>
      <c r="E2678" s="2" t="n">
        <v>1</v>
      </c>
      <c r="F2678" s="2" t="n">
        <v>53</v>
      </c>
      <c r="G2678" s="2" t="s">
        <v>554</v>
      </c>
      <c r="H2678" s="2" t="str">
        <f aca="false">IFERROR(__xludf.dummyfunction("IF(I2698="""", """", REGEXEXTRACT(I2698, ""Padrao/([^/]+)""))"),"Jardim Zara")</f>
        <v>Jardim Zara</v>
      </c>
    </row>
    <row r="2679" customFormat="false" ht="15.75" hidden="false" customHeight="false" outlineLevel="0" collapsed="false">
      <c r="A2679" s="2" t="n">
        <v>158237</v>
      </c>
      <c r="B2679" s="2" t="s">
        <v>1848</v>
      </c>
      <c r="C2679" s="2" t="n">
        <v>2</v>
      </c>
      <c r="D2679" s="2" t="n">
        <v>1</v>
      </c>
      <c r="E2679" s="2" t="n">
        <v>1</v>
      </c>
      <c r="F2679" s="2" t="n">
        <v>49</v>
      </c>
      <c r="G2679" s="2" t="s">
        <v>554</v>
      </c>
      <c r="H2679" s="2" t="str">
        <f aca="false">IFERROR(__xludf.dummyfunction("IF(I2699="""", """", REGEXEXTRACT(I2699, ""Padrao/([^/]+)""))"),"Campos Eliseos")</f>
        <v>Campos Eliseos</v>
      </c>
    </row>
    <row r="2680" customFormat="false" ht="15.75" hidden="false" customHeight="false" outlineLevel="0" collapsed="false">
      <c r="A2680" s="2" t="n">
        <v>156317</v>
      </c>
      <c r="B2680" s="2" t="s">
        <v>2209</v>
      </c>
      <c r="C2680" s="2" t="n">
        <v>1</v>
      </c>
      <c r="D2680" s="2" t="n">
        <v>1</v>
      </c>
      <c r="E2680" s="2" t="n">
        <v>1</v>
      </c>
      <c r="F2680" s="2" t="n">
        <v>37</v>
      </c>
      <c r="G2680" s="2" t="s">
        <v>554</v>
      </c>
      <c r="H2680" s="2" t="str">
        <f aca="false">IFERROR(__xludf.dummyfunction("IF(I2700="""", """", REGEXEXTRACT(I2700, ""Padrao/([^/]+)""))"),"Nova Alianca")</f>
        <v>Nova Alianca</v>
      </c>
    </row>
    <row r="2681" customFormat="false" ht="15.75" hidden="false" customHeight="false" outlineLevel="0" collapsed="false">
      <c r="A2681" s="2" t="n">
        <v>155780</v>
      </c>
      <c r="B2681" s="2" t="s">
        <v>2210</v>
      </c>
      <c r="C2681" s="2" t="n">
        <v>1</v>
      </c>
      <c r="D2681" s="2" t="n">
        <v>1</v>
      </c>
      <c r="E2681" s="2" t="n">
        <v>1</v>
      </c>
      <c r="F2681" s="2" t="n">
        <v>40</v>
      </c>
      <c r="G2681" s="2" t="s">
        <v>554</v>
      </c>
      <c r="H2681" s="2" t="str">
        <f aca="false">IFERROR(__xludf.dummyfunction("IF(I2701="""", """", REGEXEXTRACT(I2701, ""Padrao/([^/]+)""))"),"Jardim Palma Travassos")</f>
        <v>Jardim Palma Travassos</v>
      </c>
    </row>
    <row r="2682" customFormat="false" ht="15.75" hidden="false" customHeight="false" outlineLevel="0" collapsed="false">
      <c r="A2682" s="2" t="n">
        <v>155357</v>
      </c>
      <c r="B2682" s="2" t="s">
        <v>2211</v>
      </c>
      <c r="C2682" s="2" t="n">
        <v>3</v>
      </c>
      <c r="D2682" s="2" t="n">
        <v>2</v>
      </c>
      <c r="E2682" s="2" t="n">
        <v>1</v>
      </c>
      <c r="F2682" s="2" t="n">
        <v>79</v>
      </c>
      <c r="G2682" s="2" t="s">
        <v>554</v>
      </c>
      <c r="H2682" s="2" t="str">
        <f aca="false">IFERROR(__xludf.dummyfunction("IF(I2703="""", """", REGEXEXTRACT(I2703, ""Padrao/([^/]+)""))"),"Jardim Mosteiro")</f>
        <v>Jardim Mosteiro</v>
      </c>
    </row>
    <row r="2683" customFormat="false" ht="15.75" hidden="false" customHeight="false" outlineLevel="0" collapsed="false">
      <c r="A2683" s="2" t="n">
        <v>154889</v>
      </c>
      <c r="B2683" s="2" t="s">
        <v>2212</v>
      </c>
      <c r="C2683" s="2" t="n">
        <v>1</v>
      </c>
      <c r="D2683" s="2" t="n">
        <v>1</v>
      </c>
      <c r="E2683" s="2" t="n">
        <v>1</v>
      </c>
      <c r="F2683" s="2" t="n">
        <v>39</v>
      </c>
      <c r="G2683" s="2" t="s">
        <v>554</v>
      </c>
      <c r="H2683" s="2" t="str">
        <f aca="false">IFERROR(__xludf.dummyfunction("IF(I2704="""", """", REGEXEXTRACT(I2704, ""Padrao/([^/]+)""))"),"Vila Ana Maria")</f>
        <v>Vila Ana Maria</v>
      </c>
    </row>
    <row r="2684" customFormat="false" ht="15.75" hidden="false" customHeight="false" outlineLevel="0" collapsed="false">
      <c r="A2684" s="2" t="n">
        <v>153830</v>
      </c>
      <c r="B2684" s="2" t="s">
        <v>2213</v>
      </c>
      <c r="C2684" s="2" t="n">
        <v>2</v>
      </c>
      <c r="D2684" s="2" t="n">
        <v>2</v>
      </c>
      <c r="E2684" s="2" t="n">
        <v>1</v>
      </c>
      <c r="F2684" s="2" t="n">
        <v>77</v>
      </c>
      <c r="G2684" s="2" t="s">
        <v>554</v>
      </c>
      <c r="H2684" s="2" t="str">
        <f aca="false">IFERROR(__xludf.dummyfunction("IF(I2705="""", """", REGEXEXTRACT(I2705, ""Padrao/([^/]+)""))"),"Parque dos Bandeirantes")</f>
        <v>Parque dos Bandeirantes</v>
      </c>
    </row>
    <row r="2685" customFormat="false" ht="15.75" hidden="false" customHeight="false" outlineLevel="0" collapsed="false">
      <c r="A2685" s="2" t="n">
        <v>152216</v>
      </c>
      <c r="B2685" s="2" t="s">
        <v>2214</v>
      </c>
      <c r="C2685" s="2" t="n">
        <v>2</v>
      </c>
      <c r="D2685" s="2" t="n">
        <v>2</v>
      </c>
      <c r="E2685" s="2" t="n">
        <v>2</v>
      </c>
      <c r="F2685" s="2" t="n">
        <v>64</v>
      </c>
      <c r="G2685" s="2" t="s">
        <v>554</v>
      </c>
      <c r="H2685" s="2" t="str">
        <f aca="false">IFERROR(__xludf.dummyfunction("IF(I2706="""", """", REGEXEXTRACT(I2706, ""Padrao/([^/]+)""))"),"Residencial e Comercial Palmares")</f>
        <v>Residencial e Comercial Palmares</v>
      </c>
    </row>
    <row r="2686" customFormat="false" ht="15.75" hidden="false" customHeight="false" outlineLevel="0" collapsed="false">
      <c r="A2686" s="2" t="n">
        <v>148382</v>
      </c>
      <c r="B2686" s="2" t="s">
        <v>2215</v>
      </c>
      <c r="C2686" s="2" t="n">
        <v>2</v>
      </c>
      <c r="D2686" s="2" t="n">
        <v>1</v>
      </c>
      <c r="E2686" s="2" t="n">
        <v>1</v>
      </c>
      <c r="F2686" s="2" t="n">
        <v>47</v>
      </c>
      <c r="G2686" s="2" t="s">
        <v>554</v>
      </c>
      <c r="H2686" s="2" t="str">
        <f aca="false">IFERROR(__xludf.dummyfunction("IF(I2708="""", """", REGEXEXTRACT(I2708, ""Padrao/([^/]+)""))"),"Jardim Paulistano")</f>
        <v>Jardim Paulistano</v>
      </c>
    </row>
    <row r="2687" customFormat="false" ht="15.75" hidden="false" customHeight="false" outlineLevel="0" collapsed="false">
      <c r="A2687" s="2" t="n">
        <v>148283</v>
      </c>
      <c r="B2687" s="2" t="s">
        <v>1632</v>
      </c>
      <c r="C2687" s="2" t="n">
        <v>2</v>
      </c>
      <c r="D2687" s="2" t="n">
        <v>1</v>
      </c>
      <c r="E2687" s="2" t="n">
        <v>1</v>
      </c>
      <c r="F2687" s="2" t="n">
        <v>42</v>
      </c>
      <c r="G2687" s="2" t="s">
        <v>554</v>
      </c>
      <c r="H2687" s="2" t="str">
        <f aca="false">IFERROR(__xludf.dummyfunction("IF(I2709="""", """", REGEXEXTRACT(I2709, ""Padrao/([^/]+)""))"),"Parque Industrial Lagoinha")</f>
        <v>Parque Industrial Lagoinha</v>
      </c>
    </row>
    <row r="2688" customFormat="false" ht="15.75" hidden="false" customHeight="false" outlineLevel="0" collapsed="false">
      <c r="A2688" s="2" t="n">
        <v>147248</v>
      </c>
      <c r="B2688" s="2" t="s">
        <v>2216</v>
      </c>
      <c r="C2688" s="2" t="n">
        <v>1</v>
      </c>
      <c r="D2688" s="2" t="n">
        <v>1</v>
      </c>
      <c r="E2688" s="2" t="n">
        <v>1</v>
      </c>
      <c r="F2688" s="2" t="n">
        <v>42</v>
      </c>
      <c r="G2688" s="2" t="s">
        <v>554</v>
      </c>
      <c r="H2688" s="2" t="str">
        <f aca="false">IFERROR(__xludf.dummyfunction("IF(I2710="""", """", REGEXEXTRACT(I2710, ""Padrao/([^/]+)""))"),"Vila Ana Maria")</f>
        <v>Vila Ana Maria</v>
      </c>
    </row>
    <row r="2689" customFormat="false" ht="15.75" hidden="false" customHeight="false" outlineLevel="0" collapsed="false">
      <c r="A2689" s="2" t="n">
        <v>145601</v>
      </c>
      <c r="B2689" s="2" t="s">
        <v>2217</v>
      </c>
      <c r="C2689" s="2" t="n">
        <v>2</v>
      </c>
      <c r="D2689" s="2" t="n">
        <v>2</v>
      </c>
      <c r="E2689" s="2" t="n">
        <v>2</v>
      </c>
      <c r="F2689" s="2" t="n">
        <v>64</v>
      </c>
      <c r="G2689" s="2" t="s">
        <v>554</v>
      </c>
      <c r="H2689" s="2" t="str">
        <f aca="false">IFERROR(__xludf.dummyfunction("IF(I2711="""", """", REGEXEXTRACT(I2711, ""Padrao/([^/]+)""))"),"Jardim Anhanguera")</f>
        <v>Jardim Anhanguera</v>
      </c>
    </row>
    <row r="2690" customFormat="false" ht="15.75" hidden="false" customHeight="false" outlineLevel="0" collapsed="false">
      <c r="A2690" s="2" t="n">
        <v>144668</v>
      </c>
      <c r="B2690" s="2" t="s">
        <v>2218</v>
      </c>
      <c r="C2690" s="2" t="n">
        <v>1</v>
      </c>
      <c r="D2690" s="2" t="n">
        <v>1</v>
      </c>
      <c r="E2690" s="2" t="n">
        <v>1</v>
      </c>
      <c r="F2690" s="2" t="n">
        <v>45</v>
      </c>
      <c r="G2690" s="2" t="s">
        <v>554</v>
      </c>
      <c r="H2690" s="2" t="str">
        <f aca="false">IFERROR(__xludf.dummyfunction("IF(I2712="""", """", REGEXEXTRACT(I2712, ""Padrao/([^/]+)""))"),"Nova Alianca")</f>
        <v>Nova Alianca</v>
      </c>
    </row>
    <row r="2691" customFormat="false" ht="15.75" hidden="false" customHeight="false" outlineLevel="0" collapsed="false">
      <c r="A2691" s="2" t="n">
        <v>144350</v>
      </c>
      <c r="B2691" s="2" t="s">
        <v>2219</v>
      </c>
      <c r="C2691" s="2" t="n">
        <v>2</v>
      </c>
      <c r="D2691" s="2" t="n">
        <v>3</v>
      </c>
      <c r="E2691" s="2" t="n">
        <v>2</v>
      </c>
      <c r="F2691" s="2" t="n">
        <v>69</v>
      </c>
      <c r="G2691" s="2" t="s">
        <v>554</v>
      </c>
      <c r="H2691" s="2" t="str">
        <f aca="false">IFERROR(__xludf.dummyfunction("IF(I2713="""", """", REGEXEXTRACT(I2713, ""Padrao/([^/]+)""))"),"Residencial Parque dos Servidores")</f>
        <v>Residencial Parque dos Servidores</v>
      </c>
    </row>
    <row r="2692" customFormat="false" ht="15.75" hidden="false" customHeight="false" outlineLevel="0" collapsed="false">
      <c r="A2692" s="2" t="n">
        <v>142838</v>
      </c>
      <c r="B2692" s="2" t="s">
        <v>2220</v>
      </c>
      <c r="C2692" s="2" t="n">
        <v>1</v>
      </c>
      <c r="D2692" s="2" t="n">
        <v>1</v>
      </c>
      <c r="E2692" s="2" t="n">
        <v>1</v>
      </c>
      <c r="F2692" s="2" t="n">
        <v>43</v>
      </c>
      <c r="G2692" s="2" t="s">
        <v>554</v>
      </c>
      <c r="H2692" s="2" t="str">
        <f aca="false">IFERROR(__xludf.dummyfunction("IF(I2714="""", """", REGEXEXTRACT(I2714, ""Padrao/([^/]+)""))"),"Vila Ana Maria")</f>
        <v>Vila Ana Maria</v>
      </c>
    </row>
    <row r="2693" customFormat="false" ht="15.75" hidden="false" customHeight="false" outlineLevel="0" collapsed="false">
      <c r="A2693" s="2" t="n">
        <v>141116</v>
      </c>
      <c r="B2693" s="2" t="s">
        <v>2221</v>
      </c>
      <c r="C2693" s="2" t="n">
        <v>3</v>
      </c>
      <c r="D2693" s="2" t="n">
        <v>3</v>
      </c>
      <c r="E2693" s="2" t="n">
        <v>1</v>
      </c>
      <c r="F2693" s="2" t="n">
        <v>69</v>
      </c>
      <c r="G2693" s="2" t="s">
        <v>554</v>
      </c>
      <c r="H2693" s="2" t="str">
        <f aca="false">IFERROR(__xludf.dummyfunction("IF(I2715="""", """", REGEXEXTRACT(I2715, ""Padrao/([^/]+)""))"),"Centro")</f>
        <v>Centro</v>
      </c>
    </row>
    <row r="2694" customFormat="false" ht="15.75" hidden="false" customHeight="false" outlineLevel="0" collapsed="false">
      <c r="A2694" s="2" t="n">
        <v>140978</v>
      </c>
      <c r="B2694" s="2" t="s">
        <v>2222</v>
      </c>
      <c r="C2694" s="2" t="n">
        <v>3</v>
      </c>
      <c r="D2694" s="2" t="n">
        <v>2</v>
      </c>
      <c r="E2694" s="2" t="n">
        <v>1</v>
      </c>
      <c r="F2694" s="2" t="n">
        <v>74</v>
      </c>
      <c r="G2694" s="2" t="s">
        <v>554</v>
      </c>
      <c r="H2694" s="2" t="str">
        <f aca="false">IFERROR(__xludf.dummyfunction("IF(I2716="""", """", REGEXEXTRACT(I2716, ""Padrao/([^/]+)""))"),"Residencial e Comercial Palmares")</f>
        <v>Residencial e Comercial Palmares</v>
      </c>
    </row>
    <row r="2695" customFormat="false" ht="15.75" hidden="false" customHeight="false" outlineLevel="0" collapsed="false">
      <c r="A2695" s="2" t="n">
        <v>140315</v>
      </c>
      <c r="B2695" s="2" t="s">
        <v>847</v>
      </c>
      <c r="C2695" s="2" t="n">
        <v>2</v>
      </c>
      <c r="D2695" s="2" t="n">
        <v>1</v>
      </c>
      <c r="E2695" s="2" t="n">
        <v>1</v>
      </c>
      <c r="F2695" s="2" t="n">
        <v>62</v>
      </c>
      <c r="G2695" s="2" t="s">
        <v>554</v>
      </c>
      <c r="H2695" s="2" t="str">
        <f aca="false">IFERROR(__xludf.dummyfunction("IF(I2717="""", """", REGEXEXTRACT(I2717, ""Padrao/([^/]+)""))"),"Jardim Paulista")</f>
        <v>Jardim Paulista</v>
      </c>
    </row>
    <row r="2696" customFormat="false" ht="15.75" hidden="false" customHeight="false" outlineLevel="0" collapsed="false">
      <c r="A2696" s="2" t="n">
        <v>139313</v>
      </c>
      <c r="B2696" s="2" t="s">
        <v>2132</v>
      </c>
      <c r="C2696" s="2" t="n">
        <v>3</v>
      </c>
      <c r="D2696" s="2" t="n">
        <v>2</v>
      </c>
      <c r="E2696" s="2" t="n">
        <v>1</v>
      </c>
      <c r="F2696" s="2" t="n">
        <v>70</v>
      </c>
      <c r="G2696" s="2" t="s">
        <v>554</v>
      </c>
      <c r="H2696" s="2" t="str">
        <f aca="false">IFERROR(__xludf.dummyfunction("IF(I2718="""", """", REGEXEXTRACT(I2718, ""Padrao/([^/]+)""))"),"Jardim Anhanguera")</f>
        <v>Jardim Anhanguera</v>
      </c>
    </row>
    <row r="2697" customFormat="false" ht="15.75" hidden="false" customHeight="false" outlineLevel="0" collapsed="false">
      <c r="A2697" s="2" t="n">
        <v>136565</v>
      </c>
      <c r="B2697" s="2" t="s">
        <v>602</v>
      </c>
      <c r="C2697" s="2" t="n">
        <v>1</v>
      </c>
      <c r="D2697" s="2" t="n">
        <v>1</v>
      </c>
      <c r="E2697" s="2" t="n">
        <v>1</v>
      </c>
      <c r="F2697" s="2" t="n">
        <v>89</v>
      </c>
      <c r="G2697" s="2" t="s">
        <v>554</v>
      </c>
      <c r="H2697" s="2" t="str">
        <f aca="false">IFERROR(__xludf.dummyfunction("IF(I2719="""", """", REGEXEXTRACT(I2719, ""Padrao/([^/]+)""))"),"Centro")</f>
        <v>Centro</v>
      </c>
    </row>
    <row r="2698" customFormat="false" ht="15.75" hidden="false" customHeight="false" outlineLevel="0" collapsed="false">
      <c r="A2698" s="2" t="n">
        <v>136469</v>
      </c>
      <c r="B2698" s="2" t="s">
        <v>2223</v>
      </c>
      <c r="C2698" s="2" t="n">
        <v>3</v>
      </c>
      <c r="D2698" s="2" t="n">
        <v>2</v>
      </c>
      <c r="E2698" s="2" t="n">
        <v>1</v>
      </c>
      <c r="F2698" s="2" t="n">
        <v>64</v>
      </c>
      <c r="G2698" s="2" t="s">
        <v>554</v>
      </c>
      <c r="H2698" s="2" t="str">
        <f aca="false">IFERROR(__xludf.dummyfunction("IF(I2720="""", """", REGEXEXTRACT(I2720, ""Padrao/([^/]+)""))"),"Jardim Palma Travassos")</f>
        <v>Jardim Palma Travassos</v>
      </c>
    </row>
    <row r="2699" customFormat="false" ht="15.75" hidden="false" customHeight="false" outlineLevel="0" collapsed="false">
      <c r="A2699" s="2" t="n">
        <v>135812</v>
      </c>
      <c r="B2699" s="2" t="s">
        <v>993</v>
      </c>
      <c r="C2699" s="2" t="n">
        <v>2</v>
      </c>
      <c r="D2699" s="2" t="n">
        <v>1</v>
      </c>
      <c r="E2699" s="2" t="n">
        <v>1</v>
      </c>
      <c r="F2699" s="2" t="n">
        <v>58</v>
      </c>
      <c r="G2699" s="2" t="s">
        <v>554</v>
      </c>
      <c r="H2699" s="2" t="str">
        <f aca="false">IFERROR(__xludf.dummyfunction("IF(I2721="""", """", REGEXEXTRACT(I2721, ""Padrao/([^/]+)""))"),"Campos Eliseos")</f>
        <v>Campos Eliseos</v>
      </c>
    </row>
    <row r="2700" customFormat="false" ht="15.75" hidden="false" customHeight="false" outlineLevel="0" collapsed="false">
      <c r="A2700" s="2" t="n">
        <v>135218</v>
      </c>
      <c r="B2700" s="2" t="s">
        <v>2224</v>
      </c>
      <c r="C2700" s="2" t="n">
        <v>1</v>
      </c>
      <c r="D2700" s="2" t="n">
        <v>1</v>
      </c>
      <c r="E2700" s="2" t="n">
        <v>1</v>
      </c>
      <c r="F2700" s="2" t="n">
        <v>53</v>
      </c>
      <c r="G2700" s="2" t="s">
        <v>554</v>
      </c>
      <c r="H2700" s="2" t="str">
        <f aca="false">IFERROR(__xludf.dummyfunction("IF(I2722="""", """", REGEXEXTRACT(I2722, ""Padrao/([^/]+)""))"),"Centro")</f>
        <v>Centro</v>
      </c>
    </row>
    <row r="2701" customFormat="false" ht="15.75" hidden="false" customHeight="false" outlineLevel="0" collapsed="false">
      <c r="A2701" s="2" t="n">
        <v>135050</v>
      </c>
      <c r="B2701" s="2" t="s">
        <v>1305</v>
      </c>
      <c r="C2701" s="2" t="n">
        <v>2</v>
      </c>
      <c r="D2701" s="2" t="n">
        <v>1</v>
      </c>
      <c r="E2701" s="2" t="n">
        <v>1</v>
      </c>
      <c r="F2701" s="2" t="n">
        <v>68</v>
      </c>
      <c r="G2701" s="2" t="s">
        <v>554</v>
      </c>
      <c r="H2701" s="2" t="str">
        <f aca="false">IFERROR(__xludf.dummyfunction("IF(I2723="""", """", REGEXEXTRACT(I2723, ""Padrao/([^/]+)""))"),"Sumarezinho")</f>
        <v>Sumarezinho</v>
      </c>
    </row>
    <row r="2702" customFormat="false" ht="15.75" hidden="false" customHeight="false" outlineLevel="0" collapsed="false">
      <c r="A2702" s="2" t="n">
        <v>135041</v>
      </c>
      <c r="B2702" s="2" t="s">
        <v>2225</v>
      </c>
      <c r="C2702" s="2" t="n">
        <v>3</v>
      </c>
      <c r="D2702" s="2" t="n">
        <v>2</v>
      </c>
      <c r="E2702" s="2" t="n">
        <v>1</v>
      </c>
      <c r="F2702" s="2" t="n">
        <v>86</v>
      </c>
      <c r="G2702" s="2" t="s">
        <v>554</v>
      </c>
      <c r="H2702" s="2" t="str">
        <f aca="false">IFERROR(__xludf.dummyfunction("IF(I2724="""", """", REGEXEXTRACT(I2724, ""Padrao/([^/]+)""))"),"Residencial e Comercial Palmares")</f>
        <v>Residencial e Comercial Palmares</v>
      </c>
    </row>
    <row r="2703" customFormat="false" ht="15.75" hidden="false" customHeight="false" outlineLevel="0" collapsed="false">
      <c r="A2703" s="2" t="n">
        <v>134273</v>
      </c>
      <c r="B2703" s="2" t="s">
        <v>2226</v>
      </c>
      <c r="C2703" s="2" t="n">
        <v>2</v>
      </c>
      <c r="D2703" s="2" t="n">
        <v>1</v>
      </c>
      <c r="E2703" s="2" t="n">
        <v>1</v>
      </c>
      <c r="F2703" s="2" t="n">
        <v>57</v>
      </c>
      <c r="G2703" s="2" t="s">
        <v>554</v>
      </c>
      <c r="H2703" s="2" t="str">
        <f aca="false">IFERROR(__xludf.dummyfunction("IF(I2725="""", """", REGEXEXTRACT(I2725, ""Padrao/([^/]+)""))"),"Jardim Paulista")</f>
        <v>Jardim Paulista</v>
      </c>
    </row>
    <row r="2704" customFormat="false" ht="15.75" hidden="false" customHeight="false" outlineLevel="0" collapsed="false">
      <c r="A2704" s="2" t="n">
        <v>131336</v>
      </c>
      <c r="B2704" s="2" t="s">
        <v>1101</v>
      </c>
      <c r="C2704" s="2" t="n">
        <v>3</v>
      </c>
      <c r="D2704" s="2" t="n">
        <v>2</v>
      </c>
      <c r="E2704" s="2" t="n">
        <v>1</v>
      </c>
      <c r="F2704" s="2" t="n">
        <v>84</v>
      </c>
      <c r="G2704" s="2" t="s">
        <v>554</v>
      </c>
      <c r="H2704" s="2" t="str">
        <f aca="false">IFERROR(__xludf.dummyfunction("IF(I2726="""", """", REGEXEXTRACT(I2726, ""Padrao/([^/]+)""))"),"Vila Monte Alegre")</f>
        <v>Vila Monte Alegre</v>
      </c>
    </row>
    <row r="2705" customFormat="false" ht="15.75" hidden="false" customHeight="false" outlineLevel="0" collapsed="false">
      <c r="A2705" s="2" t="n">
        <v>130364</v>
      </c>
      <c r="B2705" s="2" t="s">
        <v>2227</v>
      </c>
      <c r="C2705" s="2" t="n">
        <v>3</v>
      </c>
      <c r="D2705" s="2" t="n">
        <v>2</v>
      </c>
      <c r="E2705" s="2" t="n">
        <v>1</v>
      </c>
      <c r="F2705" s="2" t="n">
        <v>95</v>
      </c>
      <c r="G2705" s="2" t="s">
        <v>554</v>
      </c>
      <c r="H2705" s="2" t="str">
        <f aca="false">IFERROR(__xludf.dummyfunction("IF(I2727="""", """", REGEXEXTRACT(I2727, ""Padrao/([^/]+)""))"),"Residencial e Comercial Palmares")</f>
        <v>Residencial e Comercial Palmares</v>
      </c>
    </row>
    <row r="2706" customFormat="false" ht="15.75" hidden="false" customHeight="false" outlineLevel="0" collapsed="false">
      <c r="A2706" s="2" t="n">
        <v>128984</v>
      </c>
      <c r="B2706" s="2" t="s">
        <v>2228</v>
      </c>
      <c r="C2706" s="2" t="n">
        <v>2</v>
      </c>
      <c r="D2706" s="2" t="n">
        <v>2</v>
      </c>
      <c r="E2706" s="2" t="n">
        <v>1</v>
      </c>
      <c r="F2706" s="2" t="n">
        <v>67</v>
      </c>
      <c r="G2706" s="2" t="s">
        <v>554</v>
      </c>
      <c r="H2706" s="2" t="str">
        <f aca="false">IFERROR(__xludf.dummyfunction("IF(I2728="""", """", REGEXEXTRACT(I2728, ""Padrao/([^/]+)""))"),"Vila Amelia")</f>
        <v>Vila Amelia</v>
      </c>
    </row>
    <row r="2707" customFormat="false" ht="15.75" hidden="false" customHeight="false" outlineLevel="0" collapsed="false">
      <c r="A2707" s="2" t="n">
        <v>128498</v>
      </c>
      <c r="B2707" s="2" t="s">
        <v>2229</v>
      </c>
      <c r="C2707" s="2" t="n">
        <v>1</v>
      </c>
      <c r="D2707" s="2" t="n">
        <v>1</v>
      </c>
      <c r="E2707" s="2" t="n">
        <v>1</v>
      </c>
      <c r="F2707" s="2" t="n">
        <v>34</v>
      </c>
      <c r="G2707" s="2" t="s">
        <v>554</v>
      </c>
      <c r="H2707" s="2" t="str">
        <f aca="false">IFERROR(__xludf.dummyfunction("IF(I2729="""", """", REGEXEXTRACT(I2729, ""Padrao/([^/]+)""))"),"Santa Cruz do Jose Jacques")</f>
        <v>Santa Cruz do Jose Jacques</v>
      </c>
    </row>
    <row r="2708" customFormat="false" ht="15.75" hidden="false" customHeight="false" outlineLevel="0" collapsed="false">
      <c r="A2708" s="2" t="n">
        <v>127703</v>
      </c>
      <c r="B2708" s="2" t="s">
        <v>2230</v>
      </c>
      <c r="C2708" s="2" t="n">
        <v>2</v>
      </c>
      <c r="D2708" s="2" t="n">
        <v>1</v>
      </c>
      <c r="E2708" s="2" t="n">
        <v>1</v>
      </c>
      <c r="F2708" s="2" t="n">
        <v>48</v>
      </c>
      <c r="G2708" s="2" t="s">
        <v>554</v>
      </c>
      <c r="H2708" s="2" t="str">
        <f aca="false">IFERROR(__xludf.dummyfunction("IF(I2730="""", """", REGEXEXTRACT(I2730, ""Padrao/([^/]+)""))"),"Vila Virginia")</f>
        <v>Vila Virginia</v>
      </c>
    </row>
    <row r="2709" customFormat="false" ht="15.75" hidden="false" customHeight="false" outlineLevel="0" collapsed="false">
      <c r="A2709" s="2" t="n">
        <v>127034</v>
      </c>
      <c r="B2709" s="2" t="s">
        <v>2231</v>
      </c>
      <c r="C2709" s="2" t="n">
        <v>1</v>
      </c>
      <c r="D2709" s="2" t="n">
        <v>1</v>
      </c>
      <c r="E2709" s="2" t="n">
        <v>1</v>
      </c>
      <c r="F2709" s="2" t="n">
        <v>45</v>
      </c>
      <c r="G2709" s="2" t="s">
        <v>554</v>
      </c>
      <c r="H2709" s="2" t="str">
        <f aca="false">IFERROR(__xludf.dummyfunction("IF(I2731="""", """", REGEXEXTRACT(I2731, ""Padrao/([^/]+)""))"),"Nova Alianca")</f>
        <v>Nova Alianca</v>
      </c>
    </row>
    <row r="2710" customFormat="false" ht="15.75" hidden="false" customHeight="false" outlineLevel="0" collapsed="false">
      <c r="A2710" s="2" t="n">
        <v>126866</v>
      </c>
      <c r="B2710" s="2" t="s">
        <v>2232</v>
      </c>
      <c r="C2710" s="2" t="n">
        <v>1</v>
      </c>
      <c r="D2710" s="2" t="n">
        <v>1</v>
      </c>
      <c r="E2710" s="2" t="n">
        <v>1</v>
      </c>
      <c r="F2710" s="2" t="n">
        <v>41</v>
      </c>
      <c r="G2710" s="2" t="s">
        <v>554</v>
      </c>
      <c r="H2710" s="2" t="str">
        <f aca="false">IFERROR(__xludf.dummyfunction("IF(I2732="""", """", REGEXEXTRACT(I2732, ""Padrao/([^/]+)""))"),"Jardim Iraja")</f>
        <v>Jardim Iraja</v>
      </c>
    </row>
    <row r="2711" customFormat="false" ht="15.75" hidden="false" customHeight="false" outlineLevel="0" collapsed="false">
      <c r="A2711" s="2" t="n">
        <v>123233</v>
      </c>
      <c r="B2711" s="2" t="s">
        <v>2233</v>
      </c>
      <c r="C2711" s="2" t="n">
        <v>2</v>
      </c>
      <c r="D2711" s="2" t="n">
        <v>2</v>
      </c>
      <c r="E2711" s="2" t="n">
        <v>1</v>
      </c>
      <c r="F2711" s="2" t="n">
        <v>66</v>
      </c>
      <c r="G2711" s="2" t="s">
        <v>554</v>
      </c>
      <c r="H2711" s="2" t="str">
        <f aca="false">IFERROR(__xludf.dummyfunction("IF(I2733="""", """", REGEXEXTRACT(I2733, ""Padrao/([^/]+)""))"),"Alto do Ipiranga")</f>
        <v>Alto do Ipiranga</v>
      </c>
    </row>
    <row r="2712" customFormat="false" ht="15.75" hidden="false" customHeight="false" outlineLevel="0" collapsed="false">
      <c r="A2712" s="2" t="n">
        <v>122684</v>
      </c>
      <c r="B2712" s="2" t="s">
        <v>958</v>
      </c>
      <c r="C2712" s="2" t="n">
        <v>2</v>
      </c>
      <c r="D2712" s="2" t="n">
        <v>1</v>
      </c>
      <c r="E2712" s="2" t="n">
        <v>1</v>
      </c>
      <c r="F2712" s="2" t="n">
        <v>42</v>
      </c>
      <c r="G2712" s="2" t="s">
        <v>554</v>
      </c>
      <c r="H2712" s="2" t="str">
        <f aca="false">IFERROR(__xludf.dummyfunction("IF(I2734="""", """", REGEXEXTRACT(I2734, ""Padrao/([^/]+)""))"),"Parque Industrial Lagoinha")</f>
        <v>Parque Industrial Lagoinha</v>
      </c>
    </row>
    <row r="2713" customFormat="false" ht="15.75" hidden="false" customHeight="false" outlineLevel="0" collapsed="false">
      <c r="A2713" s="2" t="n">
        <v>120065</v>
      </c>
      <c r="B2713" s="2" t="s">
        <v>2234</v>
      </c>
      <c r="C2713" s="2" t="n">
        <v>2</v>
      </c>
      <c r="D2713" s="2" t="n">
        <v>1</v>
      </c>
      <c r="E2713" s="2" t="n">
        <v>1</v>
      </c>
      <c r="F2713" s="2" t="n">
        <v>45</v>
      </c>
      <c r="G2713" s="2" t="s">
        <v>554</v>
      </c>
      <c r="H2713" s="2" t="str">
        <f aca="false">IFERROR(__xludf.dummyfunction("IF(I2735="""", """", REGEXEXTRACT(I2735, ""Padrao/([^/]+)""))"),"Nova Alianca")</f>
        <v>Nova Alianca</v>
      </c>
    </row>
    <row r="2714" customFormat="false" ht="15.75" hidden="false" customHeight="false" outlineLevel="0" collapsed="false">
      <c r="A2714" s="2" t="n">
        <v>120005</v>
      </c>
      <c r="B2714" s="2" t="s">
        <v>2235</v>
      </c>
      <c r="C2714" s="2" t="n">
        <v>1</v>
      </c>
      <c r="D2714" s="2" t="n">
        <v>1</v>
      </c>
      <c r="E2714" s="2" t="n">
        <v>1</v>
      </c>
      <c r="F2714" s="2" t="n">
        <v>38</v>
      </c>
      <c r="G2714" s="2" t="s">
        <v>554</v>
      </c>
      <c r="H2714" s="2" t="str">
        <f aca="false">IFERROR(__xludf.dummyfunction("IF(I2736="""", """", REGEXEXTRACT(I2736, ""Padrao/([^/]+)""))"),"Nova Alianca")</f>
        <v>Nova Alianca</v>
      </c>
    </row>
    <row r="2715" customFormat="false" ht="15.75" hidden="false" customHeight="false" outlineLevel="0" collapsed="false">
      <c r="A2715" s="2" t="n">
        <v>119132</v>
      </c>
      <c r="B2715" s="2" t="s">
        <v>162</v>
      </c>
      <c r="C2715" s="2" t="n">
        <v>1</v>
      </c>
      <c r="D2715" s="2" t="n">
        <v>1</v>
      </c>
      <c r="E2715" s="2" t="n">
        <v>1</v>
      </c>
      <c r="F2715" s="2" t="n">
        <v>49</v>
      </c>
      <c r="G2715" s="2" t="s">
        <v>554</v>
      </c>
      <c r="H2715" s="2" t="str">
        <f aca="false">IFERROR(__xludf.dummyfunction("IF(I2737="""", """", REGEXEXTRACT(I2737, ""Padrao/([^/]+)""))"),"Nova Alianca")</f>
        <v>Nova Alianca</v>
      </c>
    </row>
    <row r="2716" customFormat="false" ht="15.75" hidden="false" customHeight="false" outlineLevel="0" collapsed="false">
      <c r="A2716" s="2" t="n">
        <v>115853</v>
      </c>
      <c r="B2716" s="2" t="s">
        <v>1776</v>
      </c>
      <c r="C2716" s="2" t="n">
        <v>1</v>
      </c>
      <c r="D2716" s="2" t="n">
        <v>1</v>
      </c>
      <c r="E2716" s="2" t="n">
        <v>1</v>
      </c>
      <c r="F2716" s="2" t="n">
        <v>18</v>
      </c>
      <c r="G2716" s="2" t="s">
        <v>554</v>
      </c>
      <c r="H2716" s="2" t="str">
        <f aca="false">IFERROR(__xludf.dummyfunction("IF(I2739="""", """", REGEXEXTRACT(I2739, ""Padrao/([^/]+)""))"),"Nova Alianca")</f>
        <v>Nova Alianca</v>
      </c>
    </row>
    <row r="2717" customFormat="false" ht="15.75" hidden="false" customHeight="false" outlineLevel="0" collapsed="false">
      <c r="A2717" s="2" t="n">
        <v>114980</v>
      </c>
      <c r="B2717" s="2" t="s">
        <v>1898</v>
      </c>
      <c r="C2717" s="2" t="n">
        <v>2</v>
      </c>
      <c r="D2717" s="2" t="n">
        <v>2</v>
      </c>
      <c r="E2717" s="2" t="n">
        <v>1</v>
      </c>
      <c r="F2717" s="2" t="n">
        <v>53</v>
      </c>
      <c r="G2717" s="2" t="s">
        <v>554</v>
      </c>
      <c r="H2717" s="2" t="str">
        <f aca="false">IFERROR(__xludf.dummyfunction("IF(I2740="""", """", REGEXEXTRACT(I2740, ""Padrao/([^/]+)""))"),"Condominio Mirante Sul")</f>
        <v>Condominio Mirante Sul</v>
      </c>
    </row>
    <row r="2718" customFormat="false" ht="15.75" hidden="false" customHeight="false" outlineLevel="0" collapsed="false">
      <c r="A2718" s="2" t="n">
        <v>105140</v>
      </c>
      <c r="B2718" s="2" t="s">
        <v>2236</v>
      </c>
      <c r="C2718" s="2" t="n">
        <v>1</v>
      </c>
      <c r="D2718" s="2" t="n">
        <v>1</v>
      </c>
      <c r="E2718" s="2" t="n">
        <v>1</v>
      </c>
      <c r="F2718" s="2" t="n">
        <v>69</v>
      </c>
      <c r="G2718" s="2" t="s">
        <v>554</v>
      </c>
      <c r="H2718" s="2" t="str">
        <f aca="false">IFERROR(__xludf.dummyfunction("IF(I2741="""", """", REGEXEXTRACT(I2741, ""Padrao/([^/]+)""))"),"Centro")</f>
        <v>Centro</v>
      </c>
    </row>
    <row r="2719" customFormat="false" ht="15.75" hidden="false" customHeight="false" outlineLevel="0" collapsed="false">
      <c r="A2719" s="2" t="n">
        <v>104537</v>
      </c>
      <c r="B2719" s="2" t="s">
        <v>2237</v>
      </c>
      <c r="C2719" s="2" t="n">
        <v>2</v>
      </c>
      <c r="D2719" s="2" t="n">
        <v>1</v>
      </c>
      <c r="E2719" s="2" t="n">
        <v>1</v>
      </c>
      <c r="F2719" s="2" t="n">
        <v>110</v>
      </c>
      <c r="G2719" s="2" t="s">
        <v>554</v>
      </c>
      <c r="H2719" s="2" t="str">
        <f aca="false">IFERROR(__xludf.dummyfunction("IF(I2742="""", """", REGEXEXTRACT(I2742, ""Padrao/([^/]+)""))"),"Jardim Palma Travassos")</f>
        <v>Jardim Palma Travassos</v>
      </c>
    </row>
    <row r="2720" customFormat="false" ht="15.75" hidden="false" customHeight="false" outlineLevel="0" collapsed="false">
      <c r="A2720" s="2" t="n">
        <v>104330</v>
      </c>
      <c r="B2720" s="2" t="s">
        <v>1831</v>
      </c>
      <c r="C2720" s="2" t="n">
        <v>1</v>
      </c>
      <c r="D2720" s="2" t="n">
        <v>2</v>
      </c>
      <c r="E2720" s="2" t="n">
        <v>1</v>
      </c>
      <c r="F2720" s="2" t="n">
        <v>60</v>
      </c>
      <c r="G2720" s="2" t="s">
        <v>554</v>
      </c>
      <c r="H2720" s="2" t="str">
        <f aca="false">IFERROR(__xludf.dummyfunction("IF(I2743="""", """", REGEXEXTRACT(I2743, ""Padrao/([^/]+)""))"),"City Ribeirao")</f>
        <v>City Ribeirao</v>
      </c>
    </row>
    <row r="2721" customFormat="false" ht="15.75" hidden="false" customHeight="false" outlineLevel="0" collapsed="false">
      <c r="A2721" s="2" t="n">
        <v>104327</v>
      </c>
      <c r="B2721" s="2" t="s">
        <v>162</v>
      </c>
      <c r="C2721" s="2" t="n">
        <v>1</v>
      </c>
      <c r="D2721" s="2" t="n">
        <v>1</v>
      </c>
      <c r="E2721" s="2" t="n">
        <v>1</v>
      </c>
      <c r="F2721" s="2" t="n">
        <v>60</v>
      </c>
      <c r="G2721" s="2" t="s">
        <v>554</v>
      </c>
      <c r="H2721" s="2" t="str">
        <f aca="false">IFERROR(__xludf.dummyfunction("IF(I2744="""", """", REGEXEXTRACT(I2744, ""Padrao/([^/]+)""))"),"City Ribeirao")</f>
        <v>City Ribeirao</v>
      </c>
    </row>
    <row r="2722" customFormat="false" ht="15.75" hidden="false" customHeight="false" outlineLevel="0" collapsed="false">
      <c r="A2722" s="2" t="n">
        <v>102533</v>
      </c>
      <c r="B2722" s="2" t="s">
        <v>2238</v>
      </c>
      <c r="C2722" s="2" t="n">
        <v>2</v>
      </c>
      <c r="D2722" s="2" t="n">
        <v>1</v>
      </c>
      <c r="E2722" s="2" t="n">
        <v>1</v>
      </c>
      <c r="F2722" s="2" t="n">
        <v>65</v>
      </c>
      <c r="G2722" s="2" t="s">
        <v>554</v>
      </c>
      <c r="H2722" s="2" t="str">
        <f aca="false">IFERROR(__xludf.dummyfunction("IF(I2745="""", """", REGEXEXTRACT(I2745, ""Padrao/([^/]+)""))"),"Residencial Florida")</f>
        <v>Residencial Florida</v>
      </c>
    </row>
    <row r="2723" customFormat="false" ht="15.75" hidden="false" customHeight="false" outlineLevel="0" collapsed="false">
      <c r="A2723" s="2" t="n">
        <v>102314</v>
      </c>
      <c r="B2723" s="2" t="s">
        <v>2239</v>
      </c>
      <c r="C2723" s="2" t="n">
        <v>1</v>
      </c>
      <c r="D2723" s="2" t="n">
        <v>1</v>
      </c>
      <c r="E2723" s="2" t="n">
        <v>1</v>
      </c>
      <c r="F2723" s="2" t="n">
        <v>43</v>
      </c>
      <c r="G2723" s="2" t="s">
        <v>554</v>
      </c>
      <c r="H2723" s="2" t="str">
        <f aca="false">IFERROR(__xludf.dummyfunction("IF(I2746="""", """", REGEXEXTRACT(I2746, ""Padrao/([^/]+)""))"),"Jardim Nova Alianca Sul")</f>
        <v>Jardim Nova Alianca Sul</v>
      </c>
    </row>
    <row r="2724" customFormat="false" ht="15.75" hidden="false" customHeight="false" outlineLevel="0" collapsed="false">
      <c r="A2724" s="2" t="n">
        <v>101318</v>
      </c>
      <c r="B2724" s="2" t="s">
        <v>2240</v>
      </c>
      <c r="C2724" s="2" t="n">
        <v>1</v>
      </c>
      <c r="D2724" s="2" t="n">
        <v>1</v>
      </c>
      <c r="E2724" s="2" t="n">
        <v>1</v>
      </c>
      <c r="F2724" s="2" t="n">
        <v>63</v>
      </c>
      <c r="G2724" s="2" t="s">
        <v>554</v>
      </c>
      <c r="H2724" s="2" t="str">
        <f aca="false">IFERROR(__xludf.dummyfunction("IF(I2747="""", """", REGEXEXTRACT(I2747, ""Padrao/([^/]+)""))"),"Centro")</f>
        <v>Centro</v>
      </c>
    </row>
    <row r="2725" customFormat="false" ht="15.75" hidden="false" customHeight="false" outlineLevel="0" collapsed="false">
      <c r="A2725" s="2" t="n">
        <v>100976</v>
      </c>
      <c r="B2725" s="2" t="s">
        <v>2241</v>
      </c>
      <c r="C2725" s="2" t="n">
        <v>2</v>
      </c>
      <c r="D2725" s="2" t="n">
        <v>1</v>
      </c>
      <c r="E2725" s="2" t="n">
        <v>1</v>
      </c>
      <c r="F2725" s="2" t="n">
        <v>46</v>
      </c>
      <c r="G2725" s="2" t="s">
        <v>554</v>
      </c>
      <c r="H2725" s="2" t="str">
        <f aca="false">IFERROR(__xludf.dummyfunction("IF(I2748="""", """", REGEXEXTRACT(I2748, ""Padrao/([^/]+)""))"),"Nova Alianca")</f>
        <v>Nova Alianca</v>
      </c>
    </row>
    <row r="2726" customFormat="false" ht="15.75" hidden="false" customHeight="false" outlineLevel="0" collapsed="false">
      <c r="A2726" s="2" t="n">
        <v>98540</v>
      </c>
      <c r="B2726" s="2" t="s">
        <v>2242</v>
      </c>
      <c r="C2726" s="2" t="n">
        <v>1</v>
      </c>
      <c r="D2726" s="2" t="n">
        <v>1</v>
      </c>
      <c r="E2726" s="2" t="n">
        <v>1</v>
      </c>
      <c r="F2726" s="2" t="n">
        <v>43</v>
      </c>
      <c r="G2726" s="2" t="s">
        <v>554</v>
      </c>
      <c r="H2726" s="2" t="str">
        <f aca="false">IFERROR(__xludf.dummyfunction("IF(I2749="""", """", REGEXEXTRACT(I2749, ""Padrao/([^/]+)""))"),"Jardim Iraja")</f>
        <v>Jardim Iraja</v>
      </c>
    </row>
    <row r="2727" customFormat="false" ht="15.75" hidden="false" customHeight="false" outlineLevel="0" collapsed="false">
      <c r="A2727" s="2" t="n">
        <v>98504</v>
      </c>
      <c r="B2727" s="2" t="s">
        <v>2243</v>
      </c>
      <c r="C2727" s="2" t="n">
        <v>3</v>
      </c>
      <c r="D2727" s="2" t="n">
        <v>2</v>
      </c>
      <c r="E2727" s="2" t="n">
        <v>1</v>
      </c>
      <c r="F2727" s="2" t="n">
        <v>69</v>
      </c>
      <c r="G2727" s="2" t="s">
        <v>554</v>
      </c>
      <c r="H2727" s="2" t="str">
        <f aca="false">IFERROR(__xludf.dummyfunction("IF(I2750="""", """", REGEXEXTRACT(I2750, ""Padrao/([^/]+)""))"),"Jardim Paulista")</f>
        <v>Jardim Paulista</v>
      </c>
    </row>
    <row r="2728" customFormat="false" ht="15.75" hidden="false" customHeight="false" outlineLevel="0" collapsed="false">
      <c r="A2728" s="2" t="n">
        <v>98198</v>
      </c>
      <c r="B2728" s="2" t="s">
        <v>2244</v>
      </c>
      <c r="C2728" s="2" t="n">
        <v>1</v>
      </c>
      <c r="D2728" s="2" t="n">
        <v>1</v>
      </c>
      <c r="E2728" s="2" t="n">
        <v>1</v>
      </c>
      <c r="F2728" s="2" t="n">
        <v>39</v>
      </c>
      <c r="G2728" s="2" t="s">
        <v>554</v>
      </c>
      <c r="H2728" s="2" t="str">
        <f aca="false">IFERROR(__xludf.dummyfunction("IF(I2751="""", """", REGEXEXTRACT(I2751, ""Padrao/([^/]+)""))"),"Vila Seixas")</f>
        <v>Vila Seixas</v>
      </c>
    </row>
    <row r="2729" customFormat="false" ht="15.75" hidden="false" customHeight="false" outlineLevel="0" collapsed="false">
      <c r="A2729" s="2" t="n">
        <v>97973</v>
      </c>
      <c r="B2729" s="2" t="s">
        <v>2245</v>
      </c>
      <c r="C2729" s="2" t="n">
        <v>2</v>
      </c>
      <c r="D2729" s="2" t="n">
        <v>1</v>
      </c>
      <c r="E2729" s="2" t="n">
        <v>1</v>
      </c>
      <c r="F2729" s="2" t="n">
        <v>7</v>
      </c>
      <c r="G2729" s="2" t="s">
        <v>554</v>
      </c>
      <c r="H2729" s="2" t="str">
        <f aca="false">IFERROR(__xludf.dummyfunction("IF(I2752="""", """", REGEXEXTRACT(I2752, ""Padrao/([^/]+)""))"),"Republica")</f>
        <v>Republica</v>
      </c>
    </row>
    <row r="2730" customFormat="false" ht="15.75" hidden="false" customHeight="false" outlineLevel="0" collapsed="false">
      <c r="A2730" s="2" t="n">
        <v>97661</v>
      </c>
      <c r="B2730" s="2" t="s">
        <v>2177</v>
      </c>
      <c r="C2730" s="2" t="n">
        <v>1</v>
      </c>
      <c r="D2730" s="2" t="n">
        <v>1</v>
      </c>
      <c r="E2730" s="2" t="n">
        <v>1</v>
      </c>
      <c r="F2730" s="2" t="n">
        <v>45</v>
      </c>
      <c r="G2730" s="2" t="s">
        <v>554</v>
      </c>
      <c r="H2730" s="2" t="str">
        <f aca="false">IFERROR(__xludf.dummyfunction("IF(I2753="""", """", REGEXEXTRACT(I2753, ""Padrao/([^/]+)""))"),"Jardim Iraja")</f>
        <v>Jardim Iraja</v>
      </c>
    </row>
    <row r="2731" customFormat="false" ht="15.75" hidden="false" customHeight="false" outlineLevel="0" collapsed="false">
      <c r="A2731" s="2" t="n">
        <v>96890</v>
      </c>
      <c r="B2731" s="2" t="s">
        <v>2000</v>
      </c>
      <c r="C2731" s="2" t="n">
        <v>1</v>
      </c>
      <c r="D2731" s="2" t="n">
        <v>1</v>
      </c>
      <c r="E2731" s="2" t="n">
        <v>1</v>
      </c>
      <c r="F2731" s="2" t="n">
        <v>61</v>
      </c>
      <c r="G2731" s="2" t="s">
        <v>554</v>
      </c>
      <c r="H2731" s="2" t="str">
        <f aca="false">IFERROR(__xludf.dummyfunction("IF(I2754="""", """", REGEXEXTRACT(I2754, ""Padrao/([^/]+)""))"),"Jardim Botanico")</f>
        <v>Jardim Botanico</v>
      </c>
    </row>
    <row r="2732" customFormat="false" ht="15.75" hidden="false" customHeight="false" outlineLevel="0" collapsed="false">
      <c r="A2732" s="2" t="n">
        <v>94160</v>
      </c>
      <c r="B2732" s="2" t="s">
        <v>2246</v>
      </c>
      <c r="C2732" s="2" t="n">
        <v>3</v>
      </c>
      <c r="D2732" s="2" t="n">
        <v>3</v>
      </c>
      <c r="E2732" s="2" t="n">
        <v>2</v>
      </c>
      <c r="F2732" s="2" t="n">
        <v>90</v>
      </c>
      <c r="G2732" s="2" t="s">
        <v>554</v>
      </c>
      <c r="H2732" s="2" t="str">
        <f aca="false">IFERROR(__xludf.dummyfunction("IF(I2755="""", """", REGEXEXTRACT(I2755, ""Padrao/([^/]+)""))"),"Jardim Anhanguera")</f>
        <v>Jardim Anhanguera</v>
      </c>
    </row>
    <row r="2733" customFormat="false" ht="15.75" hidden="false" customHeight="false" outlineLevel="0" collapsed="false">
      <c r="A2733" s="2" t="n">
        <v>92561</v>
      </c>
      <c r="B2733" s="2" t="s">
        <v>461</v>
      </c>
      <c r="C2733" s="2" t="n">
        <v>2</v>
      </c>
      <c r="D2733" s="2" t="n">
        <v>1</v>
      </c>
      <c r="E2733" s="2" t="n">
        <v>1</v>
      </c>
      <c r="F2733" s="2" t="n">
        <v>106</v>
      </c>
      <c r="G2733" s="2" t="s">
        <v>554</v>
      </c>
      <c r="H2733" s="2" t="str">
        <f aca="false">IFERROR(__xludf.dummyfunction("IF(I2756="""", """", REGEXEXTRACT(I2756, ""Padrao/([^/]+)""))"),"Centro")</f>
        <v>Centro</v>
      </c>
    </row>
    <row r="2734" customFormat="false" ht="15.75" hidden="false" customHeight="false" outlineLevel="0" collapsed="false">
      <c r="A2734" s="2" t="n">
        <v>90038</v>
      </c>
      <c r="B2734" s="2" t="s">
        <v>1666</v>
      </c>
      <c r="C2734" s="2" t="n">
        <v>1</v>
      </c>
      <c r="D2734" s="2" t="n">
        <v>1</v>
      </c>
      <c r="E2734" s="2" t="n">
        <v>1</v>
      </c>
      <c r="F2734" s="2" t="n">
        <v>24</v>
      </c>
      <c r="G2734" s="2" t="s">
        <v>554</v>
      </c>
      <c r="H2734" s="2" t="str">
        <f aca="false">IFERROR(__xludf.dummyfunction("IF(I2758="""", """", REGEXEXTRACT(I2758, ""Padrao/([^/]+)""))"),"Vila Ana Maria")</f>
        <v>Vila Ana Maria</v>
      </c>
    </row>
    <row r="2735" customFormat="false" ht="15.75" hidden="false" customHeight="false" outlineLevel="0" collapsed="false">
      <c r="A2735" s="2" t="n">
        <v>89375</v>
      </c>
      <c r="B2735" s="2" t="s">
        <v>1896</v>
      </c>
      <c r="C2735" s="2" t="n">
        <v>1</v>
      </c>
      <c r="D2735" s="2" t="n">
        <v>1</v>
      </c>
      <c r="E2735" s="2" t="n">
        <v>1</v>
      </c>
      <c r="F2735" s="2" t="n">
        <v>44</v>
      </c>
      <c r="G2735" s="2" t="s">
        <v>554</v>
      </c>
      <c r="H2735" s="2" t="str">
        <f aca="false">IFERROR(__xludf.dummyfunction("IF(I2759="""", """", REGEXEXTRACT(I2759, ""Padrao/([^/]+)""))"),"Jardim Sumare")</f>
        <v>Jardim Sumare</v>
      </c>
    </row>
    <row r="2736" customFormat="false" ht="15.75" hidden="false" customHeight="false" outlineLevel="0" collapsed="false">
      <c r="A2736" s="2" t="n">
        <v>88739</v>
      </c>
      <c r="B2736" s="2" t="s">
        <v>2247</v>
      </c>
      <c r="C2736" s="2" t="n">
        <v>2</v>
      </c>
      <c r="D2736" s="2" t="n">
        <v>1</v>
      </c>
      <c r="E2736" s="2" t="n">
        <v>1</v>
      </c>
      <c r="F2736" s="2" t="n">
        <v>46</v>
      </c>
      <c r="G2736" s="2" t="s">
        <v>554</v>
      </c>
      <c r="H2736" s="2" t="str">
        <f aca="false">IFERROR(__xludf.dummyfunction("IF(I2760="""", """", REGEXEXTRACT(I2760, ""Padrao/([^/]+)""))"),"Nova Alianca")</f>
        <v>Nova Alianca</v>
      </c>
    </row>
    <row r="2737" customFormat="false" ht="15.75" hidden="false" customHeight="false" outlineLevel="0" collapsed="false">
      <c r="A2737" s="2" t="n">
        <v>76454</v>
      </c>
      <c r="B2737" s="2" t="s">
        <v>847</v>
      </c>
      <c r="C2737" s="2" t="n">
        <v>1</v>
      </c>
      <c r="D2737" s="2" t="n">
        <v>1</v>
      </c>
      <c r="E2737" s="2" t="n">
        <v>1</v>
      </c>
      <c r="F2737" s="2" t="n">
        <v>48</v>
      </c>
      <c r="G2737" s="2" t="s">
        <v>554</v>
      </c>
      <c r="H2737" s="2" t="str">
        <f aca="false">IFERROR(__xludf.dummyfunction("IF(I2761="""", """", REGEXEXTRACT(I2761, ""Padrao/([^/]+)""))"),"Jardim Paulista")</f>
        <v>Jardim Paulista</v>
      </c>
    </row>
    <row r="2738" customFormat="false" ht="15.75" hidden="false" customHeight="false" outlineLevel="0" collapsed="false">
      <c r="A2738" s="2" t="n">
        <v>75926</v>
      </c>
      <c r="B2738" s="2" t="s">
        <v>461</v>
      </c>
      <c r="C2738" s="2" t="n">
        <v>1</v>
      </c>
      <c r="D2738" s="2" t="n">
        <v>1</v>
      </c>
      <c r="E2738" s="2" t="n">
        <v>1</v>
      </c>
      <c r="F2738" s="2" t="n">
        <v>44</v>
      </c>
      <c r="G2738" s="2" t="s">
        <v>554</v>
      </c>
      <c r="H2738" s="2" t="str">
        <f aca="false">IFERROR(__xludf.dummyfunction("IF(I2762="""", """", REGEXEXTRACT(I2762, ""Padrao/([^/]+)""))"),"Jardim Sumare")</f>
        <v>Jardim Sumare</v>
      </c>
    </row>
    <row r="2739" customFormat="false" ht="15.75" hidden="false" customHeight="false" outlineLevel="0" collapsed="false">
      <c r="A2739" s="2" t="n">
        <v>68459</v>
      </c>
      <c r="B2739" s="2" t="s">
        <v>2248</v>
      </c>
      <c r="C2739" s="2" t="n">
        <v>2</v>
      </c>
      <c r="D2739" s="2" t="n">
        <v>2</v>
      </c>
      <c r="E2739" s="2" t="n">
        <v>1</v>
      </c>
      <c r="F2739" s="2" t="n">
        <v>69</v>
      </c>
      <c r="G2739" s="2" t="s">
        <v>554</v>
      </c>
      <c r="H2739" s="2" t="str">
        <f aca="false">IFERROR(__xludf.dummyfunction("IF(I2763="""", """", REGEXEXTRACT(I2763, ""Padrao/([^/]+)""))"),"Independencia")</f>
        <v>Independencia</v>
      </c>
    </row>
    <row r="2740" customFormat="false" ht="15.75" hidden="false" customHeight="false" outlineLevel="0" collapsed="false">
      <c r="A2740" s="2" t="n">
        <v>62306</v>
      </c>
      <c r="B2740" s="2" t="s">
        <v>2249</v>
      </c>
      <c r="C2740" s="2" t="n">
        <v>2</v>
      </c>
      <c r="D2740" s="2" t="n">
        <v>2</v>
      </c>
      <c r="E2740" s="2" t="n">
        <v>1</v>
      </c>
      <c r="F2740" s="2" t="n">
        <v>67</v>
      </c>
      <c r="G2740" s="2" t="s">
        <v>554</v>
      </c>
      <c r="H2740" s="2" t="str">
        <f aca="false">IFERROR(__xludf.dummyfunction("IF(I2764="""", """", REGEXEXTRACT(I2764, ""Padrao/([^/]+)""))"),"Jardim Anhanguera")</f>
        <v>Jardim Anhanguera</v>
      </c>
    </row>
    <row r="2741" customFormat="false" ht="15.75" hidden="false" customHeight="false" outlineLevel="0" collapsed="false">
      <c r="A2741" s="2" t="n">
        <v>53777</v>
      </c>
      <c r="B2741" s="2" t="s">
        <v>2250</v>
      </c>
      <c r="C2741" s="2" t="n">
        <v>1</v>
      </c>
      <c r="D2741" s="2" t="n">
        <v>1</v>
      </c>
      <c r="E2741" s="2" t="n">
        <v>1</v>
      </c>
      <c r="F2741" s="2" t="n">
        <v>44</v>
      </c>
      <c r="G2741" s="2" t="s">
        <v>554</v>
      </c>
      <c r="H2741" s="2" t="str">
        <f aca="false">IFERROR(__xludf.dummyfunction("IF(I2765="""", """", REGEXEXTRACT(I2765, ""Padrao/([^/]+)""))"),"Jardim Sumare")</f>
        <v>Jardim Sumare</v>
      </c>
    </row>
    <row r="2742" customFormat="false" ht="15.75" hidden="false" customHeight="false" outlineLevel="0" collapsed="false">
      <c r="A2742" s="2" t="n">
        <v>38507</v>
      </c>
      <c r="B2742" s="2" t="s">
        <v>2251</v>
      </c>
      <c r="C2742" s="2" t="n">
        <v>3</v>
      </c>
      <c r="D2742" s="2" t="n">
        <v>2</v>
      </c>
      <c r="E2742" s="2" t="n">
        <v>1</v>
      </c>
      <c r="F2742" s="2" t="n">
        <v>96</v>
      </c>
      <c r="G2742" s="2" t="s">
        <v>554</v>
      </c>
      <c r="H2742" s="2" t="str">
        <f aca="false">IFERROR(__xludf.dummyfunction("IF(I2766="""", """", REGEXEXTRACT(I2766, ""Padrao/([^/]+)""))"),"Jardim Paulista")</f>
        <v>Jardim Paulista</v>
      </c>
    </row>
    <row r="2743" customFormat="false" ht="15.75" hidden="false" customHeight="false" outlineLevel="0" collapsed="false">
      <c r="A2743" s="2" t="n">
        <v>29600</v>
      </c>
      <c r="B2743" s="2" t="s">
        <v>2252</v>
      </c>
      <c r="C2743" s="2" t="n">
        <v>1</v>
      </c>
      <c r="D2743" s="2" t="n">
        <v>1</v>
      </c>
      <c r="E2743" s="2" t="n">
        <v>1</v>
      </c>
      <c r="F2743" s="2" t="n">
        <v>42</v>
      </c>
      <c r="G2743" s="2" t="s">
        <v>554</v>
      </c>
      <c r="H2743" s="2" t="str">
        <f aca="false">IFERROR(__xludf.dummyfunction("IF(I2767="""", """", REGEXEXTRACT(I2767, ""Padrao/([^/]+)""))"),"Vila Ana Maria")</f>
        <v>Vila Ana Maria</v>
      </c>
    </row>
    <row r="2744" customFormat="false" ht="15.75" hidden="false" customHeight="false" outlineLevel="0" collapsed="false">
      <c r="A2744" s="2" t="n">
        <v>12977</v>
      </c>
      <c r="B2744" s="2" t="s">
        <v>1060</v>
      </c>
      <c r="C2744" s="2" t="n">
        <v>3</v>
      </c>
      <c r="D2744" s="2" t="n">
        <v>2</v>
      </c>
      <c r="E2744" s="2" t="n">
        <v>1</v>
      </c>
      <c r="F2744" s="2" t="n">
        <v>66</v>
      </c>
      <c r="G2744" s="2" t="s">
        <v>554</v>
      </c>
      <c r="H2744" s="2" t="str">
        <f aca="false">IFERROR(__xludf.dummyfunction("IF(I2768="""", """", REGEXEXTRACT(I2768, ""Padrao/([^/]+)""))"),"Parque Industrial Lagoinha")</f>
        <v>Parque Industrial Lagoinha</v>
      </c>
    </row>
    <row r="2745" customFormat="false" ht="15.75" hidden="false" customHeight="false" outlineLevel="0" collapsed="false">
      <c r="A2745" s="2" t="n">
        <v>209495</v>
      </c>
      <c r="B2745" s="2" t="s">
        <v>1699</v>
      </c>
      <c r="C2745" s="2" t="n">
        <v>1</v>
      </c>
      <c r="D2745" s="2" t="n">
        <v>1</v>
      </c>
      <c r="E2745" s="2" t="n">
        <v>1</v>
      </c>
      <c r="F2745" s="2" t="n">
        <v>45</v>
      </c>
      <c r="G2745" s="2" t="s">
        <v>2253</v>
      </c>
      <c r="H2745" s="2" t="str">
        <f aca="false">IFERROR(__xludf.dummyfunction("IF(I2769="""", """", REGEXEXTRACT(I2769, ""Padrao/([^/]+)""))"),"Nova Alianca")</f>
        <v>Nova Alianca</v>
      </c>
    </row>
    <row r="2746" customFormat="false" ht="15.75" hidden="false" customHeight="false" outlineLevel="0" collapsed="false">
      <c r="A2746" s="2" t="n">
        <v>129431</v>
      </c>
      <c r="B2746" s="2" t="s">
        <v>2254</v>
      </c>
      <c r="C2746" s="2" t="n">
        <v>2</v>
      </c>
      <c r="D2746" s="2" t="n">
        <v>2</v>
      </c>
      <c r="E2746" s="2" t="n">
        <v>1</v>
      </c>
      <c r="F2746" s="2" t="n">
        <v>51</v>
      </c>
      <c r="G2746" s="2" t="s">
        <v>2253</v>
      </c>
      <c r="H2746" s="2" t="str">
        <f aca="false">IFERROR(__xludf.dummyfunction("IF(I2770="""", """", REGEXEXTRACT(I2770, ""Padrao/([^/]+)""))"),"Presidente Medici")</f>
        <v>Presidente Medici</v>
      </c>
    </row>
    <row r="2747" customFormat="false" ht="15.75" hidden="false" customHeight="false" outlineLevel="0" collapsed="false">
      <c r="A2747" s="2" t="n">
        <v>133862</v>
      </c>
      <c r="B2747" s="2" t="s">
        <v>162</v>
      </c>
      <c r="C2747" s="2" t="n">
        <v>2</v>
      </c>
      <c r="D2747" s="2" t="n">
        <v>2</v>
      </c>
      <c r="E2747" s="2" t="n">
        <v>1</v>
      </c>
      <c r="F2747" s="2" t="n">
        <v>52</v>
      </c>
      <c r="G2747" s="2" t="s">
        <v>549</v>
      </c>
      <c r="H2747" s="2" t="str">
        <f aca="false">IFERROR(__xludf.dummyfunction("IF(I2771="""", """", REGEXEXTRACT(I2771, ""Padrao/([^/]+)""))"),"Residencial Greenville")</f>
        <v>Residencial Greenville</v>
      </c>
    </row>
    <row r="2748" customFormat="false" ht="15.75" hidden="false" customHeight="false" outlineLevel="0" collapsed="false">
      <c r="A2748" s="2" t="n">
        <v>204338</v>
      </c>
      <c r="B2748" s="2" t="s">
        <v>2255</v>
      </c>
      <c r="C2748" s="2" t="n">
        <v>2</v>
      </c>
      <c r="D2748" s="2" t="n">
        <v>1</v>
      </c>
      <c r="E2748" s="2" t="n">
        <v>1</v>
      </c>
      <c r="F2748" s="2" t="n">
        <v>46</v>
      </c>
      <c r="G2748" s="2" t="s">
        <v>2256</v>
      </c>
      <c r="H2748" s="2" t="str">
        <f aca="false">IFERROR(__xludf.dummyfunction("IF(I2772="""", """", REGEXEXTRACT(I2772, ""Padrao/([^/]+)""))"),"City Ribeirao")</f>
        <v>City Ribeirao</v>
      </c>
    </row>
    <row r="2749" customFormat="false" ht="15.75" hidden="false" customHeight="false" outlineLevel="0" collapsed="false">
      <c r="A2749" s="2" t="n">
        <v>146828</v>
      </c>
      <c r="B2749" s="2" t="s">
        <v>1255</v>
      </c>
      <c r="C2749" s="2" t="n">
        <v>2</v>
      </c>
      <c r="D2749" s="2" t="n">
        <v>1</v>
      </c>
      <c r="E2749" s="2" t="n">
        <v>1</v>
      </c>
      <c r="F2749" s="2" t="n">
        <v>44</v>
      </c>
      <c r="G2749" s="2" t="s">
        <v>2256</v>
      </c>
      <c r="H2749" s="2" t="str">
        <f aca="false">IFERROR(__xludf.dummyfunction("IF(I2773="""", """", REGEXEXTRACT(I2773, ""Padrao/([^/]+)""))"),"Residencial Greenville")</f>
        <v>Residencial Greenville</v>
      </c>
    </row>
    <row r="2750" customFormat="false" ht="15.75" hidden="false" customHeight="false" outlineLevel="0" collapsed="false">
      <c r="A2750" s="2" t="n">
        <v>222635</v>
      </c>
      <c r="B2750" s="2" t="s">
        <v>1610</v>
      </c>
      <c r="C2750" s="2" t="n">
        <v>2</v>
      </c>
      <c r="D2750" s="2" t="n">
        <v>1</v>
      </c>
      <c r="E2750" s="2" t="n">
        <v>1</v>
      </c>
      <c r="F2750" s="2" t="n">
        <v>43</v>
      </c>
      <c r="G2750" s="2" t="s">
        <v>543</v>
      </c>
      <c r="H2750" s="2" t="str">
        <f aca="false">IFERROR(__xludf.dummyfunction("IF(I2774="""", """", REGEXEXTRACT(I2774, ""Padrao/([^/]+)""))"),"Loteamento Santa Marta")</f>
        <v>Loteamento Santa Marta</v>
      </c>
    </row>
    <row r="2751" customFormat="false" ht="15.75" hidden="false" customHeight="false" outlineLevel="0" collapsed="false">
      <c r="A2751" s="2" t="n">
        <v>159365</v>
      </c>
      <c r="B2751" s="2" t="s">
        <v>2257</v>
      </c>
      <c r="C2751" s="2" t="n">
        <v>2</v>
      </c>
      <c r="D2751" s="2" t="n">
        <v>1</v>
      </c>
      <c r="E2751" s="2" t="n">
        <v>1</v>
      </c>
      <c r="F2751" s="2" t="n">
        <v>54</v>
      </c>
      <c r="G2751" s="2" t="s">
        <v>561</v>
      </c>
      <c r="H2751" s="2" t="str">
        <f aca="false">IFERROR(__xludf.dummyfunction("IF(I2775="""", """", REGEXEXTRACT(I2775, ""Padrao/([^/]+)""))"),"Residencial e Comercial Palmares")</f>
        <v>Residencial e Comercial Palmares</v>
      </c>
    </row>
    <row r="2752" customFormat="false" ht="15.75" hidden="false" customHeight="false" outlineLevel="0" collapsed="false">
      <c r="A2752" s="2" t="n">
        <v>144929</v>
      </c>
      <c r="B2752" s="2" t="s">
        <v>2258</v>
      </c>
      <c r="C2752" s="2" t="n">
        <v>2</v>
      </c>
      <c r="D2752" s="2" t="n">
        <v>1</v>
      </c>
      <c r="E2752" s="2" t="n">
        <v>1</v>
      </c>
      <c r="F2752" s="2" t="n">
        <v>42</v>
      </c>
      <c r="G2752" s="2" t="s">
        <v>561</v>
      </c>
      <c r="H2752" s="2" t="str">
        <f aca="false">IFERROR(__xludf.dummyfunction("IF(I2776="""", """", REGEXEXTRACT(I2776, ""Padrao/([^/]+)""))"),"Ipiranga")</f>
        <v>Ipiranga</v>
      </c>
    </row>
    <row r="2753" customFormat="false" ht="15.75" hidden="false" customHeight="false" outlineLevel="0" collapsed="false">
      <c r="A2753" s="2" t="n">
        <v>68525</v>
      </c>
      <c r="B2753" s="2" t="s">
        <v>2250</v>
      </c>
      <c r="C2753" s="2" t="n">
        <v>1</v>
      </c>
      <c r="D2753" s="2" t="n">
        <v>1</v>
      </c>
      <c r="E2753" s="2" t="n">
        <v>1</v>
      </c>
      <c r="F2753" s="2" t="n">
        <v>44</v>
      </c>
      <c r="G2753" s="2" t="s">
        <v>561</v>
      </c>
      <c r="H2753" s="2" t="str">
        <f aca="false">IFERROR(__xludf.dummyfunction("IF(I2777="""", """", REGEXEXTRACT(I2777, ""Padrao/([^/]+)""))"),"Jardim Sumare")</f>
        <v>Jardim Sumare</v>
      </c>
    </row>
    <row r="2754" customFormat="false" ht="15.75" hidden="false" customHeight="false" outlineLevel="0" collapsed="false">
      <c r="A2754" s="2" t="n">
        <v>102410</v>
      </c>
      <c r="B2754" s="2" t="s">
        <v>2259</v>
      </c>
      <c r="C2754" s="2" t="n">
        <v>2</v>
      </c>
      <c r="D2754" s="2" t="n">
        <v>1</v>
      </c>
      <c r="E2754" s="2" t="n">
        <v>1</v>
      </c>
      <c r="F2754" s="2" t="n">
        <v>50</v>
      </c>
      <c r="G2754" s="2" t="s">
        <v>525</v>
      </c>
      <c r="H2754" s="2" t="str">
        <f aca="false">IFERROR(__xludf.dummyfunction("IF(I2779="""", """", REGEXEXTRACT(I2779, ""Padrao/([^/]+)""))"),"Vila Maria Luiza")</f>
        <v>Vila Maria Luiza</v>
      </c>
    </row>
    <row r="2755" customFormat="false" ht="15.75" hidden="false" customHeight="false" outlineLevel="0" collapsed="false">
      <c r="A2755" s="2" t="n">
        <v>220157</v>
      </c>
      <c r="B2755" s="2" t="s">
        <v>2260</v>
      </c>
      <c r="C2755" s="2" t="n">
        <v>1</v>
      </c>
      <c r="D2755" s="2" t="n">
        <v>1</v>
      </c>
      <c r="E2755" s="2" t="n">
        <v>1</v>
      </c>
      <c r="F2755" s="2" t="n">
        <v>34</v>
      </c>
      <c r="G2755" s="2" t="s">
        <v>543</v>
      </c>
      <c r="H2755" s="2" t="str">
        <f aca="false">IFERROR(__xludf.dummyfunction("IF(I2780="""", """", REGEXEXTRACT(I2780, ""Padrao/([^/]+)""))"),"Quintas de Sao Jose")</f>
        <v>Quintas de Sao Jose</v>
      </c>
    </row>
    <row r="2756" customFormat="false" ht="15.75" hidden="false" customHeight="false" outlineLevel="0" collapsed="false">
      <c r="A2756" s="2" t="n">
        <v>157508</v>
      </c>
      <c r="B2756" s="2" t="s">
        <v>2261</v>
      </c>
      <c r="C2756" s="2" t="n">
        <v>3</v>
      </c>
      <c r="D2756" s="2" t="n">
        <v>2</v>
      </c>
      <c r="E2756" s="2" t="n">
        <v>1</v>
      </c>
      <c r="F2756" s="2" t="n">
        <v>67</v>
      </c>
      <c r="G2756" s="2" t="s">
        <v>543</v>
      </c>
      <c r="H2756" s="2" t="str">
        <f aca="false">IFERROR(__xludf.dummyfunction("IF(I2781="""", """", REGEXEXTRACT(I2781, ""Padrao/([^/]+)""))"),"Jardim Palma Travassos")</f>
        <v>Jardim Palma Travassos</v>
      </c>
    </row>
    <row r="2757" customFormat="false" ht="15.75" hidden="false" customHeight="false" outlineLevel="0" collapsed="false">
      <c r="A2757" s="2" t="n">
        <v>147173</v>
      </c>
      <c r="B2757" s="2" t="s">
        <v>2262</v>
      </c>
      <c r="C2757" s="2" t="n">
        <v>2</v>
      </c>
      <c r="D2757" s="2" t="n">
        <v>1</v>
      </c>
      <c r="E2757" s="2" t="n">
        <v>1</v>
      </c>
      <c r="F2757" s="2" t="n">
        <v>62</v>
      </c>
      <c r="G2757" s="2" t="s">
        <v>543</v>
      </c>
      <c r="H2757" s="2" t="str">
        <f aca="false">IFERROR(__xludf.dummyfunction("IF(I2782="""", """", REGEXEXTRACT(I2782, ""Padrao/([^/]+)""))"),"Residencial Florida")</f>
        <v>Residencial Florida</v>
      </c>
    </row>
    <row r="2758" customFormat="false" ht="15.75" hidden="false" customHeight="false" outlineLevel="0" collapsed="false">
      <c r="A2758" s="2" t="n">
        <v>115628</v>
      </c>
      <c r="B2758" s="2" t="s">
        <v>2263</v>
      </c>
      <c r="C2758" s="2" t="n">
        <v>2</v>
      </c>
      <c r="D2758" s="2" t="n">
        <v>2</v>
      </c>
      <c r="E2758" s="2" t="n">
        <v>1</v>
      </c>
      <c r="F2758" s="2" t="n">
        <v>82</v>
      </c>
      <c r="G2758" s="2" t="s">
        <v>549</v>
      </c>
      <c r="H2758" s="2" t="str">
        <f aca="false">IFERROR(__xludf.dummyfunction("IF(I2783="""", """", REGEXEXTRACT(I2783, ""Padrao/([^/]+)""))"),"Campos Eliseos")</f>
        <v>Campos Eliseos</v>
      </c>
    </row>
    <row r="2759" customFormat="false" ht="15.75" hidden="false" customHeight="false" outlineLevel="0" collapsed="false">
      <c r="A2759" s="2" t="n">
        <v>115031</v>
      </c>
      <c r="B2759" s="2" t="s">
        <v>162</v>
      </c>
      <c r="C2759" s="2" t="n">
        <v>2</v>
      </c>
      <c r="D2759" s="2" t="n">
        <v>1</v>
      </c>
      <c r="E2759" s="2" t="n">
        <v>1</v>
      </c>
      <c r="F2759" s="2" t="n">
        <v>53</v>
      </c>
      <c r="G2759" s="2" t="s">
        <v>549</v>
      </c>
      <c r="H2759" s="2" t="str">
        <f aca="false">IFERROR(__xludf.dummyfunction("IF(I2784="""", """", REGEXEXTRACT(I2784, ""Padrao/([^/]+)""))"),"Campos Eliseos")</f>
        <v>Campos Eliseos</v>
      </c>
    </row>
    <row r="2760" customFormat="false" ht="15.75" hidden="false" customHeight="false" outlineLevel="0" collapsed="false">
      <c r="A2760" s="2" t="n">
        <v>241103</v>
      </c>
      <c r="B2760" s="2" t="s">
        <v>2264</v>
      </c>
      <c r="C2760" s="2" t="n">
        <v>2</v>
      </c>
      <c r="D2760" s="2" t="n">
        <v>2</v>
      </c>
      <c r="E2760" s="2" t="n">
        <v>1</v>
      </c>
      <c r="F2760" s="2" t="n">
        <v>58</v>
      </c>
      <c r="G2760" s="2" t="s">
        <v>2265</v>
      </c>
      <c r="H2760" s="2" t="str">
        <f aca="false">IFERROR(__xludf.dummyfunction("IF(I2785="""", """", REGEXEXTRACT(I2785, ""Padrao/([^/]+)""))"),"Campos Eliseos")</f>
        <v>Campos Eliseos</v>
      </c>
    </row>
    <row r="2761" customFormat="false" ht="15.75" hidden="false" customHeight="false" outlineLevel="0" collapsed="false">
      <c r="A2761" s="2" t="n">
        <v>226415</v>
      </c>
      <c r="B2761" s="2" t="s">
        <v>2266</v>
      </c>
      <c r="C2761" s="2" t="n">
        <v>3</v>
      </c>
      <c r="D2761" s="2" t="n">
        <v>2</v>
      </c>
      <c r="E2761" s="2" t="n">
        <v>1</v>
      </c>
      <c r="F2761" s="2" t="n">
        <v>80</v>
      </c>
      <c r="G2761" s="2" t="s">
        <v>2265</v>
      </c>
      <c r="H2761" s="2" t="str">
        <f aca="false">IFERROR(__xludf.dummyfunction("IF(I2786="""", """", REGEXEXTRACT(I2786, ""Padrao/([^/]+)""))"),"Jardim Palma Travassos")</f>
        <v>Jardim Palma Travassos</v>
      </c>
    </row>
    <row r="2762" customFormat="false" ht="15.75" hidden="false" customHeight="false" outlineLevel="0" collapsed="false">
      <c r="A2762" s="2" t="n">
        <v>223814</v>
      </c>
      <c r="B2762" s="2" t="s">
        <v>2017</v>
      </c>
      <c r="C2762" s="2" t="n">
        <v>2</v>
      </c>
      <c r="D2762" s="2" t="n">
        <v>1</v>
      </c>
      <c r="E2762" s="2" t="n">
        <v>1</v>
      </c>
      <c r="F2762" s="2" t="n">
        <v>44</v>
      </c>
      <c r="G2762" s="2" t="s">
        <v>2265</v>
      </c>
      <c r="H2762" s="2" t="str">
        <f aca="false">IFERROR(__xludf.dummyfunction("IF(I2787="""", """", REGEXEXTRACT(I2787, ""Padrao/([^/]+)""))"),"Recreio das Acacias")</f>
        <v>Recreio das Acacias</v>
      </c>
    </row>
    <row r="2763" customFormat="false" ht="15.75" hidden="false" customHeight="false" outlineLevel="0" collapsed="false">
      <c r="A2763" s="2" t="n">
        <v>223412</v>
      </c>
      <c r="B2763" s="2" t="s">
        <v>2267</v>
      </c>
      <c r="C2763" s="2" t="n">
        <v>2</v>
      </c>
      <c r="D2763" s="2" t="n">
        <v>1</v>
      </c>
      <c r="E2763" s="2" t="n">
        <v>1</v>
      </c>
      <c r="F2763" s="2" t="n">
        <v>52</v>
      </c>
      <c r="G2763" s="2" t="s">
        <v>2265</v>
      </c>
      <c r="H2763" s="2" t="str">
        <f aca="false">IFERROR(__xludf.dummyfunction("IF(I2788="""", """", REGEXEXTRACT(I2788, ""Padrao/([^/]+)""))"),"Alto do Ipiranga")</f>
        <v>Alto do Ipiranga</v>
      </c>
    </row>
    <row r="2764" customFormat="false" ht="15.75" hidden="false" customHeight="false" outlineLevel="0" collapsed="false">
      <c r="A2764" s="2" t="n">
        <v>209843</v>
      </c>
      <c r="B2764" s="2" t="s">
        <v>2268</v>
      </c>
      <c r="C2764" s="2" t="n">
        <v>2</v>
      </c>
      <c r="D2764" s="2" t="n">
        <v>2</v>
      </c>
      <c r="E2764" s="2" t="n">
        <v>1</v>
      </c>
      <c r="F2764" s="2" t="n">
        <v>53</v>
      </c>
      <c r="G2764" s="2" t="s">
        <v>2265</v>
      </c>
      <c r="H2764" s="2" t="str">
        <f aca="false">IFERROR(__xludf.dummyfunction("IF(I2789="""", """", REGEXEXTRACT(I2789, ""Padrao/([^/]+)""))"),"Residencial Greenville")</f>
        <v>Residencial Greenville</v>
      </c>
    </row>
    <row r="2765" customFormat="false" ht="15.75" hidden="false" customHeight="false" outlineLevel="0" collapsed="false">
      <c r="A2765" s="2" t="n">
        <v>207758</v>
      </c>
      <c r="B2765" s="2" t="s">
        <v>2269</v>
      </c>
      <c r="C2765" s="2" t="n">
        <v>2</v>
      </c>
      <c r="D2765" s="2" t="n">
        <v>1</v>
      </c>
      <c r="E2765" s="2" t="n">
        <v>1</v>
      </c>
      <c r="F2765" s="2" t="n">
        <v>44</v>
      </c>
      <c r="G2765" s="2" t="s">
        <v>2265</v>
      </c>
      <c r="H2765" s="2" t="str">
        <f aca="false">IFERROR(__xludf.dummyfunction("IF(I2790="""", """", REGEXEXTRACT(I2790, ""Padrao/([^/]+)""))"),"Residencial Greenville")</f>
        <v>Residencial Greenville</v>
      </c>
    </row>
    <row r="2766" customFormat="false" ht="15.75" hidden="false" customHeight="false" outlineLevel="0" collapsed="false">
      <c r="A2766" s="2" t="n">
        <v>198731</v>
      </c>
      <c r="B2766" s="2" t="s">
        <v>2270</v>
      </c>
      <c r="C2766" s="2" t="n">
        <v>2</v>
      </c>
      <c r="D2766" s="2" t="n">
        <v>1</v>
      </c>
      <c r="E2766" s="2" t="n">
        <v>1</v>
      </c>
      <c r="F2766" s="2" t="n">
        <v>40</v>
      </c>
      <c r="G2766" s="2" t="s">
        <v>2265</v>
      </c>
      <c r="H2766" s="2" t="str">
        <f aca="false">IFERROR(__xludf.dummyfunction("IF(I2791="""", """", REGEXEXTRACT(I2791, ""Padrao/([^/]+)""))"),"Recreio das Acacias")</f>
        <v>Recreio das Acacias</v>
      </c>
    </row>
    <row r="2767" customFormat="false" ht="15.75" hidden="false" customHeight="false" outlineLevel="0" collapsed="false">
      <c r="A2767" s="2" t="n">
        <v>192164</v>
      </c>
      <c r="B2767" s="2" t="s">
        <v>2271</v>
      </c>
      <c r="C2767" s="2" t="n">
        <v>2</v>
      </c>
      <c r="D2767" s="2" t="n">
        <v>1</v>
      </c>
      <c r="E2767" s="2" t="n">
        <v>1</v>
      </c>
      <c r="F2767" s="2" t="n">
        <v>47</v>
      </c>
      <c r="G2767" s="2" t="s">
        <v>2265</v>
      </c>
      <c r="H2767" s="2" t="str">
        <f aca="false">IFERROR(__xludf.dummyfunction("IF(I2792="""", """", REGEXEXTRACT(I2792, ""Padrao/([^/]+)""))"),"City Ribeirao")</f>
        <v>City Ribeirao</v>
      </c>
    </row>
    <row r="2768" customFormat="false" ht="15.75" hidden="false" customHeight="false" outlineLevel="0" collapsed="false">
      <c r="A2768" s="2" t="n">
        <v>184574</v>
      </c>
      <c r="B2768" s="2" t="s">
        <v>2132</v>
      </c>
      <c r="C2768" s="2" t="n">
        <v>2</v>
      </c>
      <c r="D2768" s="2" t="n">
        <v>2</v>
      </c>
      <c r="E2768" s="2" t="n">
        <v>1</v>
      </c>
      <c r="F2768" s="2" t="n">
        <v>67</v>
      </c>
      <c r="G2768" s="2" t="s">
        <v>2265</v>
      </c>
      <c r="H2768" s="2" t="str">
        <f aca="false">IFERROR(__xludf.dummyfunction("IF(I2793="""", """", REGEXEXTRACT(I2793, ""Padrao/([^/]+)""))"),"Jardim Formoso")</f>
        <v>Jardim Formoso</v>
      </c>
    </row>
    <row r="2769" customFormat="false" ht="15.75" hidden="false" customHeight="false" outlineLevel="0" collapsed="false">
      <c r="A2769" s="2" t="n">
        <v>182873</v>
      </c>
      <c r="B2769" s="2" t="s">
        <v>1406</v>
      </c>
      <c r="C2769" s="2" t="n">
        <v>2</v>
      </c>
      <c r="D2769" s="2" t="n">
        <v>2</v>
      </c>
      <c r="E2769" s="2" t="n">
        <v>1</v>
      </c>
      <c r="F2769" s="2" t="n">
        <v>76</v>
      </c>
      <c r="G2769" s="2" t="s">
        <v>2265</v>
      </c>
      <c r="H2769" s="2" t="str">
        <f aca="false">IFERROR(__xludf.dummyfunction("IF(I2794="""", """", REGEXEXTRACT(I2794, ""Padrao/([^/]+)""))"),"Centro")</f>
        <v>Centro</v>
      </c>
    </row>
    <row r="2770" customFormat="false" ht="15.75" hidden="false" customHeight="false" outlineLevel="0" collapsed="false">
      <c r="A2770" s="2" t="n">
        <v>178844</v>
      </c>
      <c r="B2770" s="2" t="s">
        <v>2272</v>
      </c>
      <c r="C2770" s="2" t="n">
        <v>2</v>
      </c>
      <c r="D2770" s="2" t="n">
        <v>2</v>
      </c>
      <c r="E2770" s="2" t="n">
        <v>2</v>
      </c>
      <c r="F2770" s="2" t="n">
        <v>71</v>
      </c>
      <c r="G2770" s="2" t="s">
        <v>2265</v>
      </c>
      <c r="H2770" s="2" t="str">
        <f aca="false">IFERROR(__xludf.dummyfunction("IF(I2795="""", """", REGEXEXTRACT(I2795, ""Padrao/([^/]+)""))"),"Residencial e Comercial Palmares")</f>
        <v>Residencial e Comercial Palmares</v>
      </c>
    </row>
    <row r="2771" customFormat="false" ht="15.75" hidden="false" customHeight="false" outlineLevel="0" collapsed="false">
      <c r="A2771" s="2" t="n">
        <v>178382</v>
      </c>
      <c r="B2771" s="2" t="s">
        <v>2273</v>
      </c>
      <c r="C2771" s="2" t="n">
        <v>2</v>
      </c>
      <c r="D2771" s="2" t="n">
        <v>1</v>
      </c>
      <c r="E2771" s="2" t="n">
        <v>1</v>
      </c>
      <c r="F2771" s="2" t="n">
        <v>48</v>
      </c>
      <c r="G2771" s="2" t="s">
        <v>2265</v>
      </c>
      <c r="H2771" s="2" t="str">
        <f aca="false">IFERROR(__xludf.dummyfunction("IF(I2796="""", """", REGEXEXTRACT(I2796, ""Padrao/([^/]+)""))"),"Condominio Mirante Sul")</f>
        <v>Condominio Mirante Sul</v>
      </c>
    </row>
    <row r="2772" customFormat="false" ht="15.75" hidden="false" customHeight="false" outlineLevel="0" collapsed="false">
      <c r="A2772" s="2" t="n">
        <v>166676</v>
      </c>
      <c r="B2772" s="2" t="s">
        <v>602</v>
      </c>
      <c r="C2772" s="2" t="n">
        <v>2</v>
      </c>
      <c r="D2772" s="2" t="n">
        <v>2</v>
      </c>
      <c r="E2772" s="2" t="n">
        <v>1</v>
      </c>
      <c r="F2772" s="2" t="n">
        <v>41</v>
      </c>
      <c r="G2772" s="2" t="s">
        <v>2265</v>
      </c>
      <c r="H2772" s="2" t="str">
        <f aca="false">IFERROR(__xludf.dummyfunction("IF(I2797="""", """", REGEXEXTRACT(I2797, ""Padrao/([^/]+)""))"),"Vila Seixas")</f>
        <v>Vila Seixas</v>
      </c>
    </row>
    <row r="2773" customFormat="false" ht="15.75" hidden="false" customHeight="false" outlineLevel="0" collapsed="false">
      <c r="A2773" s="2" t="n">
        <v>162719</v>
      </c>
      <c r="B2773" s="2" t="s">
        <v>2274</v>
      </c>
      <c r="C2773" s="2" t="n">
        <v>1</v>
      </c>
      <c r="D2773" s="2" t="n">
        <v>1</v>
      </c>
      <c r="E2773" s="2" t="n">
        <v>1</v>
      </c>
      <c r="F2773" s="2" t="n">
        <v>58</v>
      </c>
      <c r="G2773" s="2" t="s">
        <v>2265</v>
      </c>
      <c r="H2773" s="2" t="str">
        <f aca="false">IFERROR(__xludf.dummyfunction("IF(I2798="""", """", REGEXEXTRACT(I2798, ""Padrao/([^/]+)""))"),"Vila Seixas")</f>
        <v>Vila Seixas</v>
      </c>
    </row>
    <row r="2774" customFormat="false" ht="15.75" hidden="false" customHeight="false" outlineLevel="0" collapsed="false">
      <c r="A2774" s="2" t="n">
        <v>159473</v>
      </c>
      <c r="B2774" s="2" t="s">
        <v>2275</v>
      </c>
      <c r="C2774" s="2" t="n">
        <v>2</v>
      </c>
      <c r="D2774" s="2" t="n">
        <v>1</v>
      </c>
      <c r="E2774" s="2" t="n">
        <v>1</v>
      </c>
      <c r="F2774" s="2" t="n">
        <v>40</v>
      </c>
      <c r="G2774" s="2" t="s">
        <v>2265</v>
      </c>
      <c r="H2774" s="2" t="str">
        <f aca="false">IFERROR(__xludf.dummyfunction("IF(I2799="""", """", REGEXEXTRACT(I2799, ""Padrao/([^/]+)""))"),"Jardim Castelo Branco")</f>
        <v>Jardim Castelo Branco</v>
      </c>
    </row>
    <row r="2775" customFormat="false" ht="15.75" hidden="false" customHeight="false" outlineLevel="0" collapsed="false">
      <c r="A2775" s="2" t="n">
        <v>152408</v>
      </c>
      <c r="B2775" s="2" t="s">
        <v>2276</v>
      </c>
      <c r="C2775" s="2" t="n">
        <v>3</v>
      </c>
      <c r="D2775" s="2" t="n">
        <v>2</v>
      </c>
      <c r="E2775" s="2" t="n">
        <v>2</v>
      </c>
      <c r="F2775" s="2" t="n">
        <v>82</v>
      </c>
      <c r="G2775" s="2" t="s">
        <v>2265</v>
      </c>
      <c r="H2775" s="2" t="str">
        <f aca="false">IFERROR(__xludf.dummyfunction("IF(I2800="""", """", REGEXEXTRACT(I2800, ""Padrao/([^/]+)""))"),"Residencial e Comercial Palmares")</f>
        <v>Residencial e Comercial Palmares</v>
      </c>
    </row>
    <row r="2776" customFormat="false" ht="15.75" hidden="false" customHeight="false" outlineLevel="0" collapsed="false">
      <c r="A2776" s="2" t="n">
        <v>149978</v>
      </c>
      <c r="B2776" s="2" t="s">
        <v>1381</v>
      </c>
      <c r="C2776" s="2" t="n">
        <v>1</v>
      </c>
      <c r="D2776" s="2" t="n">
        <v>1</v>
      </c>
      <c r="E2776" s="2" t="n">
        <v>1</v>
      </c>
      <c r="F2776" s="2" t="n">
        <v>37</v>
      </c>
      <c r="G2776" s="2" t="s">
        <v>2265</v>
      </c>
      <c r="H2776" s="2" t="str">
        <f aca="false">IFERROR(__xludf.dummyfunction("IF(I2801="""", """", REGEXEXTRACT(I2801, ""Padrao/([^/]+)""))"),"Presidente Medici")</f>
        <v>Presidente Medici</v>
      </c>
    </row>
    <row r="2777" customFormat="false" ht="15.75" hidden="false" customHeight="false" outlineLevel="0" collapsed="false">
      <c r="A2777" s="2" t="n">
        <v>142943</v>
      </c>
      <c r="B2777" s="2" t="s">
        <v>2277</v>
      </c>
      <c r="C2777" s="2" t="n">
        <v>1</v>
      </c>
      <c r="D2777" s="2" t="n">
        <v>1</v>
      </c>
      <c r="E2777" s="2" t="n">
        <v>1</v>
      </c>
      <c r="F2777" s="2" t="n">
        <v>43</v>
      </c>
      <c r="G2777" s="2" t="s">
        <v>2265</v>
      </c>
      <c r="H2777" s="2" t="str">
        <f aca="false">IFERROR(__xludf.dummyfunction("IF(I2802="""", """", REGEXEXTRACT(I2802, ""Padrao/([^/]+)""))"),"Vila Ana Maria")</f>
        <v>Vila Ana Maria</v>
      </c>
    </row>
    <row r="2778" customFormat="false" ht="15.75" hidden="false" customHeight="false" outlineLevel="0" collapsed="false">
      <c r="A2778" s="2" t="n">
        <v>141326</v>
      </c>
      <c r="B2778" s="2" t="s">
        <v>2278</v>
      </c>
      <c r="C2778" s="2" t="n">
        <v>1</v>
      </c>
      <c r="D2778" s="2" t="n">
        <v>1</v>
      </c>
      <c r="E2778" s="2" t="n">
        <v>1</v>
      </c>
      <c r="F2778" s="2" t="n">
        <v>48</v>
      </c>
      <c r="G2778" s="2" t="s">
        <v>2265</v>
      </c>
      <c r="H2778" s="2" t="str">
        <f aca="false">IFERROR(__xludf.dummyfunction("IF(I2803="""", """", REGEXEXTRACT(I2803, ""Padrao/([^/]+)""))"),"Centro")</f>
        <v>Centro</v>
      </c>
    </row>
    <row r="2779" customFormat="false" ht="15.75" hidden="false" customHeight="false" outlineLevel="0" collapsed="false">
      <c r="A2779" s="2" t="n">
        <v>132119</v>
      </c>
      <c r="B2779" s="2" t="s">
        <v>1719</v>
      </c>
      <c r="C2779" s="2" t="n">
        <v>2</v>
      </c>
      <c r="D2779" s="2" t="n">
        <v>1</v>
      </c>
      <c r="E2779" s="2" t="n">
        <v>1</v>
      </c>
      <c r="F2779" s="2" t="n">
        <v>47</v>
      </c>
      <c r="G2779" s="2" t="s">
        <v>2265</v>
      </c>
      <c r="H2779" s="2" t="str">
        <f aca="false">IFERROR(__xludf.dummyfunction("IF(I2804="""", """", REGEXEXTRACT(I2804, ""Padrao/([^/]+)""))"),"Alto do Ipiranga")</f>
        <v>Alto do Ipiranga</v>
      </c>
    </row>
    <row r="2780" customFormat="false" ht="15.75" hidden="false" customHeight="false" outlineLevel="0" collapsed="false">
      <c r="A2780" s="2" t="n">
        <v>128666</v>
      </c>
      <c r="B2780" s="2" t="s">
        <v>1746</v>
      </c>
      <c r="C2780" s="2" t="n">
        <v>1</v>
      </c>
      <c r="D2780" s="2" t="n">
        <v>1</v>
      </c>
      <c r="E2780" s="2" t="n">
        <v>1</v>
      </c>
      <c r="F2780" s="2" t="n">
        <v>38</v>
      </c>
      <c r="G2780" s="2" t="s">
        <v>2265</v>
      </c>
      <c r="H2780" s="2" t="str">
        <f aca="false">IFERROR(__xludf.dummyfunction("IF(I2805="""", """", REGEXEXTRACT(I2805, ""Padrao/([^/]+)""))"),"Nova Alianca")</f>
        <v>Nova Alianca</v>
      </c>
    </row>
    <row r="2781" customFormat="false" ht="15.75" hidden="false" customHeight="false" outlineLevel="0" collapsed="false">
      <c r="A2781" s="2" t="n">
        <v>118931</v>
      </c>
      <c r="B2781" s="2" t="s">
        <v>2279</v>
      </c>
      <c r="C2781" s="2" t="n">
        <v>2</v>
      </c>
      <c r="D2781" s="2" t="n">
        <v>1</v>
      </c>
      <c r="E2781" s="2" t="n">
        <v>1</v>
      </c>
      <c r="F2781" s="2" t="n">
        <v>53</v>
      </c>
      <c r="G2781" s="2" t="s">
        <v>2265</v>
      </c>
      <c r="H2781" s="2" t="str">
        <f aca="false">IFERROR(__xludf.dummyfunction("IF(I2806="""", """", REGEXEXTRACT(I2806, ""Padrao/([^/]+)""))"),"Condominio Mirante Sul")</f>
        <v>Condominio Mirante Sul</v>
      </c>
    </row>
    <row r="2782" customFormat="false" ht="15.75" hidden="false" customHeight="false" outlineLevel="0" collapsed="false">
      <c r="A2782" s="2" t="n">
        <v>118592</v>
      </c>
      <c r="B2782" s="2" t="s">
        <v>2280</v>
      </c>
      <c r="C2782" s="2" t="n">
        <v>2</v>
      </c>
      <c r="D2782" s="2" t="n">
        <v>2</v>
      </c>
      <c r="E2782" s="2" t="n">
        <v>1</v>
      </c>
      <c r="F2782" s="2" t="n">
        <v>59</v>
      </c>
      <c r="G2782" s="2" t="s">
        <v>2265</v>
      </c>
      <c r="H2782" s="2" t="str">
        <f aca="false">IFERROR(__xludf.dummyfunction("IF(I2807="""", """", REGEXEXTRACT(I2807, ""Padrao/([^/]+)""))"),"Residencial e Comercial Palmares")</f>
        <v>Residencial e Comercial Palmares</v>
      </c>
    </row>
    <row r="2783" customFormat="false" ht="15.75" hidden="false" customHeight="false" outlineLevel="0" collapsed="false">
      <c r="A2783" s="2" t="n">
        <v>107666</v>
      </c>
      <c r="B2783" s="2" t="s">
        <v>2281</v>
      </c>
      <c r="C2783" s="2" t="n">
        <v>1</v>
      </c>
      <c r="D2783" s="2" t="n">
        <v>1</v>
      </c>
      <c r="E2783" s="2" t="n">
        <v>1</v>
      </c>
      <c r="F2783" s="2" t="n">
        <v>46</v>
      </c>
      <c r="G2783" s="2" t="s">
        <v>2265</v>
      </c>
      <c r="H2783" s="2" t="str">
        <f aca="false">IFERROR(__xludf.dummyfunction("IF(I2809="""", """", REGEXEXTRACT(I2809, ""Padrao/([^/]+)""))"),"Vila Seixas")</f>
        <v>Vila Seixas</v>
      </c>
    </row>
    <row r="2784" customFormat="false" ht="15.75" hidden="false" customHeight="false" outlineLevel="0" collapsed="false">
      <c r="A2784" s="2" t="n">
        <v>98255</v>
      </c>
      <c r="B2784" s="2" t="s">
        <v>162</v>
      </c>
      <c r="C2784" s="2" t="n">
        <v>2</v>
      </c>
      <c r="D2784" s="2" t="n">
        <v>1</v>
      </c>
      <c r="E2784" s="2" t="n">
        <v>1</v>
      </c>
      <c r="F2784" s="2" t="n">
        <v>117</v>
      </c>
      <c r="G2784" s="2" t="s">
        <v>2265</v>
      </c>
      <c r="H2784" s="2" t="str">
        <f aca="false">IFERROR(__xludf.dummyfunction("IF(I2810="""", """", REGEXEXTRACT(I2810, ""Padrao/([^/]+)""))"),"Reserva Sul Condominio")</f>
        <v>Reserva Sul Condominio</v>
      </c>
    </row>
    <row r="2785" customFormat="false" ht="15.75" hidden="false" customHeight="false" outlineLevel="0" collapsed="false">
      <c r="A2785" s="2" t="n">
        <v>79169</v>
      </c>
      <c r="B2785" s="2" t="s">
        <v>2282</v>
      </c>
      <c r="C2785" s="2" t="n">
        <v>1</v>
      </c>
      <c r="D2785" s="2" t="n">
        <v>1</v>
      </c>
      <c r="E2785" s="2" t="n">
        <v>1</v>
      </c>
      <c r="F2785" s="2" t="n">
        <v>48</v>
      </c>
      <c r="G2785" s="2" t="s">
        <v>2265</v>
      </c>
      <c r="H2785" s="2" t="str">
        <f aca="false">IFERROR(__xludf.dummyfunction("IF(I2811="""", """", REGEXEXTRACT(I2811, ""Padrao/([^/]+)""))"),"Centro")</f>
        <v>Centro</v>
      </c>
    </row>
    <row r="2786" customFormat="false" ht="15.75" hidden="false" customHeight="false" outlineLevel="0" collapsed="false">
      <c r="A2786" s="2" t="n">
        <v>76694</v>
      </c>
      <c r="B2786" s="2" t="s">
        <v>1790</v>
      </c>
      <c r="C2786" s="2" t="n">
        <v>2</v>
      </c>
      <c r="D2786" s="2" t="n">
        <v>1</v>
      </c>
      <c r="E2786" s="2" t="n">
        <v>1</v>
      </c>
      <c r="F2786" s="2" t="n">
        <v>48</v>
      </c>
      <c r="G2786" s="2" t="s">
        <v>2265</v>
      </c>
      <c r="H2786" s="2" t="str">
        <f aca="false">IFERROR(__xludf.dummyfunction("IF(I2812="""", """", REGEXEXTRACT(I2812, ""Padrao/([^/]+)""))"),"Sumarezinho")</f>
        <v>Sumarezinho</v>
      </c>
    </row>
    <row r="2787" customFormat="false" ht="15.75" hidden="false" customHeight="false" outlineLevel="0" collapsed="false">
      <c r="A2787" s="2" t="n">
        <v>18701</v>
      </c>
      <c r="B2787" s="2" t="s">
        <v>2283</v>
      </c>
      <c r="C2787" s="2" t="n">
        <v>3</v>
      </c>
      <c r="D2787" s="2" t="n">
        <v>2</v>
      </c>
      <c r="E2787" s="2" t="n">
        <v>1</v>
      </c>
      <c r="F2787" s="2" t="n">
        <v>100</v>
      </c>
      <c r="G2787" s="2" t="s">
        <v>2265</v>
      </c>
      <c r="H2787" s="2" t="str">
        <f aca="false">IFERROR(__xludf.dummyfunction("IF(I2813="""", """", REGEXEXTRACT(I2813, ""Padrao/([^/]+)""))"),"Vila Tiberio")</f>
        <v>Vila Tiberio</v>
      </c>
    </row>
    <row r="2788" customFormat="false" ht="15.75" hidden="false" customHeight="false" outlineLevel="0" collapsed="false">
      <c r="A2788" s="2" t="n">
        <v>213965</v>
      </c>
      <c r="B2788" s="2" t="s">
        <v>2284</v>
      </c>
      <c r="C2788" s="2" t="n">
        <v>2</v>
      </c>
      <c r="D2788" s="2" t="n">
        <v>2</v>
      </c>
      <c r="E2788" s="2" t="n">
        <v>1</v>
      </c>
      <c r="F2788" s="2" t="n">
        <v>56</v>
      </c>
      <c r="G2788" s="2" t="s">
        <v>562</v>
      </c>
      <c r="H2788" s="2" t="str">
        <f aca="false">IFERROR(__xludf.dummyfunction("IF(I2815="""", """", REGEXEXTRACT(I2815, ""Padrao/([^/]+)""))"),"Ipiranga")</f>
        <v>Ipiranga</v>
      </c>
    </row>
    <row r="2789" customFormat="false" ht="15.75" hidden="false" customHeight="false" outlineLevel="0" collapsed="false">
      <c r="A2789" s="2" t="n">
        <v>124244</v>
      </c>
      <c r="B2789" s="2" t="s">
        <v>162</v>
      </c>
      <c r="C2789" s="2" t="n">
        <v>2</v>
      </c>
      <c r="D2789" s="2" t="n">
        <v>2</v>
      </c>
      <c r="E2789" s="2" t="n">
        <v>1</v>
      </c>
      <c r="F2789" s="2" t="n">
        <v>70</v>
      </c>
      <c r="G2789" s="2" t="s">
        <v>2285</v>
      </c>
      <c r="H2789" s="2" t="str">
        <f aca="false">IFERROR(__xludf.dummyfunction("IF(I2816="""", """", REGEXEXTRACT(I2816, ""Padrao/([^/]+)""))"),"Jardim Castelo Branco")</f>
        <v>Jardim Castelo Branco</v>
      </c>
    </row>
    <row r="2790" customFormat="false" ht="15.75" hidden="false" customHeight="false" outlineLevel="0" collapsed="false">
      <c r="A2790" s="2" t="n">
        <v>116300</v>
      </c>
      <c r="B2790" s="2" t="s">
        <v>2286</v>
      </c>
      <c r="C2790" s="2" t="n">
        <v>1</v>
      </c>
      <c r="D2790" s="2" t="n">
        <v>1</v>
      </c>
      <c r="E2790" s="2" t="n">
        <v>1</v>
      </c>
      <c r="F2790" s="2" t="n">
        <v>46</v>
      </c>
      <c r="G2790" s="2" t="s">
        <v>2285</v>
      </c>
      <c r="H2790" s="2" t="str">
        <f aca="false">IFERROR(__xludf.dummyfunction("IF(I2817="""", """", REGEXEXTRACT(I2817, ""Padrao/([^/]+)""))"),"Jardim Paulista")</f>
        <v>Jardim Paulista</v>
      </c>
    </row>
    <row r="2791" customFormat="false" ht="15.75" hidden="false" customHeight="false" outlineLevel="0" collapsed="false">
      <c r="A2791" s="2" t="n">
        <v>239963</v>
      </c>
      <c r="B2791" s="2" t="s">
        <v>2287</v>
      </c>
      <c r="C2791" s="2" t="n">
        <v>2</v>
      </c>
      <c r="D2791" s="2" t="n">
        <v>2</v>
      </c>
      <c r="E2791" s="2" t="n">
        <v>1</v>
      </c>
      <c r="F2791" s="2" t="n">
        <v>61</v>
      </c>
      <c r="G2791" s="2" t="s">
        <v>2288</v>
      </c>
      <c r="H2791" s="2" t="str">
        <f aca="false">IFERROR(__xludf.dummyfunction("IF(I2818="""", """", REGEXEXTRACT(I2818, ""Padrao/([^/]+)""))"),"Jardim Zara")</f>
        <v>Jardim Zara</v>
      </c>
    </row>
    <row r="2792" customFormat="false" ht="15.75" hidden="false" customHeight="false" outlineLevel="0" collapsed="false">
      <c r="A2792" s="2" t="n">
        <v>243938</v>
      </c>
      <c r="B2792" s="2" t="s">
        <v>2289</v>
      </c>
      <c r="C2792" s="2" t="n">
        <v>2</v>
      </c>
      <c r="D2792" s="2" t="n">
        <v>1</v>
      </c>
      <c r="E2792" s="2" t="n">
        <v>1</v>
      </c>
      <c r="F2792" s="2" t="n">
        <v>46</v>
      </c>
      <c r="G2792" s="2" t="s">
        <v>2136</v>
      </c>
      <c r="H2792" s="2" t="str">
        <f aca="false">IFERROR(__xludf.dummyfunction("IF(I2819="""", """", REGEXEXTRACT(I2819, ""Padrao/([^/]+)""))"),"Jardim Manoel Penna")</f>
        <v>Jardim Manoel Penna</v>
      </c>
    </row>
    <row r="2793" customFormat="false" ht="15.75" hidden="false" customHeight="false" outlineLevel="0" collapsed="false">
      <c r="A2793" s="2" t="n">
        <v>245240</v>
      </c>
      <c r="B2793" s="2" t="s">
        <v>2290</v>
      </c>
      <c r="C2793" s="2" t="n">
        <v>2</v>
      </c>
      <c r="D2793" s="2" t="n">
        <v>1</v>
      </c>
      <c r="E2793" s="2" t="n">
        <v>1</v>
      </c>
      <c r="F2793" s="2" t="n">
        <v>50</v>
      </c>
      <c r="G2793" s="2" t="s">
        <v>2291</v>
      </c>
      <c r="H2793" s="2" t="str">
        <f aca="false">IFERROR(__xludf.dummyfunction("IF(I2820="""", """", REGEXEXTRACT(I2820, ""Padrao/([^/]+)""))"),"Jardim Novo Mundo")</f>
        <v>Jardim Novo Mundo</v>
      </c>
    </row>
    <row r="2794" customFormat="false" ht="15.75" hidden="false" customHeight="false" outlineLevel="0" collapsed="false">
      <c r="A2794" s="2" t="n">
        <v>240515</v>
      </c>
      <c r="B2794" s="2" t="s">
        <v>2194</v>
      </c>
      <c r="C2794" s="2" t="n">
        <v>1</v>
      </c>
      <c r="D2794" s="2" t="n">
        <v>1</v>
      </c>
      <c r="E2794" s="2" t="n">
        <v>1</v>
      </c>
      <c r="F2794" s="2" t="n">
        <v>55</v>
      </c>
      <c r="G2794" s="2" t="s">
        <v>2291</v>
      </c>
      <c r="H2794" s="2" t="str">
        <f aca="false">IFERROR(__xludf.dummyfunction("IF(I2821="""", """", REGEXEXTRACT(I2821, ""Padrao/([^/]+)""))"),"Centro")</f>
        <v>Centro</v>
      </c>
    </row>
    <row r="2795" customFormat="false" ht="15.75" hidden="false" customHeight="false" outlineLevel="0" collapsed="false">
      <c r="A2795" s="2" t="n">
        <v>142253</v>
      </c>
      <c r="B2795" s="2" t="s">
        <v>1925</v>
      </c>
      <c r="C2795" s="2" t="n">
        <v>2</v>
      </c>
      <c r="D2795" s="2" t="n">
        <v>1</v>
      </c>
      <c r="E2795" s="2" t="n">
        <v>1</v>
      </c>
      <c r="F2795" s="2" t="n">
        <v>48</v>
      </c>
      <c r="G2795" s="2" t="s">
        <v>2292</v>
      </c>
      <c r="H2795" s="2" t="str">
        <f aca="false">IFERROR(__xludf.dummyfunction("IF(I2822="""", """", REGEXEXTRACT(I2822, ""Padrao/([^/]+)""))"),"Jardim Sao Fernando")</f>
        <v>Jardim Sao Fernando</v>
      </c>
    </row>
    <row r="2796" customFormat="false" ht="15.75" hidden="false" customHeight="false" outlineLevel="0" collapsed="false">
      <c r="A2796" s="2" t="n">
        <v>205100</v>
      </c>
      <c r="B2796" s="2" t="s">
        <v>2293</v>
      </c>
      <c r="C2796" s="2" t="n">
        <v>4</v>
      </c>
      <c r="D2796" s="2" t="n">
        <v>7</v>
      </c>
      <c r="E2796" s="2" t="n">
        <v>4</v>
      </c>
      <c r="F2796" s="2" t="n">
        <v>322</v>
      </c>
      <c r="G2796" s="2" t="s">
        <v>2294</v>
      </c>
      <c r="H2796" s="2" t="str">
        <f aca="false">IFERROR(__xludf.dummyfunction("IF(I2823="""", """", REGEXEXTRACT(I2823, ""Padrao/([^/]+)""))"),"Vila do Golf")</f>
        <v>Vila do Golf</v>
      </c>
    </row>
    <row r="2797" customFormat="false" ht="15.75" hidden="false" customHeight="false" outlineLevel="0" collapsed="false">
      <c r="A2797" s="2" t="n">
        <v>151436</v>
      </c>
      <c r="B2797" s="2" t="s">
        <v>2295</v>
      </c>
      <c r="C2797" s="2" t="n">
        <v>2</v>
      </c>
      <c r="D2797" s="2" t="n">
        <v>1</v>
      </c>
      <c r="E2797" s="2" t="n">
        <v>1</v>
      </c>
      <c r="F2797" s="2" t="n">
        <v>69</v>
      </c>
      <c r="G2797" s="2" t="s">
        <v>515</v>
      </c>
      <c r="H2797" s="2" t="str">
        <f aca="false">IFERROR(__xludf.dummyfunction("IF(I2824="""", """", REGEXEXTRACT(I2824, ""Padrao/([^/]+)""))"),"Jardim Macedo")</f>
        <v>Jardim Macedo</v>
      </c>
    </row>
    <row r="2798" customFormat="false" ht="15.75" hidden="false" customHeight="false" outlineLevel="0" collapsed="false">
      <c r="A2798" s="2" t="n">
        <v>83294</v>
      </c>
      <c r="B2798" s="2" t="s">
        <v>2296</v>
      </c>
      <c r="C2798" s="2" t="n">
        <v>2</v>
      </c>
      <c r="D2798" s="2" t="n">
        <v>2</v>
      </c>
      <c r="E2798" s="2" t="n">
        <v>1</v>
      </c>
      <c r="F2798" s="2" t="n">
        <v>69</v>
      </c>
      <c r="G2798" s="2" t="s">
        <v>515</v>
      </c>
      <c r="H2798" s="2" t="str">
        <f aca="false">IFERROR(__xludf.dummyfunction("IF(I2825="""", """", REGEXEXTRACT(I2825, ""Padrao/([^/]+)""))"),"Jardim Paulista")</f>
        <v>Jardim Paulista</v>
      </c>
    </row>
    <row r="2799" customFormat="false" ht="15.75" hidden="false" customHeight="false" outlineLevel="0" collapsed="false">
      <c r="A2799" s="2" t="n">
        <v>167804</v>
      </c>
      <c r="B2799" s="2" t="s">
        <v>2297</v>
      </c>
      <c r="C2799" s="2" t="n">
        <v>1</v>
      </c>
      <c r="D2799" s="2" t="n">
        <v>1</v>
      </c>
      <c r="E2799" s="2" t="n">
        <v>1</v>
      </c>
      <c r="F2799" s="2" t="n">
        <v>55</v>
      </c>
      <c r="G2799" s="2" t="s">
        <v>525</v>
      </c>
      <c r="H2799" s="2" t="str">
        <f aca="false">IFERROR(__xludf.dummyfunction("IF(I2826="""", """", REGEXEXTRACT(I2826, ""Padrao/([^/]+)""))"),"Centro")</f>
        <v>Centro</v>
      </c>
    </row>
    <row r="2800" customFormat="false" ht="15.75" hidden="false" customHeight="false" outlineLevel="0" collapsed="false">
      <c r="A2800" s="2" t="n">
        <v>168461</v>
      </c>
      <c r="B2800" s="2" t="s">
        <v>2298</v>
      </c>
      <c r="C2800" s="2" t="n">
        <v>2</v>
      </c>
      <c r="D2800" s="2" t="n">
        <v>1</v>
      </c>
      <c r="E2800" s="2" t="n">
        <v>1</v>
      </c>
      <c r="F2800" s="2" t="n">
        <v>48</v>
      </c>
      <c r="G2800" s="2" t="s">
        <v>533</v>
      </c>
      <c r="H2800" s="2" t="str">
        <f aca="false">IFERROR(__xludf.dummyfunction("IF(I2827="""", """", REGEXEXTRACT(I2827, ""Padrao/([^/]+)""))"),"Condominio Mirante Sul")</f>
        <v>Condominio Mirante Sul</v>
      </c>
    </row>
    <row r="2801" customFormat="false" ht="15.75" hidden="false" customHeight="false" outlineLevel="0" collapsed="false">
      <c r="A2801" s="2" t="n">
        <v>140615</v>
      </c>
      <c r="B2801" s="2" t="s">
        <v>2299</v>
      </c>
      <c r="C2801" s="2" t="n">
        <v>2</v>
      </c>
      <c r="D2801" s="2" t="n">
        <v>1</v>
      </c>
      <c r="E2801" s="2" t="n">
        <v>1</v>
      </c>
      <c r="F2801" s="2" t="n">
        <v>48</v>
      </c>
      <c r="G2801" s="2" t="s">
        <v>543</v>
      </c>
      <c r="H2801" s="2" t="str">
        <f aca="false">IFERROR(__xludf.dummyfunction("IF(I2828="""", """", REGEXEXTRACT(I2828, ""Padrao/([^/]+)""))"),"Jardim Paulistano")</f>
        <v>Jardim Paulistano</v>
      </c>
    </row>
    <row r="2802" customFormat="false" ht="15.75" hidden="false" customHeight="false" outlineLevel="0" collapsed="false">
      <c r="A2802" s="2" t="n">
        <v>226736</v>
      </c>
      <c r="B2802" s="2" t="s">
        <v>2300</v>
      </c>
      <c r="C2802" s="2" t="n">
        <v>2</v>
      </c>
      <c r="D2802" s="2" t="n">
        <v>1</v>
      </c>
      <c r="E2802" s="2" t="n">
        <v>1</v>
      </c>
      <c r="F2802" s="2" t="n">
        <v>41</v>
      </c>
      <c r="G2802" s="2" t="s">
        <v>549</v>
      </c>
      <c r="H2802" s="2" t="str">
        <f aca="false">IFERROR(__xludf.dummyfunction("IF(I2829="""", """", REGEXEXTRACT(I2829, ""Padrao/([^/]+)""))"),"Residencial Jequitiba")</f>
        <v>Residencial Jequitiba</v>
      </c>
    </row>
    <row r="2803" customFormat="false" ht="15.75" hidden="false" customHeight="false" outlineLevel="0" collapsed="false">
      <c r="A2803" s="2" t="n">
        <v>139736</v>
      </c>
      <c r="B2803" s="2" t="s">
        <v>2301</v>
      </c>
      <c r="C2803" s="2" t="n">
        <v>2</v>
      </c>
      <c r="D2803" s="2" t="n">
        <v>1</v>
      </c>
      <c r="E2803" s="2" t="n">
        <v>1</v>
      </c>
      <c r="F2803" s="2" t="n">
        <v>68</v>
      </c>
      <c r="G2803" s="2" t="s">
        <v>549</v>
      </c>
      <c r="H2803" s="2" t="str">
        <f aca="false">IFERROR(__xludf.dummyfunction("IF(I2830="""", """", REGEXEXTRACT(I2830, ""Padrao/([^/]+)""))"),"Vila Seixas")</f>
        <v>Vila Seixas</v>
      </c>
    </row>
    <row r="2804" customFormat="false" ht="15.75" hidden="false" customHeight="false" outlineLevel="0" collapsed="false">
      <c r="A2804" s="2" t="n">
        <v>180386</v>
      </c>
      <c r="B2804" s="2" t="s">
        <v>2302</v>
      </c>
      <c r="C2804" s="2" t="n">
        <v>2</v>
      </c>
      <c r="D2804" s="2" t="n">
        <v>2</v>
      </c>
      <c r="E2804" s="2" t="n">
        <v>1</v>
      </c>
      <c r="F2804" s="2" t="n">
        <v>57</v>
      </c>
      <c r="G2804" s="2" t="s">
        <v>554</v>
      </c>
      <c r="H2804" s="2" t="str">
        <f aca="false">IFERROR(__xludf.dummyfunction("IF(I2831="""", """", REGEXEXTRACT(I2831, ""Padrao/([^/]+)""))"),"Residencial Greenville")</f>
        <v>Residencial Greenville</v>
      </c>
    </row>
    <row r="2805" customFormat="false" ht="15.75" hidden="false" customHeight="false" outlineLevel="0" collapsed="false">
      <c r="A2805" s="2" t="n">
        <v>159419</v>
      </c>
      <c r="B2805" s="2" t="s">
        <v>1941</v>
      </c>
      <c r="C2805" s="2" t="n">
        <v>2</v>
      </c>
      <c r="D2805" s="2" t="n">
        <v>2</v>
      </c>
      <c r="E2805" s="2" t="n">
        <v>1</v>
      </c>
      <c r="F2805" s="2" t="n">
        <v>78</v>
      </c>
      <c r="G2805" s="2" t="s">
        <v>554</v>
      </c>
      <c r="H2805" s="2" t="str">
        <f aca="false">IFERROR(__xludf.dummyfunction("IF(I2832="""", """", REGEXEXTRACT(I2832, ""Padrao/([^/]+)""))"),"Centro")</f>
        <v>Centro</v>
      </c>
    </row>
    <row r="2806" customFormat="false" ht="15.75" hidden="false" customHeight="false" outlineLevel="0" collapsed="false">
      <c r="A2806" s="2" t="n">
        <v>79994</v>
      </c>
      <c r="B2806" s="2" t="s">
        <v>2303</v>
      </c>
      <c r="C2806" s="2" t="n">
        <v>2</v>
      </c>
      <c r="D2806" s="2" t="n">
        <v>3</v>
      </c>
      <c r="E2806" s="2" t="n">
        <v>1</v>
      </c>
      <c r="F2806" s="2" t="n">
        <v>78</v>
      </c>
      <c r="G2806" s="2" t="s">
        <v>554</v>
      </c>
      <c r="H2806" s="2" t="str">
        <f aca="false">IFERROR(__xludf.dummyfunction("IF(I2833="""", """", REGEXEXTRACT(I2833, ""Padrao/([^/]+)""))"),"Centro")</f>
        <v>Centro</v>
      </c>
    </row>
    <row r="2807" customFormat="false" ht="15.75" hidden="false" customHeight="false" outlineLevel="0" collapsed="false">
      <c r="A2807" s="2" t="n">
        <v>223406</v>
      </c>
      <c r="B2807" s="2" t="s">
        <v>2304</v>
      </c>
      <c r="C2807" s="2" t="n">
        <v>2</v>
      </c>
      <c r="D2807" s="2" t="n">
        <v>1</v>
      </c>
      <c r="E2807" s="2" t="n">
        <v>1</v>
      </c>
      <c r="F2807" s="2" t="n">
        <v>40</v>
      </c>
      <c r="G2807" s="2" t="s">
        <v>2265</v>
      </c>
      <c r="H2807" s="2" t="str">
        <f aca="false">IFERROR(__xludf.dummyfunction("IF(I2834="""", """", REGEXEXTRACT(I2834, ""Padrao/([^/]+)""))"),"Jardim Ouro Branco")</f>
        <v>Jardim Ouro Branco</v>
      </c>
    </row>
    <row r="2808" customFormat="false" ht="15.75" hidden="false" customHeight="false" outlineLevel="0" collapsed="false">
      <c r="A2808" s="2" t="n">
        <v>138611</v>
      </c>
      <c r="B2808" s="2" t="s">
        <v>2305</v>
      </c>
      <c r="C2808" s="2" t="n">
        <v>3</v>
      </c>
      <c r="D2808" s="2" t="n">
        <v>2</v>
      </c>
      <c r="E2808" s="2" t="n">
        <v>1</v>
      </c>
      <c r="F2808" s="2" t="n">
        <v>62</v>
      </c>
      <c r="G2808" s="2" t="s">
        <v>2291</v>
      </c>
      <c r="H2808" s="2" t="str">
        <f aca="false">IFERROR(__xludf.dummyfunction("IF(I2835="""", """", REGEXEXTRACT(I2835, ""Padrao/([^/]+)""))"),"Presidente Medici")</f>
        <v>Presidente Medici</v>
      </c>
    </row>
    <row r="2809" customFormat="false" ht="15.75" hidden="false" customHeight="false" outlineLevel="0" collapsed="false">
      <c r="A2809" s="2" t="n">
        <v>243347</v>
      </c>
      <c r="B2809" s="2" t="s">
        <v>2306</v>
      </c>
      <c r="C2809" s="2" t="n">
        <v>3</v>
      </c>
      <c r="D2809" s="2" t="n">
        <v>2</v>
      </c>
      <c r="E2809" s="2" t="n">
        <v>1</v>
      </c>
      <c r="F2809" s="2" t="n">
        <v>83</v>
      </c>
      <c r="G2809" s="2" t="s">
        <v>564</v>
      </c>
      <c r="H2809" s="2" t="str">
        <f aca="false">IFERROR(__xludf.dummyfunction("IF(I2836="""", """", REGEXEXTRACT(I2836, ""Padrao/([^/]+)""))"),"Presidente Medici")</f>
        <v>Presidente Medici</v>
      </c>
    </row>
    <row r="2810" customFormat="false" ht="15.75" hidden="false" customHeight="false" outlineLevel="0" collapsed="false">
      <c r="A2810" s="2" t="n">
        <v>241427</v>
      </c>
      <c r="B2810" s="2" t="s">
        <v>2307</v>
      </c>
      <c r="C2810" s="2" t="n">
        <v>2</v>
      </c>
      <c r="D2810" s="2" t="n">
        <v>1</v>
      </c>
      <c r="E2810" s="2" t="n">
        <v>1</v>
      </c>
      <c r="F2810" s="2" t="n">
        <v>55</v>
      </c>
      <c r="G2810" s="2" t="s">
        <v>564</v>
      </c>
      <c r="H2810" s="2" t="str">
        <f aca="false">IFERROR(__xludf.dummyfunction("IF(I2837="""", """", REGEXEXTRACT(I2837, ""Padrao/([^/]+)""))"),"Vila Maria Luiza")</f>
        <v>Vila Maria Luiza</v>
      </c>
    </row>
    <row r="2811" customFormat="false" ht="15.75" hidden="false" customHeight="false" outlineLevel="0" collapsed="false">
      <c r="A2811" s="2" t="n">
        <v>240839</v>
      </c>
      <c r="B2811" s="2" t="s">
        <v>2308</v>
      </c>
      <c r="C2811" s="2" t="n">
        <v>2</v>
      </c>
      <c r="D2811" s="2" t="n">
        <v>1</v>
      </c>
      <c r="E2811" s="2" t="n">
        <v>1</v>
      </c>
      <c r="F2811" s="2" t="n">
        <v>47</v>
      </c>
      <c r="G2811" s="2" t="s">
        <v>564</v>
      </c>
      <c r="H2811" s="2" t="str">
        <f aca="false">IFERROR(__xludf.dummyfunction("IF(I2838="""", """", REGEXEXTRACT(I2838, ""Padrao/([^/]+)""))"),"Ipiranga")</f>
        <v>Ipiranga</v>
      </c>
    </row>
    <row r="2812" customFormat="false" ht="15.75" hidden="false" customHeight="false" outlineLevel="0" collapsed="false">
      <c r="A2812" s="2" t="n">
        <v>239153</v>
      </c>
      <c r="B2812" s="2" t="s">
        <v>2309</v>
      </c>
      <c r="C2812" s="2" t="n">
        <v>2</v>
      </c>
      <c r="D2812" s="2" t="n">
        <v>1</v>
      </c>
      <c r="E2812" s="2" t="n">
        <v>1</v>
      </c>
      <c r="F2812" s="2" t="n">
        <v>56</v>
      </c>
      <c r="G2812" s="2" t="s">
        <v>564</v>
      </c>
      <c r="H2812" s="2" t="str">
        <f aca="false">IFERROR(__xludf.dummyfunction("IF(I2839="""", """", REGEXEXTRACT(I2839, ""Padrao/([^/]+)""))"),"Chacaras Pedro Correa de Carvalho")</f>
        <v>Chacaras Pedro Correa de Carvalho</v>
      </c>
    </row>
    <row r="2813" customFormat="false" ht="15.75" hidden="false" customHeight="false" outlineLevel="0" collapsed="false">
      <c r="A2813" s="2" t="n">
        <v>237527</v>
      </c>
      <c r="B2813" s="2" t="s">
        <v>2310</v>
      </c>
      <c r="C2813" s="2" t="n">
        <v>1</v>
      </c>
      <c r="D2813" s="2" t="n">
        <v>1</v>
      </c>
      <c r="E2813" s="2" t="n">
        <v>1</v>
      </c>
      <c r="F2813" s="2" t="n">
        <v>35</v>
      </c>
      <c r="G2813" s="2" t="s">
        <v>564</v>
      </c>
      <c r="H2813" s="2" t="str">
        <f aca="false">IFERROR(__xludf.dummyfunction("IF(I2840="""", """", REGEXEXTRACT(I2840, ""Padrao/([^/]+)""))"),"Vila Seixas")</f>
        <v>Vila Seixas</v>
      </c>
    </row>
    <row r="2814" customFormat="false" ht="15.75" hidden="false" customHeight="false" outlineLevel="0" collapsed="false">
      <c r="A2814" s="2" t="n">
        <v>236747</v>
      </c>
      <c r="B2814" s="2" t="s">
        <v>2311</v>
      </c>
      <c r="C2814" s="2" t="n">
        <v>2</v>
      </c>
      <c r="D2814" s="2" t="n">
        <v>1</v>
      </c>
      <c r="E2814" s="2" t="n">
        <v>1</v>
      </c>
      <c r="F2814" s="2" t="n">
        <v>47</v>
      </c>
      <c r="G2814" s="2" t="s">
        <v>564</v>
      </c>
      <c r="H2814" s="2" t="str">
        <f aca="false">IFERROR(__xludf.dummyfunction("IF(I2841="""", """", REGEXEXTRACT(I2841, ""Padrao/([^/]+)""))"),"Ipiranga")</f>
        <v>Ipiranga</v>
      </c>
    </row>
    <row r="2815" customFormat="false" ht="15.75" hidden="false" customHeight="false" outlineLevel="0" collapsed="false">
      <c r="A2815" s="2" t="n">
        <v>234344</v>
      </c>
      <c r="B2815" s="2" t="s">
        <v>2312</v>
      </c>
      <c r="C2815" s="2" t="n">
        <v>2</v>
      </c>
      <c r="D2815" s="2" t="n">
        <v>1</v>
      </c>
      <c r="E2815" s="2" t="n">
        <v>1</v>
      </c>
      <c r="F2815" s="2" t="n">
        <v>45</v>
      </c>
      <c r="G2815" s="2" t="s">
        <v>564</v>
      </c>
      <c r="H2815" s="2" t="str">
        <f aca="false">IFERROR(__xludf.dummyfunction("IF(I2842="""", """", REGEXEXTRACT(I2842, ""Padrao/([^/]+)""))"),"Recreio das Acacias")</f>
        <v>Recreio das Acacias</v>
      </c>
    </row>
    <row r="2816" customFormat="false" ht="15.75" hidden="false" customHeight="false" outlineLevel="0" collapsed="false">
      <c r="A2816" s="2" t="n">
        <v>234017</v>
      </c>
      <c r="B2816" s="2" t="s">
        <v>2313</v>
      </c>
      <c r="C2816" s="2" t="n">
        <v>1</v>
      </c>
      <c r="D2816" s="2" t="n">
        <v>1</v>
      </c>
      <c r="E2816" s="2" t="n">
        <v>1</v>
      </c>
      <c r="F2816" s="2" t="n">
        <v>47</v>
      </c>
      <c r="G2816" s="2" t="s">
        <v>564</v>
      </c>
      <c r="H2816" s="2" t="str">
        <f aca="false">IFERROR(__xludf.dummyfunction("IF(I2843="""", """", REGEXEXTRACT(I2843, ""Padrao/([^/]+)""))"),"Centro")</f>
        <v>Centro</v>
      </c>
    </row>
    <row r="2817" customFormat="false" ht="15.75" hidden="false" customHeight="false" outlineLevel="0" collapsed="false">
      <c r="A2817" s="2" t="n">
        <v>231320</v>
      </c>
      <c r="B2817" s="2" t="s">
        <v>1917</v>
      </c>
      <c r="C2817" s="2" t="n">
        <v>2</v>
      </c>
      <c r="D2817" s="2" t="n">
        <v>1</v>
      </c>
      <c r="E2817" s="2" t="n">
        <v>1</v>
      </c>
      <c r="F2817" s="2" t="n">
        <v>41</v>
      </c>
      <c r="G2817" s="2" t="s">
        <v>564</v>
      </c>
      <c r="H2817" s="2" t="str">
        <f aca="false">IFERROR(__xludf.dummyfunction("IF(I2844="""", """", REGEXEXTRACT(I2844, ""Padrao/([^/]+)""))"),"Residencial Jequitiba")</f>
        <v>Residencial Jequitiba</v>
      </c>
    </row>
    <row r="2818" customFormat="false" ht="15.75" hidden="false" customHeight="false" outlineLevel="0" collapsed="false">
      <c r="A2818" s="2" t="n">
        <v>229295</v>
      </c>
      <c r="B2818" s="2" t="s">
        <v>1930</v>
      </c>
      <c r="C2818" s="2" t="n">
        <v>2</v>
      </c>
      <c r="D2818" s="2" t="n">
        <v>1</v>
      </c>
      <c r="E2818" s="2" t="n">
        <v>1</v>
      </c>
      <c r="F2818" s="2" t="n">
        <v>42</v>
      </c>
      <c r="G2818" s="2" t="s">
        <v>564</v>
      </c>
      <c r="H2818" s="2" t="str">
        <f aca="false">IFERROR(__xludf.dummyfunction("IF(I2845="""", """", REGEXEXTRACT(I2845, ""Padrao/([^/]+)""))"),"Vila Virginia")</f>
        <v>Vila Virginia</v>
      </c>
    </row>
    <row r="2819" customFormat="false" ht="15.75" hidden="false" customHeight="false" outlineLevel="0" collapsed="false">
      <c r="A2819" s="2" t="n">
        <v>228374</v>
      </c>
      <c r="B2819" s="2" t="s">
        <v>2314</v>
      </c>
      <c r="C2819" s="2" t="n">
        <v>2</v>
      </c>
      <c r="D2819" s="2" t="n">
        <v>1</v>
      </c>
      <c r="E2819" s="2" t="n">
        <v>1</v>
      </c>
      <c r="F2819" s="2" t="n">
        <v>51</v>
      </c>
      <c r="G2819" s="2" t="s">
        <v>564</v>
      </c>
      <c r="H2819" s="2" t="str">
        <f aca="false">IFERROR(__xludf.dummyfunction("IF(I2846="""", """", REGEXEXTRACT(I2846, ""Padrao/([^/]+)""))"),"Jardim Novo Mundo")</f>
        <v>Jardim Novo Mundo</v>
      </c>
    </row>
    <row r="2820" customFormat="false" ht="15.75" hidden="false" customHeight="false" outlineLevel="0" collapsed="false">
      <c r="A2820" s="2" t="n">
        <v>226913</v>
      </c>
      <c r="B2820" s="2" t="s">
        <v>2315</v>
      </c>
      <c r="C2820" s="2" t="n">
        <v>2</v>
      </c>
      <c r="D2820" s="2" t="n">
        <v>3</v>
      </c>
      <c r="E2820" s="2" t="n">
        <v>2</v>
      </c>
      <c r="F2820" s="2" t="n">
        <v>81</v>
      </c>
      <c r="G2820" s="2" t="s">
        <v>564</v>
      </c>
      <c r="H2820" s="2" t="str">
        <f aca="false">IFERROR(__xludf.dummyfunction("IF(I2847="""", """", REGEXEXTRACT(I2847, ""Padrao/([^/]+)""))"),"Jardim Novo Mundo")</f>
        <v>Jardim Novo Mundo</v>
      </c>
    </row>
    <row r="2821" customFormat="false" ht="15.75" hidden="false" customHeight="false" outlineLevel="0" collapsed="false">
      <c r="A2821" s="2" t="n">
        <v>226766</v>
      </c>
      <c r="B2821" s="2" t="s">
        <v>2316</v>
      </c>
      <c r="C2821" s="2" t="n">
        <v>2</v>
      </c>
      <c r="D2821" s="2" t="n">
        <v>2</v>
      </c>
      <c r="E2821" s="2" t="n">
        <v>1</v>
      </c>
      <c r="F2821" s="2" t="n">
        <v>58</v>
      </c>
      <c r="G2821" s="2" t="s">
        <v>564</v>
      </c>
      <c r="H2821" s="2" t="str">
        <f aca="false">IFERROR(__xludf.dummyfunction("IF(I2848="""", """", REGEXEXTRACT(I2848, ""Padrao/([^/]+)""))"),"Residencial Greenville")</f>
        <v>Residencial Greenville</v>
      </c>
    </row>
    <row r="2822" customFormat="false" ht="15.75" hidden="false" customHeight="false" outlineLevel="0" collapsed="false">
      <c r="A2822" s="2" t="n">
        <v>226109</v>
      </c>
      <c r="B2822" s="2" t="s">
        <v>2317</v>
      </c>
      <c r="C2822" s="2" t="n">
        <v>3</v>
      </c>
      <c r="D2822" s="2" t="n">
        <v>2</v>
      </c>
      <c r="E2822" s="2" t="n">
        <v>1</v>
      </c>
      <c r="F2822" s="2" t="n">
        <v>91</v>
      </c>
      <c r="G2822" s="2" t="s">
        <v>564</v>
      </c>
      <c r="H2822" s="2" t="str">
        <f aca="false">IFERROR(__xludf.dummyfunction("IF(I2849="""", """", REGEXEXTRACT(I2849, ""Padrao/([^/]+)""))"),"Jardim Anhanguera")</f>
        <v>Jardim Anhanguera</v>
      </c>
    </row>
    <row r="2823" customFormat="false" ht="15.75" hidden="false" customHeight="false" outlineLevel="0" collapsed="false">
      <c r="A2823" s="2" t="n">
        <v>222962</v>
      </c>
      <c r="B2823" s="2" t="s">
        <v>1294</v>
      </c>
      <c r="C2823" s="2" t="n">
        <v>2</v>
      </c>
      <c r="D2823" s="2" t="n">
        <v>1</v>
      </c>
      <c r="E2823" s="2" t="n">
        <v>1</v>
      </c>
      <c r="F2823" s="2" t="n">
        <v>47</v>
      </c>
      <c r="G2823" s="2" t="s">
        <v>564</v>
      </c>
      <c r="H2823" s="2" t="str">
        <f aca="false">IFERROR(__xludf.dummyfunction("IF(I2850="""", """", REGEXEXTRACT(I2850, ""Padrao/([^/]+)""))"),"Residencial Jequitiba")</f>
        <v>Residencial Jequitiba</v>
      </c>
    </row>
    <row r="2824" customFormat="false" ht="15.75" hidden="false" customHeight="false" outlineLevel="0" collapsed="false">
      <c r="A2824" s="2" t="n">
        <v>220628</v>
      </c>
      <c r="B2824" s="2" t="s">
        <v>2318</v>
      </c>
      <c r="C2824" s="2" t="n">
        <v>2</v>
      </c>
      <c r="D2824" s="2" t="n">
        <v>1</v>
      </c>
      <c r="E2824" s="2" t="n">
        <v>1</v>
      </c>
      <c r="F2824" s="2" t="n">
        <v>48</v>
      </c>
      <c r="G2824" s="2" t="s">
        <v>564</v>
      </c>
      <c r="H2824" s="2" t="str">
        <f aca="false">IFERROR(__xludf.dummyfunction("IF(I2851="""", """", REGEXEXTRACT(I2851, ""Padrao/([^/]+)""))"),"Jardim Paulistano")</f>
        <v>Jardim Paulistano</v>
      </c>
    </row>
    <row r="2825" customFormat="false" ht="15.75" hidden="false" customHeight="false" outlineLevel="0" collapsed="false">
      <c r="A2825" s="2" t="n">
        <v>220391</v>
      </c>
      <c r="B2825" s="2" t="s">
        <v>2319</v>
      </c>
      <c r="C2825" s="2" t="n">
        <v>2</v>
      </c>
      <c r="D2825" s="2" t="n">
        <v>2</v>
      </c>
      <c r="E2825" s="2" t="n">
        <v>1</v>
      </c>
      <c r="F2825" s="2" t="n">
        <v>54</v>
      </c>
      <c r="G2825" s="2" t="s">
        <v>564</v>
      </c>
      <c r="H2825" s="2" t="str">
        <f aca="false">IFERROR(__xludf.dummyfunction("IF(I2852="""", """", REGEXEXTRACT(I2852, ""Padrao/([^/]+)""))"),"Residencial Greenville")</f>
        <v>Residencial Greenville</v>
      </c>
    </row>
    <row r="2826" customFormat="false" ht="15.75" hidden="false" customHeight="false" outlineLevel="0" collapsed="false">
      <c r="A2826" s="2" t="n">
        <v>220148</v>
      </c>
      <c r="B2826" s="2" t="s">
        <v>2019</v>
      </c>
      <c r="C2826" s="2" t="n">
        <v>2</v>
      </c>
      <c r="D2826" s="2" t="n">
        <v>1</v>
      </c>
      <c r="E2826" s="2" t="n">
        <v>1</v>
      </c>
      <c r="F2826" s="2" t="n">
        <v>44</v>
      </c>
      <c r="G2826" s="2" t="s">
        <v>564</v>
      </c>
      <c r="H2826" s="2" t="str">
        <f aca="false">IFERROR(__xludf.dummyfunction("IF(I2853="""", """", REGEXEXTRACT(I2853, ""Padrao/([^/]+)""))"),"Recreio das Acacias")</f>
        <v>Recreio das Acacias</v>
      </c>
    </row>
    <row r="2827" customFormat="false" ht="15.75" hidden="false" customHeight="false" outlineLevel="0" collapsed="false">
      <c r="A2827" s="2" t="n">
        <v>218147</v>
      </c>
      <c r="B2827" s="2" t="s">
        <v>2320</v>
      </c>
      <c r="C2827" s="2" t="n">
        <v>2</v>
      </c>
      <c r="D2827" s="2" t="n">
        <v>2</v>
      </c>
      <c r="E2827" s="2" t="n">
        <v>1</v>
      </c>
      <c r="F2827" s="2" t="n">
        <v>75</v>
      </c>
      <c r="G2827" s="2" t="s">
        <v>564</v>
      </c>
      <c r="H2827" s="2" t="str">
        <f aca="false">IFERROR(__xludf.dummyfunction("IF(I2854="""", """", REGEXEXTRACT(I2854, ""Padrao/([^/]+)""))"),"Vila Amelia")</f>
        <v>Vila Amelia</v>
      </c>
    </row>
    <row r="2828" customFormat="false" ht="15.75" hidden="false" customHeight="false" outlineLevel="0" collapsed="false">
      <c r="A2828" s="2" t="n">
        <v>214142</v>
      </c>
      <c r="B2828" s="2" t="s">
        <v>1287</v>
      </c>
      <c r="C2828" s="2" t="n">
        <v>2</v>
      </c>
      <c r="D2828" s="2" t="n">
        <v>1</v>
      </c>
      <c r="E2828" s="2" t="n">
        <v>1</v>
      </c>
      <c r="F2828" s="2" t="n">
        <v>46</v>
      </c>
      <c r="G2828" s="2" t="s">
        <v>564</v>
      </c>
      <c r="H2828" s="2" t="str">
        <f aca="false">IFERROR(__xludf.dummyfunction("IF(I2855="""", """", REGEXEXTRACT(I2855, ""Padrao/([^/]+)""))"),"Sumarezinho")</f>
        <v>Sumarezinho</v>
      </c>
    </row>
    <row r="2829" customFormat="false" ht="15.75" hidden="false" customHeight="false" outlineLevel="0" collapsed="false">
      <c r="A2829" s="2" t="n">
        <v>213917</v>
      </c>
      <c r="B2829" s="2" t="s">
        <v>2321</v>
      </c>
      <c r="C2829" s="2" t="n">
        <v>2</v>
      </c>
      <c r="D2829" s="2" t="n">
        <v>1</v>
      </c>
      <c r="E2829" s="2" t="n">
        <v>1</v>
      </c>
      <c r="F2829" s="2" t="n">
        <v>49</v>
      </c>
      <c r="G2829" s="2" t="s">
        <v>564</v>
      </c>
      <c r="H2829" s="2" t="str">
        <f aca="false">IFERROR(__xludf.dummyfunction("IF(I2856="""", """", REGEXEXTRACT(I2856, ""Padrao/([^/]+)""))"),"Quintas de Sao Jose")</f>
        <v>Quintas de Sao Jose</v>
      </c>
    </row>
    <row r="2830" customFormat="false" ht="15.75" hidden="false" customHeight="false" outlineLevel="0" collapsed="false">
      <c r="A2830" s="2" t="n">
        <v>213293</v>
      </c>
      <c r="B2830" s="2" t="s">
        <v>1339</v>
      </c>
      <c r="C2830" s="2" t="n">
        <v>2</v>
      </c>
      <c r="D2830" s="2" t="n">
        <v>2</v>
      </c>
      <c r="E2830" s="2" t="n">
        <v>1</v>
      </c>
      <c r="F2830" s="2" t="n">
        <v>56</v>
      </c>
      <c r="G2830" s="2" t="s">
        <v>564</v>
      </c>
      <c r="H2830" s="2" t="str">
        <f aca="false">IFERROR(__xludf.dummyfunction("IF(I2857="""", """", REGEXEXTRACT(I2857, ""Padrao/([^/]+)""))"),"Chacaras Pedro Correa de Carvalho")</f>
        <v>Chacaras Pedro Correa de Carvalho</v>
      </c>
    </row>
    <row r="2831" customFormat="false" ht="15.75" hidden="false" customHeight="false" outlineLevel="0" collapsed="false">
      <c r="A2831" s="2" t="n">
        <v>213290</v>
      </c>
      <c r="B2831" s="2" t="s">
        <v>2322</v>
      </c>
      <c r="C2831" s="2" t="n">
        <v>2</v>
      </c>
      <c r="D2831" s="2" t="n">
        <v>2</v>
      </c>
      <c r="E2831" s="2" t="n">
        <v>1</v>
      </c>
      <c r="F2831" s="2" t="n">
        <v>56</v>
      </c>
      <c r="G2831" s="2" t="s">
        <v>564</v>
      </c>
      <c r="H2831" s="2" t="str">
        <f aca="false">IFERROR(__xludf.dummyfunction("IF(I2858="""", """", REGEXEXTRACT(I2858, ""Padrao/([^/]+)""))"),"Chacaras Pedro Correa de Carvalho")</f>
        <v>Chacaras Pedro Correa de Carvalho</v>
      </c>
    </row>
    <row r="2832" customFormat="false" ht="15.75" hidden="false" customHeight="false" outlineLevel="0" collapsed="false">
      <c r="A2832" s="2" t="n">
        <v>207359</v>
      </c>
      <c r="B2832" s="2" t="s">
        <v>1945</v>
      </c>
      <c r="C2832" s="2" t="n">
        <v>2</v>
      </c>
      <c r="D2832" s="2" t="n">
        <v>1</v>
      </c>
      <c r="E2832" s="2" t="n">
        <v>1</v>
      </c>
      <c r="F2832" s="2" t="n">
        <v>51</v>
      </c>
      <c r="G2832" s="2" t="s">
        <v>564</v>
      </c>
      <c r="H2832" s="2" t="str">
        <f aca="false">IFERROR(__xludf.dummyfunction("IF(I2859="""", """", REGEXEXTRACT(I2859, ""Padrao/([^/]+)""))"),"Residencial das Americas")</f>
        <v>Residencial das Americas</v>
      </c>
    </row>
    <row r="2833" customFormat="false" ht="15.75" hidden="false" customHeight="false" outlineLevel="0" collapsed="false">
      <c r="A2833" s="2" t="n">
        <v>201521</v>
      </c>
      <c r="B2833" s="2" t="s">
        <v>2323</v>
      </c>
      <c r="C2833" s="2" t="n">
        <v>1</v>
      </c>
      <c r="D2833" s="2" t="n">
        <v>1</v>
      </c>
      <c r="E2833" s="2" t="n">
        <v>1</v>
      </c>
      <c r="F2833" s="2" t="n">
        <v>45</v>
      </c>
      <c r="G2833" s="2" t="s">
        <v>564</v>
      </c>
      <c r="H2833" s="2" t="str">
        <f aca="false">IFERROR(__xludf.dummyfunction("IF(I2860="""", """", REGEXEXTRACT(I2860, ""Padrao/([^/]+)""))"),"Jardim Botanico")</f>
        <v>Jardim Botanico</v>
      </c>
    </row>
    <row r="2834" customFormat="false" ht="15.75" hidden="false" customHeight="false" outlineLevel="0" collapsed="false">
      <c r="A2834" s="2" t="n">
        <v>199109</v>
      </c>
      <c r="B2834" s="2" t="s">
        <v>2324</v>
      </c>
      <c r="C2834" s="2" t="n">
        <v>3</v>
      </c>
      <c r="D2834" s="2" t="n">
        <v>3</v>
      </c>
      <c r="E2834" s="2" t="n">
        <v>1</v>
      </c>
      <c r="F2834" s="2" t="n">
        <v>65</v>
      </c>
      <c r="G2834" s="2" t="s">
        <v>564</v>
      </c>
      <c r="H2834" s="2" t="str">
        <f aca="false">IFERROR(__xludf.dummyfunction("IF(I2861="""", """", REGEXEXTRACT(I2861, ""Padrao/([^/]+)""))"),"Iguatemi")</f>
        <v>Iguatemi</v>
      </c>
    </row>
    <row r="2835" customFormat="false" ht="15.75" hidden="false" customHeight="false" outlineLevel="0" collapsed="false">
      <c r="A2835" s="2" t="n">
        <v>198914</v>
      </c>
      <c r="B2835" s="2" t="s">
        <v>2324</v>
      </c>
      <c r="C2835" s="2" t="n">
        <v>3</v>
      </c>
      <c r="D2835" s="2" t="n">
        <v>3</v>
      </c>
      <c r="E2835" s="2" t="n">
        <v>1</v>
      </c>
      <c r="F2835" s="2" t="n">
        <v>65</v>
      </c>
      <c r="G2835" s="2" t="s">
        <v>564</v>
      </c>
      <c r="H2835" s="2" t="str">
        <f aca="false">IFERROR(__xludf.dummyfunction("IF(I2862="""", """", REGEXEXTRACT(I2862, ""Padrao/([^/]+)""))"),"Iguatemi")</f>
        <v>Iguatemi</v>
      </c>
    </row>
    <row r="2836" customFormat="false" ht="15.75" hidden="false" customHeight="false" outlineLevel="0" collapsed="false">
      <c r="A2836" s="2" t="n">
        <v>197459</v>
      </c>
      <c r="B2836" s="2" t="s">
        <v>602</v>
      </c>
      <c r="C2836" s="2" t="n">
        <v>1</v>
      </c>
      <c r="D2836" s="2" t="n">
        <v>1</v>
      </c>
      <c r="E2836" s="2" t="n">
        <v>1</v>
      </c>
      <c r="F2836" s="2" t="n">
        <v>47</v>
      </c>
      <c r="G2836" s="2" t="s">
        <v>564</v>
      </c>
      <c r="H2836" s="2" t="str">
        <f aca="false">IFERROR(__xludf.dummyfunction("IF(I2863="""", """", REGEXEXTRACT(I2863, ""Padrao/([^/]+)""))"),"Centro")</f>
        <v>Centro</v>
      </c>
    </row>
    <row r="2837" customFormat="false" ht="15.75" hidden="false" customHeight="false" outlineLevel="0" collapsed="false">
      <c r="A2837" s="2" t="n">
        <v>197207</v>
      </c>
      <c r="B2837" s="2" t="s">
        <v>1648</v>
      </c>
      <c r="C2837" s="2" t="n">
        <v>1</v>
      </c>
      <c r="D2837" s="2" t="n">
        <v>1</v>
      </c>
      <c r="E2837" s="2" t="n">
        <v>1</v>
      </c>
      <c r="F2837" s="2" t="n">
        <v>41</v>
      </c>
      <c r="G2837" s="2" t="s">
        <v>564</v>
      </c>
      <c r="H2837" s="2" t="str">
        <f aca="false">IFERROR(__xludf.dummyfunction("IF(I2864="""", """", REGEXEXTRACT(I2864, ""Padrao/([^/]+)""))"),"Nova Alianca")</f>
        <v>Nova Alianca</v>
      </c>
    </row>
    <row r="2838" customFormat="false" ht="15.75" hidden="false" customHeight="false" outlineLevel="0" collapsed="false">
      <c r="A2838" s="2" t="n">
        <v>196787</v>
      </c>
      <c r="B2838" s="2" t="s">
        <v>2325</v>
      </c>
      <c r="C2838" s="2" t="n">
        <v>1</v>
      </c>
      <c r="D2838" s="2" t="n">
        <v>1</v>
      </c>
      <c r="E2838" s="2" t="n">
        <v>1</v>
      </c>
      <c r="F2838" s="2" t="n">
        <v>52</v>
      </c>
      <c r="G2838" s="2" t="s">
        <v>564</v>
      </c>
      <c r="H2838" s="2" t="str">
        <f aca="false">IFERROR(__xludf.dummyfunction("IF(I2865="""", """", REGEXEXTRACT(I2865, ""Padrao/([^/]+)""))"),"Centro")</f>
        <v>Centro</v>
      </c>
    </row>
    <row r="2839" customFormat="false" ht="15.75" hidden="false" customHeight="false" outlineLevel="0" collapsed="false">
      <c r="A2839" s="2" t="n">
        <v>195986</v>
      </c>
      <c r="B2839" s="2" t="s">
        <v>2326</v>
      </c>
      <c r="C2839" s="2" t="n">
        <v>2</v>
      </c>
      <c r="D2839" s="2" t="n">
        <v>2</v>
      </c>
      <c r="E2839" s="2" t="n">
        <v>1</v>
      </c>
      <c r="F2839" s="2" t="n">
        <v>65</v>
      </c>
      <c r="G2839" s="2" t="s">
        <v>564</v>
      </c>
      <c r="H2839" s="2" t="str">
        <f aca="false">IFERROR(__xludf.dummyfunction("IF(I2866="""", """", REGEXEXTRACT(I2866, ""Padrao/([^/]+)""))"),"Vila Seixas")</f>
        <v>Vila Seixas</v>
      </c>
    </row>
    <row r="2840" customFormat="false" ht="15.75" hidden="false" customHeight="false" outlineLevel="0" collapsed="false">
      <c r="A2840" s="2" t="n">
        <v>195473</v>
      </c>
      <c r="B2840" s="2" t="s">
        <v>2327</v>
      </c>
      <c r="C2840" s="2" t="n">
        <v>2</v>
      </c>
      <c r="D2840" s="2" t="n">
        <v>1</v>
      </c>
      <c r="E2840" s="2" t="n">
        <v>1</v>
      </c>
      <c r="F2840" s="2" t="n">
        <v>57</v>
      </c>
      <c r="G2840" s="2" t="s">
        <v>564</v>
      </c>
      <c r="H2840" s="2" t="str">
        <f aca="false">IFERROR(__xludf.dummyfunction("IF(I2867="""", """", REGEXEXTRACT(I2867, ""Padrao/([^/]+)""))"),"Residencial Greenville")</f>
        <v>Residencial Greenville</v>
      </c>
    </row>
    <row r="2841" customFormat="false" ht="15.75" hidden="false" customHeight="false" outlineLevel="0" collapsed="false">
      <c r="A2841" s="2" t="n">
        <v>195134</v>
      </c>
      <c r="B2841" s="2" t="s">
        <v>2328</v>
      </c>
      <c r="C2841" s="2" t="n">
        <v>2</v>
      </c>
      <c r="D2841" s="2" t="n">
        <v>1</v>
      </c>
      <c r="E2841" s="2" t="n">
        <v>1</v>
      </c>
      <c r="F2841" s="2" t="n">
        <v>47</v>
      </c>
      <c r="G2841" s="2" t="s">
        <v>564</v>
      </c>
      <c r="H2841" s="2" t="str">
        <f aca="false">IFERROR(__xludf.dummyfunction("IF(I2868="""", """", REGEXEXTRACT(I2868, ""Padrao/([^/]+)""))"),"Vila Virginia")</f>
        <v>Vila Virginia</v>
      </c>
    </row>
    <row r="2842" customFormat="false" ht="15.75" hidden="false" customHeight="false" outlineLevel="0" collapsed="false">
      <c r="A2842" s="2" t="n">
        <v>194831</v>
      </c>
      <c r="B2842" s="2" t="s">
        <v>2329</v>
      </c>
      <c r="C2842" s="2" t="n">
        <v>2</v>
      </c>
      <c r="D2842" s="2" t="n">
        <v>2</v>
      </c>
      <c r="E2842" s="2" t="n">
        <v>2</v>
      </c>
      <c r="F2842" s="2" t="n">
        <v>62</v>
      </c>
      <c r="G2842" s="2" t="s">
        <v>564</v>
      </c>
      <c r="H2842" s="2" t="str">
        <f aca="false">IFERROR(__xludf.dummyfunction("IF(I2869="""", """", REGEXEXTRACT(I2869, ""Padrao/([^/]+)""))"),"Residencial e Comercial Palmares")</f>
        <v>Residencial e Comercial Palmares</v>
      </c>
    </row>
    <row r="2843" customFormat="false" ht="15.75" hidden="false" customHeight="false" outlineLevel="0" collapsed="false">
      <c r="A2843" s="2" t="n">
        <v>193412</v>
      </c>
      <c r="B2843" s="2" t="s">
        <v>2330</v>
      </c>
      <c r="C2843" s="2" t="n">
        <v>2</v>
      </c>
      <c r="D2843" s="2" t="n">
        <v>2</v>
      </c>
      <c r="E2843" s="2" t="n">
        <v>1</v>
      </c>
      <c r="F2843" s="2" t="n">
        <v>180</v>
      </c>
      <c r="G2843" s="2" t="s">
        <v>564</v>
      </c>
      <c r="H2843" s="2" t="str">
        <f aca="false">IFERROR(__xludf.dummyfunction("IF(I2870="""", """", REGEXEXTRACT(I2870, ""Padrao/([^/]+)""))"),"Centro")</f>
        <v>Centro</v>
      </c>
    </row>
    <row r="2844" customFormat="false" ht="15.75" hidden="false" customHeight="false" outlineLevel="0" collapsed="false">
      <c r="A2844" s="2" t="n">
        <v>187247</v>
      </c>
      <c r="B2844" s="2" t="s">
        <v>2331</v>
      </c>
      <c r="C2844" s="2" t="n">
        <v>2</v>
      </c>
      <c r="D2844" s="2" t="n">
        <v>1</v>
      </c>
      <c r="E2844" s="2" t="n">
        <v>1</v>
      </c>
      <c r="F2844" s="2" t="n">
        <v>42</v>
      </c>
      <c r="G2844" s="2" t="s">
        <v>564</v>
      </c>
      <c r="H2844" s="2" t="str">
        <f aca="false">IFERROR(__xludf.dummyfunction("IF(I2872="""", """", REGEXEXTRACT(I2872, ""Padrao/([^/]+)""))"),"Jardim Antartica")</f>
        <v>Jardim Antartica</v>
      </c>
    </row>
    <row r="2845" customFormat="false" ht="15.75" hidden="false" customHeight="false" outlineLevel="0" collapsed="false">
      <c r="A2845" s="2" t="n">
        <v>184793</v>
      </c>
      <c r="B2845" s="2" t="s">
        <v>162</v>
      </c>
      <c r="C2845" s="2" t="n">
        <v>3</v>
      </c>
      <c r="D2845" s="2" t="n">
        <v>1</v>
      </c>
      <c r="E2845" s="2" t="n">
        <v>1</v>
      </c>
      <c r="F2845" s="2" t="n">
        <v>58</v>
      </c>
      <c r="G2845" s="2" t="s">
        <v>564</v>
      </c>
      <c r="H2845" s="2" t="str">
        <f aca="false">IFERROR(__xludf.dummyfunction("IF(I2873="""", """", REGEXEXTRACT(I2873, ""Padrao/([^/]+)""))"),"Campos Eliseos")</f>
        <v>Campos Eliseos</v>
      </c>
    </row>
    <row r="2846" customFormat="false" ht="15.75" hidden="false" customHeight="false" outlineLevel="0" collapsed="false">
      <c r="A2846" s="2" t="n">
        <v>182078</v>
      </c>
      <c r="B2846" s="2" t="s">
        <v>2332</v>
      </c>
      <c r="C2846" s="2" t="n">
        <v>3</v>
      </c>
      <c r="D2846" s="2" t="n">
        <v>1</v>
      </c>
      <c r="E2846" s="2" t="n">
        <v>1</v>
      </c>
      <c r="F2846" s="2" t="n">
        <v>71</v>
      </c>
      <c r="G2846" s="2" t="s">
        <v>564</v>
      </c>
      <c r="H2846" s="2" t="str">
        <f aca="false">IFERROR(__xludf.dummyfunction("IF(I2874="""", """", REGEXEXTRACT(I2874, ""Padrao/([^/]+)""))"),"Vila Monte Alegre")</f>
        <v>Vila Monte Alegre</v>
      </c>
    </row>
    <row r="2847" customFormat="false" ht="15.75" hidden="false" customHeight="false" outlineLevel="0" collapsed="false">
      <c r="A2847" s="2" t="n">
        <v>181466</v>
      </c>
      <c r="B2847" s="2" t="s">
        <v>2333</v>
      </c>
      <c r="C2847" s="2" t="n">
        <v>2</v>
      </c>
      <c r="D2847" s="2" t="n">
        <v>2</v>
      </c>
      <c r="E2847" s="2" t="n">
        <v>1</v>
      </c>
      <c r="F2847" s="2" t="n">
        <v>84</v>
      </c>
      <c r="G2847" s="2" t="s">
        <v>564</v>
      </c>
      <c r="H2847" s="2" t="str">
        <f aca="false">IFERROR(__xludf.dummyfunction("IF(I2875="""", """", REGEXEXTRACT(I2875, ""Padrao/([^/]+)""))"),"Jardim Paulista")</f>
        <v>Jardim Paulista</v>
      </c>
    </row>
    <row r="2848" customFormat="false" ht="15.75" hidden="false" customHeight="false" outlineLevel="0" collapsed="false">
      <c r="A2848" s="2" t="n">
        <v>176777</v>
      </c>
      <c r="B2848" s="2" t="s">
        <v>2299</v>
      </c>
      <c r="C2848" s="2" t="n">
        <v>2</v>
      </c>
      <c r="D2848" s="2" t="n">
        <v>1</v>
      </c>
      <c r="E2848" s="2" t="n">
        <v>1</v>
      </c>
      <c r="F2848" s="2" t="n">
        <v>48</v>
      </c>
      <c r="G2848" s="2" t="s">
        <v>564</v>
      </c>
      <c r="H2848" s="2" t="str">
        <f aca="false">IFERROR(__xludf.dummyfunction("IF(I2876="""", """", REGEXEXTRACT(I2876, ""Padrao/([^/]+)""))"),"Jardim Paulistano")</f>
        <v>Jardim Paulistano</v>
      </c>
    </row>
    <row r="2849" customFormat="false" ht="15.75" hidden="false" customHeight="false" outlineLevel="0" collapsed="false">
      <c r="A2849" s="2" t="n">
        <v>173339</v>
      </c>
      <c r="B2849" s="2" t="s">
        <v>2334</v>
      </c>
      <c r="C2849" s="2" t="n">
        <v>2</v>
      </c>
      <c r="D2849" s="2" t="n">
        <v>1</v>
      </c>
      <c r="E2849" s="2" t="n">
        <v>1</v>
      </c>
      <c r="F2849" s="2" t="n">
        <v>48</v>
      </c>
      <c r="G2849" s="2" t="s">
        <v>564</v>
      </c>
      <c r="H2849" s="2" t="str">
        <f aca="false">IFERROR(__xludf.dummyfunction("IF(I2877="""", """", REGEXEXTRACT(I2877, ""Padrao/([^/]+)""))"),"Parque Sao Sebastiao")</f>
        <v>Parque Sao Sebastiao</v>
      </c>
    </row>
    <row r="2850" customFormat="false" ht="15.75" hidden="false" customHeight="false" outlineLevel="0" collapsed="false">
      <c r="A2850" s="2" t="n">
        <v>171860</v>
      </c>
      <c r="B2850" s="2" t="s">
        <v>2335</v>
      </c>
      <c r="C2850" s="2" t="n">
        <v>2</v>
      </c>
      <c r="D2850" s="2" t="n">
        <v>2</v>
      </c>
      <c r="E2850" s="2" t="n">
        <v>1</v>
      </c>
      <c r="F2850" s="2" t="n">
        <v>65</v>
      </c>
      <c r="G2850" s="2" t="s">
        <v>564</v>
      </c>
      <c r="H2850" s="2" t="str">
        <f aca="false">IFERROR(__xludf.dummyfunction("IF(I2878="""", """", REGEXEXTRACT(I2878, ""Padrao/([^/]+)""))"),"Residencial Florida")</f>
        <v>Residencial Florida</v>
      </c>
    </row>
    <row r="2851" customFormat="false" ht="15.75" hidden="false" customHeight="false" outlineLevel="0" collapsed="false">
      <c r="A2851" s="2" t="n">
        <v>167114</v>
      </c>
      <c r="B2851" s="2" t="s">
        <v>961</v>
      </c>
      <c r="C2851" s="2" t="n">
        <v>2</v>
      </c>
      <c r="D2851" s="2" t="n">
        <v>2</v>
      </c>
      <c r="E2851" s="2" t="n">
        <v>1</v>
      </c>
      <c r="F2851" s="2" t="n">
        <v>35</v>
      </c>
      <c r="G2851" s="2" t="s">
        <v>564</v>
      </c>
      <c r="H2851" s="2" t="str">
        <f aca="false">IFERROR(__xludf.dummyfunction("IF(I2879="""", """", REGEXEXTRACT(I2879, ""Padrao/([^/]+)""))"),"Centro")</f>
        <v>Centro</v>
      </c>
    </row>
    <row r="2852" customFormat="false" ht="15.75" hidden="false" customHeight="false" outlineLevel="0" collapsed="false">
      <c r="A2852" s="2" t="n">
        <v>163955</v>
      </c>
      <c r="B2852" s="2" t="s">
        <v>2336</v>
      </c>
      <c r="C2852" s="2" t="n">
        <v>2</v>
      </c>
      <c r="D2852" s="2" t="n">
        <v>2</v>
      </c>
      <c r="E2852" s="2" t="n">
        <v>1</v>
      </c>
      <c r="F2852" s="2" t="n">
        <v>53</v>
      </c>
      <c r="G2852" s="2" t="s">
        <v>564</v>
      </c>
      <c r="H2852" s="2" t="str">
        <f aca="false">IFERROR(__xludf.dummyfunction("IF(I2880="""", """", REGEXEXTRACT(I2880, ""Padrao/([^/]+)""))"),"Residencial Greenville")</f>
        <v>Residencial Greenville</v>
      </c>
    </row>
    <row r="2853" customFormat="false" ht="15.75" hidden="false" customHeight="false" outlineLevel="0" collapsed="false">
      <c r="A2853" s="2" t="n">
        <v>154064</v>
      </c>
      <c r="B2853" s="2" t="s">
        <v>2337</v>
      </c>
      <c r="C2853" s="2" t="n">
        <v>2</v>
      </c>
      <c r="D2853" s="2" t="n">
        <v>1</v>
      </c>
      <c r="E2853" s="2" t="n">
        <v>1</v>
      </c>
      <c r="F2853" s="2" t="n">
        <v>50</v>
      </c>
      <c r="G2853" s="2" t="s">
        <v>564</v>
      </c>
      <c r="H2853" s="2" t="str">
        <f aca="false">IFERROR(__xludf.dummyfunction("IF(I2881="""", """", REGEXEXTRACT(I2881, ""Padrao/([^/]+)""))"),"Jardim Anhanguera")</f>
        <v>Jardim Anhanguera</v>
      </c>
    </row>
    <row r="2854" customFormat="false" ht="15.75" hidden="false" customHeight="false" outlineLevel="0" collapsed="false">
      <c r="A2854" s="2" t="n">
        <v>136877</v>
      </c>
      <c r="B2854" s="2" t="s">
        <v>2338</v>
      </c>
      <c r="C2854" s="2" t="n">
        <v>3</v>
      </c>
      <c r="D2854" s="2" t="n">
        <v>1</v>
      </c>
      <c r="E2854" s="2" t="n">
        <v>1</v>
      </c>
      <c r="F2854" s="2" t="n">
        <v>75</v>
      </c>
      <c r="G2854" s="2" t="s">
        <v>564</v>
      </c>
      <c r="H2854" s="2" t="str">
        <f aca="false">IFERROR(__xludf.dummyfunction("IF(I2882="""", """", REGEXEXTRACT(I2882, ""Padrao/([^/]+)""))"),"Presidente Medici")</f>
        <v>Presidente Medici</v>
      </c>
    </row>
    <row r="2855" customFormat="false" ht="15.75" hidden="false" customHeight="false" outlineLevel="0" collapsed="false">
      <c r="A2855" s="2" t="n">
        <v>136526</v>
      </c>
      <c r="B2855" s="2" t="s">
        <v>2339</v>
      </c>
      <c r="C2855" s="2" t="n">
        <v>1</v>
      </c>
      <c r="D2855" s="2" t="n">
        <v>1</v>
      </c>
      <c r="E2855" s="2" t="n">
        <v>1</v>
      </c>
      <c r="F2855" s="2" t="n">
        <v>69</v>
      </c>
      <c r="G2855" s="2" t="s">
        <v>564</v>
      </c>
      <c r="H2855" s="2" t="str">
        <f aca="false">IFERROR(__xludf.dummyfunction("IF(I2883="""", """", REGEXEXTRACT(I2883, ""Padrao/([^/]+)""))"),"Centro")</f>
        <v>Centro</v>
      </c>
    </row>
    <row r="2856" customFormat="false" ht="15.75" hidden="false" customHeight="false" outlineLevel="0" collapsed="false">
      <c r="A2856" s="2" t="n">
        <v>134039</v>
      </c>
      <c r="B2856" s="2" t="s">
        <v>2340</v>
      </c>
      <c r="C2856" s="2" t="n">
        <v>2</v>
      </c>
      <c r="D2856" s="2" t="n">
        <v>2</v>
      </c>
      <c r="E2856" s="2" t="n">
        <v>1</v>
      </c>
      <c r="F2856" s="2" t="n">
        <v>59</v>
      </c>
      <c r="G2856" s="2" t="s">
        <v>564</v>
      </c>
      <c r="H2856" s="2" t="str">
        <f aca="false">IFERROR(__xludf.dummyfunction("IF(I2884="""", """", REGEXEXTRACT(I2884, ""Padrao/([^/]+)""))"),"Vila Monte Alegre")</f>
        <v>Vila Monte Alegre</v>
      </c>
    </row>
    <row r="2857" customFormat="false" ht="15.75" hidden="false" customHeight="false" outlineLevel="0" collapsed="false">
      <c r="A2857" s="2" t="n">
        <v>133052</v>
      </c>
      <c r="B2857" s="2" t="s">
        <v>2341</v>
      </c>
      <c r="C2857" s="2" t="n">
        <v>3</v>
      </c>
      <c r="D2857" s="2" t="n">
        <v>2</v>
      </c>
      <c r="E2857" s="2" t="n">
        <v>1</v>
      </c>
      <c r="F2857" s="2" t="n">
        <v>79</v>
      </c>
      <c r="G2857" s="2" t="s">
        <v>564</v>
      </c>
      <c r="H2857" s="2" t="str">
        <f aca="false">IFERROR(__xludf.dummyfunction("IF(I2885="""", """", REGEXEXTRACT(I2885, ""Padrao/([^/]+)""))"),"Campos Eliseos")</f>
        <v>Campos Eliseos</v>
      </c>
    </row>
    <row r="2858" customFormat="false" ht="15.75" hidden="false" customHeight="false" outlineLevel="0" collapsed="false">
      <c r="A2858" s="2" t="n">
        <v>128819</v>
      </c>
      <c r="B2858" s="2" t="s">
        <v>162</v>
      </c>
      <c r="C2858" s="2" t="n">
        <v>3</v>
      </c>
      <c r="D2858" s="2" t="n">
        <v>2</v>
      </c>
      <c r="E2858" s="2" t="n">
        <v>1</v>
      </c>
      <c r="F2858" s="2" t="n">
        <v>83</v>
      </c>
      <c r="G2858" s="2" t="s">
        <v>564</v>
      </c>
      <c r="H2858" s="2" t="str">
        <f aca="false">IFERROR(__xludf.dummyfunction("IF(I2886="""", """", REGEXEXTRACT(I2886, ""Padrao/([^/]+)""))"),"Jardim Zara")</f>
        <v>Jardim Zara</v>
      </c>
    </row>
    <row r="2859" customFormat="false" ht="15.75" hidden="false" customHeight="false" outlineLevel="0" collapsed="false">
      <c r="A2859" s="2" t="n">
        <v>128678</v>
      </c>
      <c r="B2859" s="2" t="s">
        <v>2342</v>
      </c>
      <c r="C2859" s="2" t="n">
        <v>2</v>
      </c>
      <c r="D2859" s="2" t="n">
        <v>2</v>
      </c>
      <c r="E2859" s="2" t="n">
        <v>1</v>
      </c>
      <c r="F2859" s="2" t="n">
        <v>65</v>
      </c>
      <c r="G2859" s="2" t="s">
        <v>564</v>
      </c>
      <c r="H2859" s="2" t="str">
        <f aca="false">IFERROR(__xludf.dummyfunction("IF(I2887="""", """", REGEXEXTRACT(I2887, ""Padrao/([^/]+)""))"),"Centro")</f>
        <v>Centro</v>
      </c>
    </row>
    <row r="2860" customFormat="false" ht="15.75" hidden="false" customHeight="false" outlineLevel="0" collapsed="false">
      <c r="A2860" s="2" t="n">
        <v>120785</v>
      </c>
      <c r="B2860" s="2" t="s">
        <v>442</v>
      </c>
      <c r="C2860" s="2" t="n">
        <v>2</v>
      </c>
      <c r="D2860" s="2" t="n">
        <v>1</v>
      </c>
      <c r="E2860" s="2" t="n">
        <v>1</v>
      </c>
      <c r="F2860" s="2" t="n">
        <v>47</v>
      </c>
      <c r="G2860" s="2" t="s">
        <v>564</v>
      </c>
      <c r="H2860" s="2" t="str">
        <f aca="false">IFERROR(__xludf.dummyfunction("IF(I2889="""", """", REGEXEXTRACT(I2889, ""Padrao/([^/]+)""))"),"Campos Eliseos")</f>
        <v>Campos Eliseos</v>
      </c>
    </row>
    <row r="2861" customFormat="false" ht="15.75" hidden="false" customHeight="false" outlineLevel="0" collapsed="false">
      <c r="A2861" s="2" t="n">
        <v>116210</v>
      </c>
      <c r="B2861" s="2" t="s">
        <v>2051</v>
      </c>
      <c r="C2861" s="2" t="n">
        <v>2</v>
      </c>
      <c r="D2861" s="2" t="n">
        <v>1</v>
      </c>
      <c r="E2861" s="2" t="n">
        <v>1</v>
      </c>
      <c r="F2861" s="2" t="n">
        <v>57</v>
      </c>
      <c r="G2861" s="2" t="s">
        <v>564</v>
      </c>
      <c r="H2861" s="2" t="str">
        <f aca="false">IFERROR(__xludf.dummyfunction("IF(I2890="""", """", REGEXEXTRACT(I2890, ""Padrao/([^/]+)""))"),"Republica")</f>
        <v>Republica</v>
      </c>
    </row>
    <row r="2862" customFormat="false" ht="15.75" hidden="false" customHeight="false" outlineLevel="0" collapsed="false">
      <c r="A2862" s="2" t="n">
        <v>108212</v>
      </c>
      <c r="B2862" s="2" t="s">
        <v>1503</v>
      </c>
      <c r="C2862" s="2" t="n">
        <v>2</v>
      </c>
      <c r="D2862" s="2" t="n">
        <v>1</v>
      </c>
      <c r="E2862" s="2" t="n">
        <v>1</v>
      </c>
      <c r="F2862" s="2" t="n">
        <v>47</v>
      </c>
      <c r="G2862" s="2" t="s">
        <v>564</v>
      </c>
      <c r="H2862" s="2" t="str">
        <f aca="false">IFERROR(__xludf.dummyfunction("IF(I2891="""", """", REGEXEXTRACT(I2891, ""Padrao/([^/]+)""))"),"Alto do Ipiranga")</f>
        <v>Alto do Ipiranga</v>
      </c>
    </row>
    <row r="2863" customFormat="false" ht="15.75" hidden="false" customHeight="false" outlineLevel="0" collapsed="false">
      <c r="A2863" s="2" t="n">
        <v>105398</v>
      </c>
      <c r="B2863" s="2" t="s">
        <v>2343</v>
      </c>
      <c r="C2863" s="2" t="n">
        <v>3</v>
      </c>
      <c r="D2863" s="2" t="n">
        <v>2</v>
      </c>
      <c r="E2863" s="2" t="n">
        <v>1</v>
      </c>
      <c r="F2863" s="2" t="n">
        <v>68</v>
      </c>
      <c r="G2863" s="2" t="s">
        <v>564</v>
      </c>
      <c r="H2863" s="2" t="str">
        <f aca="false">IFERROR(__xludf.dummyfunction("IF(I2892="""", """", REGEXEXTRACT(I2892, ""Padrao/([^/]+)""))"),"Centro")</f>
        <v>Centro</v>
      </c>
    </row>
    <row r="2864" customFormat="false" ht="15.75" hidden="false" customHeight="false" outlineLevel="0" collapsed="false">
      <c r="A2864" s="2" t="n">
        <v>104336</v>
      </c>
      <c r="B2864" s="2" t="s">
        <v>645</v>
      </c>
      <c r="C2864" s="2" t="n">
        <v>1</v>
      </c>
      <c r="D2864" s="2" t="n">
        <v>2</v>
      </c>
      <c r="E2864" s="2" t="n">
        <v>1</v>
      </c>
      <c r="F2864" s="2" t="n">
        <v>60</v>
      </c>
      <c r="G2864" s="2" t="s">
        <v>564</v>
      </c>
      <c r="H2864" s="2" t="str">
        <f aca="false">IFERROR(__xludf.dummyfunction("IF(I2893="""", """", REGEXEXTRACT(I2893, ""Padrao/([^/]+)""))"),"City Ribeirao")</f>
        <v>City Ribeirao</v>
      </c>
    </row>
    <row r="2865" customFormat="false" ht="15.75" hidden="false" customHeight="false" outlineLevel="0" collapsed="false">
      <c r="A2865" s="2" t="n">
        <v>103325</v>
      </c>
      <c r="B2865" s="2" t="s">
        <v>2344</v>
      </c>
      <c r="C2865" s="2" t="n">
        <v>1</v>
      </c>
      <c r="D2865" s="2" t="n">
        <v>1</v>
      </c>
      <c r="E2865" s="2" t="n">
        <v>1</v>
      </c>
      <c r="F2865" s="2" t="n">
        <v>46</v>
      </c>
      <c r="G2865" s="2" t="s">
        <v>564</v>
      </c>
      <c r="H2865" s="2" t="str">
        <f aca="false">IFERROR(__xludf.dummyfunction("IF(I2894="""", """", REGEXEXTRACT(I2894, ""Padrao/([^/]+)""))"),"Nova Alianca")</f>
        <v>Nova Alianca</v>
      </c>
    </row>
    <row r="2866" customFormat="false" ht="15.75" hidden="false" customHeight="false" outlineLevel="0" collapsed="false">
      <c r="A2866" s="2" t="n">
        <v>101282</v>
      </c>
      <c r="B2866" s="2" t="s">
        <v>162</v>
      </c>
      <c r="C2866" s="2" t="n">
        <v>2</v>
      </c>
      <c r="D2866" s="2" t="n">
        <v>2</v>
      </c>
      <c r="E2866" s="2" t="n">
        <v>1</v>
      </c>
      <c r="F2866" s="2" t="n">
        <v>65</v>
      </c>
      <c r="G2866" s="2" t="s">
        <v>564</v>
      </c>
      <c r="H2866" s="2" t="str">
        <f aca="false">IFERROR(__xludf.dummyfunction("IF(I2895="""", """", REGEXEXTRACT(I2895, ""Padrao/([^/]+)""))"),"Residencial Florida")</f>
        <v>Residencial Florida</v>
      </c>
    </row>
    <row r="2867" customFormat="false" ht="15.75" hidden="false" customHeight="false" outlineLevel="0" collapsed="false">
      <c r="A2867" s="2" t="n">
        <v>100454</v>
      </c>
      <c r="B2867" s="2" t="s">
        <v>162</v>
      </c>
      <c r="C2867" s="2" t="n">
        <v>1</v>
      </c>
      <c r="D2867" s="2" t="n">
        <v>1</v>
      </c>
      <c r="E2867" s="2" t="n">
        <v>1</v>
      </c>
      <c r="F2867" s="2" t="n">
        <v>43</v>
      </c>
      <c r="G2867" s="2" t="s">
        <v>564</v>
      </c>
      <c r="H2867" s="2" t="str">
        <f aca="false">IFERROR(__xludf.dummyfunction("IF(I2896="""", """", REGEXEXTRACT(I2896, ""Padrao/([^/]+)""))"),"Centro")</f>
        <v>Centro</v>
      </c>
    </row>
    <row r="2868" customFormat="false" ht="15.75" hidden="false" customHeight="false" outlineLevel="0" collapsed="false">
      <c r="A2868" s="2" t="n">
        <v>91334</v>
      </c>
      <c r="B2868" s="2" t="s">
        <v>1810</v>
      </c>
      <c r="C2868" s="2" t="n">
        <v>1</v>
      </c>
      <c r="D2868" s="2" t="n">
        <v>1</v>
      </c>
      <c r="E2868" s="2" t="n">
        <v>1</v>
      </c>
      <c r="F2868" s="2" t="n">
        <v>39</v>
      </c>
      <c r="G2868" s="2" t="s">
        <v>564</v>
      </c>
      <c r="H2868" s="2" t="str">
        <f aca="false">IFERROR(__xludf.dummyfunction("IF(I2898="""", """", REGEXEXTRACT(I2898, ""Padrao/([^/]+)""))"),"Nova Alianca")</f>
        <v>Nova Alianca</v>
      </c>
    </row>
    <row r="2869" customFormat="false" ht="15.75" hidden="false" customHeight="false" outlineLevel="0" collapsed="false">
      <c r="A2869" s="2" t="n">
        <v>86579</v>
      </c>
      <c r="B2869" s="2" t="s">
        <v>2345</v>
      </c>
      <c r="C2869" s="2" t="n">
        <v>2</v>
      </c>
      <c r="D2869" s="2" t="n">
        <v>1</v>
      </c>
      <c r="E2869" s="2" t="n">
        <v>1</v>
      </c>
      <c r="F2869" s="2" t="n">
        <v>49</v>
      </c>
      <c r="G2869" s="2" t="s">
        <v>564</v>
      </c>
      <c r="H2869" s="2" t="str">
        <f aca="false">IFERROR(__xludf.dummyfunction("IF(I2899="""", """", REGEXEXTRACT(I2899, ""Padrao/([^/]+)""))"),"Nova Alianca")</f>
        <v>Nova Alianca</v>
      </c>
    </row>
    <row r="2870" customFormat="false" ht="15.75" hidden="false" customHeight="false" outlineLevel="0" collapsed="false">
      <c r="A2870" s="2" t="n">
        <v>64448</v>
      </c>
      <c r="B2870" s="2" t="s">
        <v>2346</v>
      </c>
      <c r="C2870" s="2" t="n">
        <v>1</v>
      </c>
      <c r="D2870" s="2" t="n">
        <v>1</v>
      </c>
      <c r="E2870" s="2" t="n">
        <v>2</v>
      </c>
      <c r="F2870" s="2" t="n">
        <v>48</v>
      </c>
      <c r="G2870" s="2" t="s">
        <v>564</v>
      </c>
      <c r="H2870" s="2" t="str">
        <f aca="false">IFERROR(__xludf.dummyfunction("IF(I2900="""", """", REGEXEXTRACT(I2900, ""Padrao/([^/]+)""))"),"Jardim Botanico")</f>
        <v>Jardim Botanico</v>
      </c>
    </row>
    <row r="2871" customFormat="false" ht="15.75" hidden="false" customHeight="false" outlineLevel="0" collapsed="false">
      <c r="A2871" s="2" t="n">
        <v>20243</v>
      </c>
      <c r="B2871" s="2" t="s">
        <v>683</v>
      </c>
      <c r="C2871" s="2" t="n">
        <v>1</v>
      </c>
      <c r="D2871" s="2" t="n">
        <v>1</v>
      </c>
      <c r="E2871" s="2" t="n">
        <v>1</v>
      </c>
      <c r="F2871" s="2" t="n">
        <v>43</v>
      </c>
      <c r="G2871" s="2" t="s">
        <v>564</v>
      </c>
      <c r="H2871" s="2" t="str">
        <f aca="false">IFERROR(__xludf.dummyfunction("IF(I2901="""", """", REGEXEXTRACT(I2901, ""Padrao/([^/]+)""))"),"Centro")</f>
        <v>Centro</v>
      </c>
    </row>
    <row r="2872" customFormat="false" ht="15.75" hidden="false" customHeight="false" outlineLevel="0" collapsed="false">
      <c r="A2872" s="2" t="n">
        <v>203888</v>
      </c>
      <c r="B2872" s="2" t="s">
        <v>2347</v>
      </c>
      <c r="C2872" s="2" t="n">
        <v>2</v>
      </c>
      <c r="D2872" s="2" t="n">
        <v>1</v>
      </c>
      <c r="E2872" s="2" t="n">
        <v>1</v>
      </c>
      <c r="F2872" s="2" t="n">
        <v>51</v>
      </c>
      <c r="G2872" s="2" t="s">
        <v>2348</v>
      </c>
      <c r="H2872" s="2" t="str">
        <f aca="false">IFERROR(__xludf.dummyfunction("IF(I2902="""", """", REGEXEXTRACT(I2902, ""Padrao/([^/]+)""))"),"Jardim Novo Mundo")</f>
        <v>Jardim Novo Mundo</v>
      </c>
    </row>
    <row r="2873" customFormat="false" ht="15.75" hidden="false" customHeight="false" outlineLevel="0" collapsed="false">
      <c r="A2873" s="2" t="n">
        <v>160403</v>
      </c>
      <c r="B2873" s="2" t="s">
        <v>2349</v>
      </c>
      <c r="C2873" s="2" t="n">
        <v>2</v>
      </c>
      <c r="D2873" s="2" t="n">
        <v>1</v>
      </c>
      <c r="E2873" s="2" t="n">
        <v>1</v>
      </c>
      <c r="F2873" s="2" t="n">
        <v>51</v>
      </c>
      <c r="G2873" s="2" t="s">
        <v>2348</v>
      </c>
      <c r="H2873" s="2" t="str">
        <f aca="false">IFERROR(__xludf.dummyfunction("IF(I2903="""", """", REGEXEXTRACT(I2903, ""Padrao/([^/]+)""))"),"Jardim Novo Mundo")</f>
        <v>Jardim Novo Mundo</v>
      </c>
    </row>
    <row r="2874" customFormat="false" ht="15.75" hidden="false" customHeight="false" outlineLevel="0" collapsed="false">
      <c r="A2874" s="2" t="n">
        <v>159923</v>
      </c>
      <c r="B2874" s="2" t="s">
        <v>2350</v>
      </c>
      <c r="C2874" s="2" t="n">
        <v>2</v>
      </c>
      <c r="D2874" s="2" t="n">
        <v>1</v>
      </c>
      <c r="E2874" s="2" t="n">
        <v>1</v>
      </c>
      <c r="F2874" s="2" t="n">
        <v>56</v>
      </c>
      <c r="G2874" s="2" t="s">
        <v>2351</v>
      </c>
      <c r="H2874" s="2" t="str">
        <f aca="false">IFERROR(__xludf.dummyfunction("IF(I2904="""", """", REGEXEXTRACT(I2904, ""Padrao/([^/]+)""))"),"Parque Sao Sebastiao")</f>
        <v>Parque Sao Sebastiao</v>
      </c>
    </row>
    <row r="2875" customFormat="false" ht="15.75" hidden="false" customHeight="false" outlineLevel="0" collapsed="false">
      <c r="A2875" s="2" t="n">
        <v>203324</v>
      </c>
      <c r="B2875" s="2" t="s">
        <v>2352</v>
      </c>
      <c r="C2875" s="2" t="n">
        <v>2</v>
      </c>
      <c r="D2875" s="2" t="n">
        <v>1</v>
      </c>
      <c r="E2875" s="2" t="n">
        <v>1</v>
      </c>
      <c r="F2875" s="2" t="n">
        <v>50</v>
      </c>
      <c r="G2875" s="2" t="s">
        <v>2353</v>
      </c>
      <c r="H2875" s="2" t="str">
        <f aca="false">IFERROR(__xludf.dummyfunction("IF(I2905="""", """", REGEXEXTRACT(I2905, ""Padrao/([^/]+)""))"),"Alto da Boa Vista")</f>
        <v>Alto da Boa Vista</v>
      </c>
    </row>
    <row r="2876" customFormat="false" ht="15.75" hidden="false" customHeight="false" outlineLevel="0" collapsed="false">
      <c r="A2876" s="2" t="n">
        <v>157502</v>
      </c>
      <c r="B2876" s="2" t="s">
        <v>2097</v>
      </c>
      <c r="C2876" s="2" t="n">
        <v>2</v>
      </c>
      <c r="D2876" s="2" t="n">
        <v>2</v>
      </c>
      <c r="E2876" s="2" t="n">
        <v>1</v>
      </c>
      <c r="F2876" s="2" t="n">
        <v>68</v>
      </c>
      <c r="G2876" s="2" t="s">
        <v>2354</v>
      </c>
      <c r="H2876" s="2" t="str">
        <f aca="false">IFERROR(__xludf.dummyfunction("IF(I2906="""", """", REGEXEXTRACT(I2906, ""Padrao/([^/]+)""))"),"Ipiranga")</f>
        <v>Ipiranga</v>
      </c>
    </row>
    <row r="2877" customFormat="false" ht="15.75" hidden="false" customHeight="false" outlineLevel="0" collapsed="false">
      <c r="A2877" s="2" t="n">
        <v>75050</v>
      </c>
      <c r="B2877" s="2" t="s">
        <v>162</v>
      </c>
      <c r="C2877" s="2" t="n">
        <v>2</v>
      </c>
      <c r="D2877" s="2" t="n">
        <v>2</v>
      </c>
      <c r="E2877" s="2" t="n">
        <v>1</v>
      </c>
      <c r="F2877" s="2" t="n">
        <v>49</v>
      </c>
      <c r="G2877" s="2" t="s">
        <v>428</v>
      </c>
      <c r="H2877" s="2" t="str">
        <f aca="false">IFERROR(__xludf.dummyfunction("IF(I2907="""", """", REGEXEXTRACT(I2907, ""Padrao/([^/]+)""))"),"Ipiranga")</f>
        <v>Ipiranga</v>
      </c>
    </row>
    <row r="2878" customFormat="false" ht="15.75" hidden="false" customHeight="false" outlineLevel="0" collapsed="false">
      <c r="A2878" s="2" t="n">
        <v>157397</v>
      </c>
      <c r="B2878" s="2" t="s">
        <v>2355</v>
      </c>
      <c r="C2878" s="2" t="n">
        <v>2</v>
      </c>
      <c r="D2878" s="2" t="n">
        <v>2</v>
      </c>
      <c r="E2878" s="2" t="n">
        <v>1</v>
      </c>
      <c r="F2878" s="2" t="n">
        <v>82</v>
      </c>
      <c r="G2878" s="2" t="s">
        <v>518</v>
      </c>
      <c r="H2878" s="2" t="str">
        <f aca="false">IFERROR(__xludf.dummyfunction("IF(I2908="""", """", REGEXEXTRACT(I2908, ""Padrao/([^/]+)""))"),"Campos Eliseos")</f>
        <v>Campos Eliseos</v>
      </c>
    </row>
    <row r="2879" customFormat="false" ht="15.75" hidden="false" customHeight="false" outlineLevel="0" collapsed="false">
      <c r="A2879" s="2" t="n">
        <v>220742</v>
      </c>
      <c r="B2879" s="2" t="s">
        <v>2356</v>
      </c>
      <c r="C2879" s="2" t="n">
        <v>2</v>
      </c>
      <c r="D2879" s="2" t="n">
        <v>1</v>
      </c>
      <c r="E2879" s="2" t="n">
        <v>1</v>
      </c>
      <c r="F2879" s="2" t="n">
        <v>47</v>
      </c>
      <c r="G2879" s="2" t="s">
        <v>533</v>
      </c>
      <c r="H2879" s="2" t="str">
        <f aca="false">IFERROR(__xludf.dummyfunction("IF(I2909="""", """", REGEXEXTRACT(I2909, ""Padrao/([^/]+)""))"),"Campos Eliseos")</f>
        <v>Campos Eliseos</v>
      </c>
    </row>
    <row r="2880" customFormat="false" ht="15.75" hidden="false" customHeight="false" outlineLevel="0" collapsed="false">
      <c r="A2880" s="2" t="n">
        <v>220214</v>
      </c>
      <c r="B2880" s="2" t="s">
        <v>2357</v>
      </c>
      <c r="C2880" s="2" t="n">
        <v>2</v>
      </c>
      <c r="D2880" s="2" t="n">
        <v>1</v>
      </c>
      <c r="E2880" s="2" t="n">
        <v>1</v>
      </c>
      <c r="F2880" s="2" t="n">
        <v>49</v>
      </c>
      <c r="G2880" s="2" t="s">
        <v>537</v>
      </c>
      <c r="H2880" s="2" t="str">
        <f aca="false">IFERROR(__xludf.dummyfunction("IF(I2910="""", """", REGEXEXTRACT(I2910, ""Padrao/([^/]+)""))"),"Jardim Novo Mundo")</f>
        <v>Jardim Novo Mundo</v>
      </c>
    </row>
    <row r="2881" customFormat="false" ht="15.75" hidden="false" customHeight="false" outlineLevel="0" collapsed="false">
      <c r="A2881" s="2" t="n">
        <v>89882</v>
      </c>
      <c r="B2881" s="2" t="s">
        <v>2358</v>
      </c>
      <c r="C2881" s="2" t="n">
        <v>2</v>
      </c>
      <c r="D2881" s="2" t="n">
        <v>2</v>
      </c>
      <c r="E2881" s="2" t="n">
        <v>1</v>
      </c>
      <c r="F2881" s="2" t="n">
        <v>69</v>
      </c>
      <c r="G2881" s="2" t="s">
        <v>537</v>
      </c>
      <c r="H2881" s="2" t="str">
        <f aca="false">IFERROR(__xludf.dummyfunction("IF(I2911="""", """", REGEXEXTRACT(I2911, ""Padrao/([^/]+)""))"),"Jardim Anhanguera")</f>
        <v>Jardim Anhanguera</v>
      </c>
    </row>
    <row r="2882" customFormat="false" ht="15.75" hidden="false" customHeight="false" outlineLevel="0" collapsed="false">
      <c r="A2882" s="2" t="n">
        <v>147317</v>
      </c>
      <c r="B2882" s="2" t="s">
        <v>2359</v>
      </c>
      <c r="C2882" s="2" t="n">
        <v>2</v>
      </c>
      <c r="D2882" s="2" t="n">
        <v>1</v>
      </c>
      <c r="E2882" s="2" t="n">
        <v>1</v>
      </c>
      <c r="F2882" s="2" t="n">
        <v>48</v>
      </c>
      <c r="G2882" s="2" t="s">
        <v>2042</v>
      </c>
      <c r="H2882" s="2" t="str">
        <f aca="false">IFERROR(__xludf.dummyfunction("IF(I2912="""", """", REGEXEXTRACT(I2912, ""Padrao/([^/]+)""))"),"Campos Eliseos")</f>
        <v>Campos Eliseos</v>
      </c>
    </row>
    <row r="2883" customFormat="false" ht="15.75" hidden="false" customHeight="false" outlineLevel="0" collapsed="false">
      <c r="A2883" s="2" t="n">
        <v>188633</v>
      </c>
      <c r="B2883" s="2" t="s">
        <v>2360</v>
      </c>
      <c r="C2883" s="2" t="n">
        <v>2</v>
      </c>
      <c r="D2883" s="2" t="n">
        <v>1</v>
      </c>
      <c r="E2883" s="2" t="n">
        <v>1</v>
      </c>
      <c r="F2883" s="2" t="n">
        <v>52</v>
      </c>
      <c r="G2883" s="2" t="s">
        <v>543</v>
      </c>
      <c r="H2883" s="2" t="str">
        <f aca="false">IFERROR(__xludf.dummyfunction("IF(I2913="""", """", REGEXEXTRACT(I2913, ""Padrao/([^/]+)""))"),"Jardim Bom Pastor")</f>
        <v>Jardim Bom Pastor</v>
      </c>
    </row>
    <row r="2884" customFormat="false" ht="15.75" hidden="false" customHeight="false" outlineLevel="0" collapsed="false">
      <c r="A2884" s="2" t="n">
        <v>205025</v>
      </c>
      <c r="B2884" s="2" t="s">
        <v>2361</v>
      </c>
      <c r="C2884" s="2" t="n">
        <v>1</v>
      </c>
      <c r="D2884" s="2" t="n">
        <v>1</v>
      </c>
      <c r="E2884" s="2" t="n">
        <v>1</v>
      </c>
      <c r="F2884" s="2" t="n">
        <v>29</v>
      </c>
      <c r="G2884" s="2" t="s">
        <v>1457</v>
      </c>
      <c r="H2884" s="2" t="str">
        <f aca="false">IFERROR(__xludf.dummyfunction("IF(I2914="""", """", REGEXEXTRACT(I2914, ""Padrao/([^/]+)""))"),"Jardim Palma Travassos")</f>
        <v>Jardim Palma Travassos</v>
      </c>
    </row>
    <row r="2885" customFormat="false" ht="15.75" hidden="false" customHeight="false" outlineLevel="0" collapsed="false">
      <c r="A2885" s="2" t="n">
        <v>215816</v>
      </c>
      <c r="B2885" s="2" t="s">
        <v>1158</v>
      </c>
      <c r="C2885" s="2" t="n">
        <v>2</v>
      </c>
      <c r="D2885" s="2" t="n">
        <v>1</v>
      </c>
      <c r="E2885" s="2" t="n">
        <v>1</v>
      </c>
      <c r="F2885" s="2" t="n">
        <v>40</v>
      </c>
      <c r="G2885" s="2" t="s">
        <v>554</v>
      </c>
      <c r="H2885" s="2" t="str">
        <f aca="false">IFERROR(__xludf.dummyfunction("IF(I2915="""", """", REGEXEXTRACT(I2915, ""Padrao/([^/]+)""))"),"Recreio das Acacias")</f>
        <v>Recreio das Acacias</v>
      </c>
    </row>
    <row r="2886" customFormat="false" ht="15.75" hidden="false" customHeight="false" outlineLevel="0" collapsed="false">
      <c r="A2886" s="2" t="n">
        <v>211277</v>
      </c>
      <c r="B2886" s="2" t="s">
        <v>2362</v>
      </c>
      <c r="C2886" s="2" t="n">
        <v>2</v>
      </c>
      <c r="D2886" s="2" t="n">
        <v>1</v>
      </c>
      <c r="E2886" s="2" t="n">
        <v>1</v>
      </c>
      <c r="F2886" s="2" t="n">
        <v>48</v>
      </c>
      <c r="G2886" s="2" t="s">
        <v>554</v>
      </c>
      <c r="H2886" s="2" t="str">
        <f aca="false">IFERROR(__xludf.dummyfunction("IF(I2916="""", """", REGEXEXTRACT(I2916, ""Padrao/([^/]+)""))"),"Reserva Sul Condominio")</f>
        <v>Reserva Sul Condominio</v>
      </c>
    </row>
    <row r="2887" customFormat="false" ht="15.75" hidden="false" customHeight="false" outlineLevel="0" collapsed="false">
      <c r="A2887" s="2" t="n">
        <v>166862</v>
      </c>
      <c r="B2887" s="2" t="s">
        <v>2363</v>
      </c>
      <c r="C2887" s="2" t="n">
        <v>1</v>
      </c>
      <c r="D2887" s="2" t="n">
        <v>1</v>
      </c>
      <c r="E2887" s="2" t="n">
        <v>1</v>
      </c>
      <c r="F2887" s="2" t="n">
        <v>55</v>
      </c>
      <c r="G2887" s="2" t="s">
        <v>554</v>
      </c>
      <c r="H2887" s="2" t="str">
        <f aca="false">IFERROR(__xludf.dummyfunction("IF(I2917="""", """", REGEXEXTRACT(I2917, ""Padrao/([^/]+)""))"),"Vila Seixas")</f>
        <v>Vila Seixas</v>
      </c>
    </row>
    <row r="2888" customFormat="false" ht="15.75" hidden="false" customHeight="false" outlineLevel="0" collapsed="false">
      <c r="A2888" s="2" t="n">
        <v>132122</v>
      </c>
      <c r="B2888" s="2" t="s">
        <v>605</v>
      </c>
      <c r="C2888" s="2" t="n">
        <v>2</v>
      </c>
      <c r="D2888" s="2" t="n">
        <v>1</v>
      </c>
      <c r="E2888" s="2" t="n">
        <v>1</v>
      </c>
      <c r="F2888" s="2" t="n">
        <v>66</v>
      </c>
      <c r="G2888" s="2" t="s">
        <v>554</v>
      </c>
      <c r="H2888" s="2" t="str">
        <f aca="false">IFERROR(__xludf.dummyfunction("IF(I2918="""", """", REGEXEXTRACT(I2918, ""Padrao/([^/]+)""))"),"Campos Eliseos")</f>
        <v>Campos Eliseos</v>
      </c>
    </row>
    <row r="2889" customFormat="false" ht="15.75" hidden="false" customHeight="false" outlineLevel="0" collapsed="false">
      <c r="A2889" s="2" t="n">
        <v>131573</v>
      </c>
      <c r="B2889" s="2" t="s">
        <v>2364</v>
      </c>
      <c r="C2889" s="2" t="n">
        <v>2</v>
      </c>
      <c r="D2889" s="2" t="n">
        <v>1</v>
      </c>
      <c r="E2889" s="2" t="n">
        <v>1</v>
      </c>
      <c r="F2889" s="2" t="n">
        <v>54</v>
      </c>
      <c r="G2889" s="2" t="s">
        <v>554</v>
      </c>
      <c r="H2889" s="2" t="str">
        <f aca="false">IFERROR(__xludf.dummyfunction("IF(I2919="""", """", REGEXEXTRACT(I2919, ""Padrao/([^/]+)""))"),"Residencial e Comercial Palmares")</f>
        <v>Residencial e Comercial Palmares</v>
      </c>
    </row>
    <row r="2890" customFormat="false" ht="15.75" hidden="false" customHeight="false" outlineLevel="0" collapsed="false">
      <c r="A2890" s="2" t="n">
        <v>189056</v>
      </c>
      <c r="B2890" s="2" t="s">
        <v>1158</v>
      </c>
      <c r="C2890" s="2" t="n">
        <v>2</v>
      </c>
      <c r="D2890" s="2" t="n">
        <v>1</v>
      </c>
      <c r="E2890" s="2" t="n">
        <v>1</v>
      </c>
      <c r="F2890" s="2" t="n">
        <v>40</v>
      </c>
      <c r="G2890" s="2" t="s">
        <v>564</v>
      </c>
      <c r="H2890" s="2" t="str">
        <f aca="false">IFERROR(__xludf.dummyfunction("IF(I2920="""", """", REGEXEXTRACT(I2920, ""Padrao/([^/]+)""))"),"Recreio das Acacias")</f>
        <v>Recreio das Acacias</v>
      </c>
    </row>
    <row r="2891" customFormat="false" ht="15.75" hidden="false" customHeight="false" outlineLevel="0" collapsed="false">
      <c r="A2891" s="2" t="n">
        <v>244346</v>
      </c>
      <c r="B2891" s="2" t="s">
        <v>1915</v>
      </c>
      <c r="C2891" s="2" t="n">
        <v>1</v>
      </c>
      <c r="D2891" s="2" t="n">
        <v>1</v>
      </c>
      <c r="E2891" s="2" t="n">
        <v>1</v>
      </c>
      <c r="F2891" s="2" t="n">
        <v>45</v>
      </c>
      <c r="G2891" s="2" t="s">
        <v>1513</v>
      </c>
      <c r="H2891" s="2" t="str">
        <f aca="false">IFERROR(__xludf.dummyfunction("IF(I2921="""", """", REGEXEXTRACT(I2921, ""Padrao/([^/]+)""))"),"Nova Alianca")</f>
        <v>Nova Alianca</v>
      </c>
    </row>
    <row r="2892" customFormat="false" ht="15.75" hidden="false" customHeight="false" outlineLevel="0" collapsed="false">
      <c r="A2892" s="2" t="n">
        <v>241535</v>
      </c>
      <c r="B2892" s="2" t="s">
        <v>2365</v>
      </c>
      <c r="C2892" s="2" t="n">
        <v>2</v>
      </c>
      <c r="D2892" s="2" t="n">
        <v>1</v>
      </c>
      <c r="E2892" s="2" t="n">
        <v>1</v>
      </c>
      <c r="F2892" s="2" t="n">
        <v>51</v>
      </c>
      <c r="G2892" s="2" t="s">
        <v>1513</v>
      </c>
      <c r="H2892" s="2" t="str">
        <f aca="false">IFERROR(__xludf.dummyfunction("IF(I2922="""", """", REGEXEXTRACT(I2922, ""Padrao/([^/]+)""))"),"Jardim Zara")</f>
        <v>Jardim Zara</v>
      </c>
    </row>
    <row r="2893" customFormat="false" ht="15.75" hidden="false" customHeight="false" outlineLevel="0" collapsed="false">
      <c r="A2893" s="2" t="n">
        <v>241250</v>
      </c>
      <c r="B2893" s="2" t="s">
        <v>2366</v>
      </c>
      <c r="C2893" s="2" t="n">
        <v>2</v>
      </c>
      <c r="D2893" s="2" t="n">
        <v>1</v>
      </c>
      <c r="E2893" s="2" t="n">
        <v>1</v>
      </c>
      <c r="F2893" s="2" t="n">
        <v>73</v>
      </c>
      <c r="G2893" s="2" t="s">
        <v>1513</v>
      </c>
      <c r="H2893" s="2" t="str">
        <f aca="false">IFERROR(__xludf.dummyfunction("IF(I2923="""", """", REGEXEXTRACT(I2923, ""Padrao/([^/]+)""))"),"Residencial e Comercial Palmares")</f>
        <v>Residencial e Comercial Palmares</v>
      </c>
    </row>
    <row r="2894" customFormat="false" ht="15.75" hidden="false" customHeight="false" outlineLevel="0" collapsed="false">
      <c r="A2894" s="2" t="n">
        <v>239600</v>
      </c>
      <c r="B2894" s="2" t="s">
        <v>2367</v>
      </c>
      <c r="C2894" s="2" t="n">
        <v>2</v>
      </c>
      <c r="D2894" s="2" t="n">
        <v>2</v>
      </c>
      <c r="E2894" s="2" t="n">
        <v>1</v>
      </c>
      <c r="F2894" s="2" t="n">
        <v>63</v>
      </c>
      <c r="G2894" s="2" t="s">
        <v>1513</v>
      </c>
      <c r="H2894" s="2" t="str">
        <f aca="false">IFERROR(__xludf.dummyfunction("IF(I2924="""", """", REGEXEXTRACT(I2924, ""Padrao/([^/]+)""))"),"Planalto Verde")</f>
        <v>Planalto Verde</v>
      </c>
    </row>
    <row r="2895" customFormat="false" ht="15.75" hidden="false" customHeight="false" outlineLevel="0" collapsed="false">
      <c r="A2895" s="2" t="n">
        <v>235958</v>
      </c>
      <c r="B2895" s="2" t="s">
        <v>2284</v>
      </c>
      <c r="C2895" s="2" t="n">
        <v>2</v>
      </c>
      <c r="D2895" s="2" t="n">
        <v>1</v>
      </c>
      <c r="E2895" s="2" t="n">
        <v>1</v>
      </c>
      <c r="F2895" s="2" t="n">
        <v>56</v>
      </c>
      <c r="G2895" s="2" t="s">
        <v>1513</v>
      </c>
      <c r="H2895" s="2" t="str">
        <f aca="false">IFERROR(__xludf.dummyfunction("IF(I2925="""", """", REGEXEXTRACT(I2925, ""Padrao/([^/]+)""))"),"Ipiranga")</f>
        <v>Ipiranga</v>
      </c>
    </row>
    <row r="2896" customFormat="false" ht="15.75" hidden="false" customHeight="false" outlineLevel="0" collapsed="false">
      <c r="A2896" s="2" t="n">
        <v>234014</v>
      </c>
      <c r="B2896" s="2" t="s">
        <v>2368</v>
      </c>
      <c r="C2896" s="2" t="n">
        <v>2</v>
      </c>
      <c r="D2896" s="2" t="n">
        <v>2</v>
      </c>
      <c r="E2896" s="2" t="n">
        <v>1</v>
      </c>
      <c r="F2896" s="2" t="n">
        <v>60</v>
      </c>
      <c r="G2896" s="2" t="s">
        <v>1513</v>
      </c>
      <c r="H2896" s="2" t="str">
        <f aca="false">IFERROR(__xludf.dummyfunction("IF(I2926="""", """", REGEXEXTRACT(I2926, ""Padrao/([^/]+)""))"),"Jardim Zara")</f>
        <v>Jardim Zara</v>
      </c>
    </row>
    <row r="2897" customFormat="false" ht="15.75" hidden="false" customHeight="false" outlineLevel="0" collapsed="false">
      <c r="A2897" s="2" t="n">
        <v>232955</v>
      </c>
      <c r="B2897" s="2" t="s">
        <v>2369</v>
      </c>
      <c r="C2897" s="2" t="n">
        <v>2</v>
      </c>
      <c r="D2897" s="2" t="n">
        <v>1</v>
      </c>
      <c r="E2897" s="2" t="n">
        <v>1</v>
      </c>
      <c r="F2897" s="2" t="n">
        <v>46</v>
      </c>
      <c r="G2897" s="2" t="s">
        <v>1513</v>
      </c>
      <c r="H2897" s="2" t="str">
        <f aca="false">IFERROR(__xludf.dummyfunction("IF(I2927="""", """", REGEXEXTRACT(I2927, ""Padrao/([^/]+)""))"),"Loteamento Santa Marta")</f>
        <v>Loteamento Santa Marta</v>
      </c>
    </row>
    <row r="2898" customFormat="false" ht="15.75" hidden="false" customHeight="false" outlineLevel="0" collapsed="false">
      <c r="A2898" s="2" t="n">
        <v>223838</v>
      </c>
      <c r="B2898" s="2" t="s">
        <v>2370</v>
      </c>
      <c r="C2898" s="2" t="n">
        <v>2</v>
      </c>
      <c r="D2898" s="2" t="n">
        <v>2</v>
      </c>
      <c r="E2898" s="2" t="n">
        <v>1</v>
      </c>
      <c r="F2898" s="2" t="n">
        <v>66</v>
      </c>
      <c r="G2898" s="2" t="s">
        <v>1513</v>
      </c>
      <c r="H2898" s="2" t="str">
        <f aca="false">IFERROR(__xludf.dummyfunction("IF(I2928="""", """", REGEXEXTRACT(I2928, ""Padrao/([^/]+)""))"),"Parque Industrial Lagoinha")</f>
        <v>Parque Industrial Lagoinha</v>
      </c>
    </row>
    <row r="2899" customFormat="false" ht="15.75" hidden="false" customHeight="false" outlineLevel="0" collapsed="false">
      <c r="A2899" s="2" t="n">
        <v>221534</v>
      </c>
      <c r="B2899" s="2" t="s">
        <v>2168</v>
      </c>
      <c r="C2899" s="2" t="n">
        <v>2</v>
      </c>
      <c r="D2899" s="2" t="n">
        <v>1</v>
      </c>
      <c r="E2899" s="2" t="n">
        <v>1</v>
      </c>
      <c r="F2899" s="2" t="n">
        <v>52</v>
      </c>
      <c r="G2899" s="2" t="s">
        <v>1513</v>
      </c>
      <c r="H2899" s="2" t="str">
        <f aca="false">IFERROR(__xludf.dummyfunction("IF(I2929="""", """", REGEXEXTRACT(I2929, ""Padrao/([^/]+)""))"),"Jardim Anhanguera")</f>
        <v>Jardim Anhanguera</v>
      </c>
    </row>
    <row r="2900" customFormat="false" ht="15.75" hidden="false" customHeight="false" outlineLevel="0" collapsed="false">
      <c r="A2900" s="2" t="n">
        <v>220796</v>
      </c>
      <c r="B2900" s="2" t="s">
        <v>2371</v>
      </c>
      <c r="C2900" s="2" t="n">
        <v>2</v>
      </c>
      <c r="D2900" s="2" t="n">
        <v>2</v>
      </c>
      <c r="E2900" s="2" t="n">
        <v>1</v>
      </c>
      <c r="F2900" s="2" t="n">
        <v>46</v>
      </c>
      <c r="G2900" s="2" t="s">
        <v>1513</v>
      </c>
      <c r="H2900" s="2" t="str">
        <f aca="false">IFERROR(__xludf.dummyfunction("IF(I2930="""", """", REGEXEXTRACT(I2930, ""Padrao/([^/]+)""))"),"Nova Alianca")</f>
        <v>Nova Alianca</v>
      </c>
    </row>
    <row r="2901" customFormat="false" ht="15.75" hidden="false" customHeight="false" outlineLevel="0" collapsed="false">
      <c r="A2901" s="2" t="n">
        <v>219425</v>
      </c>
      <c r="B2901" s="2" t="s">
        <v>2372</v>
      </c>
      <c r="C2901" s="2" t="n">
        <v>1</v>
      </c>
      <c r="D2901" s="2" t="n">
        <v>1</v>
      </c>
      <c r="E2901" s="2" t="n">
        <v>1</v>
      </c>
      <c r="F2901" s="2" t="n">
        <v>53</v>
      </c>
      <c r="G2901" s="2" t="s">
        <v>1513</v>
      </c>
      <c r="H2901" s="2" t="str">
        <f aca="false">IFERROR(__xludf.dummyfunction("IF(I2931="""", """", REGEXEXTRACT(I2931, ""Padrao/([^/]+)""))"),"Residencial e Comercial Palmares")</f>
        <v>Residencial e Comercial Palmares</v>
      </c>
    </row>
    <row r="2902" customFormat="false" ht="15.75" hidden="false" customHeight="false" outlineLevel="0" collapsed="false">
      <c r="A2902" s="2" t="n">
        <v>218117</v>
      </c>
      <c r="B2902" s="2" t="s">
        <v>1339</v>
      </c>
      <c r="C2902" s="2" t="n">
        <v>2</v>
      </c>
      <c r="D2902" s="2" t="n">
        <v>2</v>
      </c>
      <c r="E2902" s="2" t="n">
        <v>1</v>
      </c>
      <c r="F2902" s="2" t="n">
        <v>56</v>
      </c>
      <c r="G2902" s="2" t="s">
        <v>1513</v>
      </c>
      <c r="H2902" s="2" t="str">
        <f aca="false">IFERROR(__xludf.dummyfunction("IF(I2932="""", """", REGEXEXTRACT(I2932, ""Padrao/([^/]+)""))"),"Chacaras Pedro Correa de Carvalho")</f>
        <v>Chacaras Pedro Correa de Carvalho</v>
      </c>
    </row>
    <row r="2903" customFormat="false" ht="15.75" hidden="false" customHeight="false" outlineLevel="0" collapsed="false">
      <c r="A2903" s="2" t="n">
        <v>207647</v>
      </c>
      <c r="B2903" s="2" t="s">
        <v>2373</v>
      </c>
      <c r="C2903" s="2" t="n">
        <v>1</v>
      </c>
      <c r="D2903" s="2" t="n">
        <v>1</v>
      </c>
      <c r="E2903" s="2" t="n">
        <v>1</v>
      </c>
      <c r="F2903" s="2" t="n">
        <v>34</v>
      </c>
      <c r="G2903" s="2" t="s">
        <v>1513</v>
      </c>
      <c r="H2903" s="2" t="str">
        <f aca="false">IFERROR(__xludf.dummyfunction("IF(I2933="""", """", REGEXEXTRACT(I2933, ""Padrao/([^/]+)""))"),"Quintas de Sao Jose")</f>
        <v>Quintas de Sao Jose</v>
      </c>
    </row>
    <row r="2904" customFormat="false" ht="15.75" hidden="false" customHeight="false" outlineLevel="0" collapsed="false">
      <c r="A2904" s="2" t="n">
        <v>205058</v>
      </c>
      <c r="B2904" s="2" t="s">
        <v>2374</v>
      </c>
      <c r="C2904" s="2" t="n">
        <v>2</v>
      </c>
      <c r="D2904" s="2" t="n">
        <v>1</v>
      </c>
      <c r="E2904" s="2" t="n">
        <v>1</v>
      </c>
      <c r="F2904" s="2" t="n">
        <v>42</v>
      </c>
      <c r="G2904" s="2" t="s">
        <v>1513</v>
      </c>
      <c r="H2904" s="2" t="str">
        <f aca="false">IFERROR(__xludf.dummyfunction("IF(I2934="""", """", REGEXEXTRACT(I2934, ""Padrao/([^/]+)""))"),"Residencial Parque dos Servidores")</f>
        <v>Residencial Parque dos Servidores</v>
      </c>
    </row>
    <row r="2905" customFormat="false" ht="15.75" hidden="false" customHeight="false" outlineLevel="0" collapsed="false">
      <c r="A2905" s="2" t="n">
        <v>204314</v>
      </c>
      <c r="B2905" s="2" t="s">
        <v>2375</v>
      </c>
      <c r="C2905" s="2" t="n">
        <v>2</v>
      </c>
      <c r="D2905" s="2" t="n">
        <v>1</v>
      </c>
      <c r="E2905" s="2" t="n">
        <v>1</v>
      </c>
      <c r="F2905" s="2" t="n">
        <v>42</v>
      </c>
      <c r="G2905" s="2" t="s">
        <v>1513</v>
      </c>
      <c r="H2905" s="2" t="str">
        <f aca="false">IFERROR(__xludf.dummyfunction("IF(I2935="""", """", REGEXEXTRACT(I2935, ""Padrao/([^/]+)""))"),"Jardim Florestan Fernandes")</f>
        <v>Jardim Florestan Fernandes</v>
      </c>
    </row>
    <row r="2906" customFormat="false" ht="15.75" hidden="false" customHeight="false" outlineLevel="0" collapsed="false">
      <c r="A2906" s="2" t="n">
        <v>203054</v>
      </c>
      <c r="B2906" s="2" t="s">
        <v>2376</v>
      </c>
      <c r="C2906" s="2" t="n">
        <v>2</v>
      </c>
      <c r="D2906" s="2" t="n">
        <v>2</v>
      </c>
      <c r="E2906" s="2" t="n">
        <v>1</v>
      </c>
      <c r="F2906" s="2" t="n">
        <v>78</v>
      </c>
      <c r="G2906" s="2" t="s">
        <v>1513</v>
      </c>
      <c r="H2906" s="2" t="str">
        <f aca="false">IFERROR(__xludf.dummyfunction("IF(I2936="""", """", REGEXEXTRACT(I2936, ""Padrao/([^/]+)""))"),"Centro")</f>
        <v>Centro</v>
      </c>
    </row>
    <row r="2907" customFormat="false" ht="15.75" hidden="false" customHeight="false" outlineLevel="0" collapsed="false">
      <c r="A2907" s="2" t="n">
        <v>201686</v>
      </c>
      <c r="B2907" s="2" t="s">
        <v>2377</v>
      </c>
      <c r="C2907" s="2" t="n">
        <v>3</v>
      </c>
      <c r="D2907" s="2" t="n">
        <v>2</v>
      </c>
      <c r="E2907" s="2" t="n">
        <v>1</v>
      </c>
      <c r="F2907" s="2" t="n">
        <v>97</v>
      </c>
      <c r="G2907" s="2" t="s">
        <v>1513</v>
      </c>
      <c r="H2907" s="2" t="str">
        <f aca="false">IFERROR(__xludf.dummyfunction("IF(I2937="""", """", REGEXEXTRACT(I2937, ""Padrao/([^/]+)""))"),"Vila Tamandare")</f>
        <v>Vila Tamandare</v>
      </c>
    </row>
    <row r="2908" customFormat="false" ht="15.75" hidden="false" customHeight="false" outlineLevel="0" collapsed="false">
      <c r="A2908" s="2" t="n">
        <v>195299</v>
      </c>
      <c r="B2908" s="2" t="s">
        <v>2378</v>
      </c>
      <c r="C2908" s="2" t="n">
        <v>2</v>
      </c>
      <c r="D2908" s="2" t="n">
        <v>1</v>
      </c>
      <c r="E2908" s="2" t="n">
        <v>1</v>
      </c>
      <c r="F2908" s="2" t="n">
        <v>50</v>
      </c>
      <c r="G2908" s="2" t="s">
        <v>1513</v>
      </c>
      <c r="H2908" s="2" t="str">
        <f aca="false">IFERROR(__xludf.dummyfunction("IF(I2938="""", """", REGEXEXTRACT(I2938, ""Padrao/([^/]+)""))"),"Jardim Anhanguera")</f>
        <v>Jardim Anhanguera</v>
      </c>
    </row>
    <row r="2909" customFormat="false" ht="15.75" hidden="false" customHeight="false" outlineLevel="0" collapsed="false">
      <c r="A2909" s="2" t="n">
        <v>193871</v>
      </c>
      <c r="B2909" s="2" t="s">
        <v>1648</v>
      </c>
      <c r="C2909" s="2" t="n">
        <v>1</v>
      </c>
      <c r="D2909" s="2" t="n">
        <v>1</v>
      </c>
      <c r="E2909" s="2" t="n">
        <v>1</v>
      </c>
      <c r="F2909" s="2" t="n">
        <v>49</v>
      </c>
      <c r="G2909" s="2" t="s">
        <v>1513</v>
      </c>
      <c r="H2909" s="2" t="str">
        <f aca="false">IFERROR(__xludf.dummyfunction("IF(I2939="""", """", REGEXEXTRACT(I2939, ""Padrao/([^/]+)""))"),"Nova Alianca")</f>
        <v>Nova Alianca</v>
      </c>
    </row>
    <row r="2910" customFormat="false" ht="15.75" hidden="false" customHeight="false" outlineLevel="0" collapsed="false">
      <c r="A2910" s="2" t="n">
        <v>193661</v>
      </c>
      <c r="B2910" s="2" t="s">
        <v>962</v>
      </c>
      <c r="C2910" s="2" t="n">
        <v>2</v>
      </c>
      <c r="D2910" s="2" t="n">
        <v>1</v>
      </c>
      <c r="E2910" s="2" t="n">
        <v>1</v>
      </c>
      <c r="F2910" s="2" t="n">
        <v>63</v>
      </c>
      <c r="G2910" s="2" t="s">
        <v>1513</v>
      </c>
      <c r="H2910" s="2" t="str">
        <f aca="false">IFERROR(__xludf.dummyfunction("IF(I2940="""", """", REGEXEXTRACT(I2940, ""Padrao/([^/]+)""))"),"Jardim Interlagos")</f>
        <v>Jardim Interlagos</v>
      </c>
    </row>
    <row r="2911" customFormat="false" ht="15.75" hidden="false" customHeight="false" outlineLevel="0" collapsed="false">
      <c r="A2911" s="2" t="n">
        <v>191774</v>
      </c>
      <c r="B2911" s="2" t="s">
        <v>2379</v>
      </c>
      <c r="C2911" s="2" t="n">
        <v>2</v>
      </c>
      <c r="D2911" s="2" t="n">
        <v>3</v>
      </c>
      <c r="E2911" s="2" t="n">
        <v>1</v>
      </c>
      <c r="F2911" s="2" t="n">
        <v>100</v>
      </c>
      <c r="G2911" s="2" t="s">
        <v>1513</v>
      </c>
      <c r="H2911" s="2" t="str">
        <f aca="false">IFERROR(__xludf.dummyfunction("IF(I2941="""", """", REGEXEXTRACT(I2941, ""Padrao/([^/]+)""))"),"Parque dos Bandeirantes")</f>
        <v>Parque dos Bandeirantes</v>
      </c>
    </row>
    <row r="2912" customFormat="false" ht="15.75" hidden="false" customHeight="false" outlineLevel="0" collapsed="false">
      <c r="A2912" s="2" t="n">
        <v>188702</v>
      </c>
      <c r="B2912" s="2" t="s">
        <v>2380</v>
      </c>
      <c r="C2912" s="2" t="n">
        <v>1</v>
      </c>
      <c r="D2912" s="2" t="n">
        <v>1</v>
      </c>
      <c r="E2912" s="2" t="n">
        <v>1</v>
      </c>
      <c r="F2912" s="2" t="n">
        <v>31</v>
      </c>
      <c r="G2912" s="2" t="s">
        <v>1513</v>
      </c>
      <c r="H2912" s="2" t="str">
        <f aca="false">IFERROR(__xludf.dummyfunction("IF(I2942="""", """", REGEXEXTRACT(I2942, ""Padrao/([^/]+)""))"),"Vila Ana Maria")</f>
        <v>Vila Ana Maria</v>
      </c>
    </row>
    <row r="2913" customFormat="false" ht="15.75" hidden="false" customHeight="false" outlineLevel="0" collapsed="false">
      <c r="A2913" s="2" t="n">
        <v>186629</v>
      </c>
      <c r="B2913" s="2" t="s">
        <v>2381</v>
      </c>
      <c r="C2913" s="2" t="n">
        <v>3</v>
      </c>
      <c r="D2913" s="2" t="n">
        <v>2</v>
      </c>
      <c r="E2913" s="2" t="n">
        <v>1</v>
      </c>
      <c r="F2913" s="2" t="n">
        <v>72</v>
      </c>
      <c r="G2913" s="2" t="s">
        <v>1513</v>
      </c>
      <c r="H2913" s="2" t="str">
        <f aca="false">IFERROR(__xludf.dummyfunction("IF(I2943="""", """", REGEXEXTRACT(I2943, ""Padrao/([^/]+)""))"),"Presidente Medici")</f>
        <v>Presidente Medici</v>
      </c>
    </row>
    <row r="2914" customFormat="false" ht="15.75" hidden="false" customHeight="false" outlineLevel="0" collapsed="false">
      <c r="A2914" s="2" t="n">
        <v>182093</v>
      </c>
      <c r="B2914" s="2" t="s">
        <v>1308</v>
      </c>
      <c r="C2914" s="2" t="n">
        <v>1</v>
      </c>
      <c r="D2914" s="2" t="n">
        <v>1</v>
      </c>
      <c r="E2914" s="2" t="n">
        <v>1</v>
      </c>
      <c r="F2914" s="2" t="n">
        <v>45</v>
      </c>
      <c r="G2914" s="2" t="s">
        <v>1513</v>
      </c>
      <c r="H2914" s="2" t="str">
        <f aca="false">IFERROR(__xludf.dummyfunction("IF(I2944="""", """", REGEXEXTRACT(I2944, ""Padrao/([^/]+)""))"),"Nova Alianca")</f>
        <v>Nova Alianca</v>
      </c>
    </row>
    <row r="2915" customFormat="false" ht="15.75" hidden="false" customHeight="false" outlineLevel="0" collapsed="false">
      <c r="A2915" s="2" t="n">
        <v>179903</v>
      </c>
      <c r="B2915" s="2" t="s">
        <v>602</v>
      </c>
      <c r="C2915" s="2" t="n">
        <v>1</v>
      </c>
      <c r="D2915" s="2" t="n">
        <v>1</v>
      </c>
      <c r="E2915" s="2" t="n">
        <v>1</v>
      </c>
      <c r="F2915" s="2" t="n">
        <v>47</v>
      </c>
      <c r="G2915" s="2" t="s">
        <v>1513</v>
      </c>
      <c r="H2915" s="2" t="str">
        <f aca="false">IFERROR(__xludf.dummyfunction("IF(I2945="""", """", REGEXEXTRACT(I2945, ""Padrao/([^/]+)""))"),"Centro")</f>
        <v>Centro</v>
      </c>
    </row>
    <row r="2916" customFormat="false" ht="15.75" hidden="false" customHeight="false" outlineLevel="0" collapsed="false">
      <c r="A2916" s="2" t="n">
        <v>177119</v>
      </c>
      <c r="B2916" s="2" t="s">
        <v>2382</v>
      </c>
      <c r="C2916" s="2" t="n">
        <v>1</v>
      </c>
      <c r="D2916" s="2" t="n">
        <v>1</v>
      </c>
      <c r="E2916" s="2" t="n">
        <v>1</v>
      </c>
      <c r="F2916" s="2" t="n">
        <v>30</v>
      </c>
      <c r="G2916" s="2" t="s">
        <v>1513</v>
      </c>
      <c r="H2916" s="2" t="str">
        <f aca="false">IFERROR(__xludf.dummyfunction("IF(I2946="""", """", REGEXEXTRACT(I2946, ""Padrao/([^/]+)""))"),"Vila Seixas")</f>
        <v>Vila Seixas</v>
      </c>
    </row>
    <row r="2917" customFormat="false" ht="15.75" hidden="false" customHeight="false" outlineLevel="0" collapsed="false">
      <c r="A2917" s="2" t="n">
        <v>176303</v>
      </c>
      <c r="B2917" s="2" t="s">
        <v>2383</v>
      </c>
      <c r="C2917" s="2" t="n">
        <v>2</v>
      </c>
      <c r="D2917" s="2" t="n">
        <v>1</v>
      </c>
      <c r="E2917" s="2" t="n">
        <v>1</v>
      </c>
      <c r="F2917" s="2" t="n">
        <v>65</v>
      </c>
      <c r="G2917" s="2" t="s">
        <v>1513</v>
      </c>
      <c r="H2917" s="2" t="str">
        <f aca="false">IFERROR(__xludf.dummyfunction("IF(I2947="""", """", REGEXEXTRACT(I2947, ""Padrao/([^/]+)""))"),"Residencial Florida")</f>
        <v>Residencial Florida</v>
      </c>
    </row>
    <row r="2918" customFormat="false" ht="15.75" hidden="false" customHeight="false" outlineLevel="0" collapsed="false">
      <c r="A2918" s="2" t="n">
        <v>174455</v>
      </c>
      <c r="B2918" s="2" t="s">
        <v>2379</v>
      </c>
      <c r="C2918" s="2" t="n">
        <v>2</v>
      </c>
      <c r="D2918" s="2" t="n">
        <v>2</v>
      </c>
      <c r="E2918" s="2" t="n">
        <v>1</v>
      </c>
      <c r="F2918" s="2" t="n">
        <v>78</v>
      </c>
      <c r="G2918" s="2" t="s">
        <v>1513</v>
      </c>
      <c r="H2918" s="2" t="str">
        <f aca="false">IFERROR(__xludf.dummyfunction("IF(I2948="""", """", REGEXEXTRACT(I2948, ""Padrao/([^/]+)""))"),"Parque dos Bandeirantes")</f>
        <v>Parque dos Bandeirantes</v>
      </c>
    </row>
    <row r="2919" customFormat="false" ht="15.75" hidden="false" customHeight="false" outlineLevel="0" collapsed="false">
      <c r="A2919" s="2" t="n">
        <v>174383</v>
      </c>
      <c r="B2919" s="2" t="s">
        <v>2384</v>
      </c>
      <c r="C2919" s="2" t="n">
        <v>3</v>
      </c>
      <c r="D2919" s="2" t="n">
        <v>2</v>
      </c>
      <c r="E2919" s="2" t="n">
        <v>1</v>
      </c>
      <c r="F2919" s="2" t="n">
        <v>82</v>
      </c>
      <c r="G2919" s="2" t="s">
        <v>1513</v>
      </c>
      <c r="H2919" s="2" t="str">
        <f aca="false">IFERROR(__xludf.dummyfunction("IF(I2949="""", """", REGEXEXTRACT(I2949, ""Padrao/([^/]+)""))"),"Alto do Ipiranga")</f>
        <v>Alto do Ipiranga</v>
      </c>
    </row>
    <row r="2920" customFormat="false" ht="15.75" hidden="false" customHeight="false" outlineLevel="0" collapsed="false">
      <c r="A2920" s="2" t="n">
        <v>171950</v>
      </c>
      <c r="B2920" s="2" t="s">
        <v>602</v>
      </c>
      <c r="C2920" s="2" t="n">
        <v>3</v>
      </c>
      <c r="D2920" s="2" t="n">
        <v>3</v>
      </c>
      <c r="E2920" s="2" t="n">
        <v>1</v>
      </c>
      <c r="F2920" s="2" t="n">
        <v>116</v>
      </c>
      <c r="G2920" s="2" t="s">
        <v>1513</v>
      </c>
      <c r="H2920" s="2" t="str">
        <f aca="false">IFERROR(__xludf.dummyfunction("IF(I2950="""", """", REGEXEXTRACT(I2950, ""Padrao/([^/]+)""))"),"Centro")</f>
        <v>Centro</v>
      </c>
    </row>
    <row r="2921" customFormat="false" ht="15.75" hidden="false" customHeight="false" outlineLevel="0" collapsed="false">
      <c r="A2921" s="2" t="n">
        <v>168179</v>
      </c>
      <c r="B2921" s="2" t="s">
        <v>2385</v>
      </c>
      <c r="C2921" s="2" t="n">
        <v>2</v>
      </c>
      <c r="D2921" s="2" t="n">
        <v>2</v>
      </c>
      <c r="E2921" s="2" t="n">
        <v>1</v>
      </c>
      <c r="F2921" s="2" t="n">
        <v>65</v>
      </c>
      <c r="G2921" s="2" t="s">
        <v>1513</v>
      </c>
      <c r="H2921" s="2" t="str">
        <f aca="false">IFERROR(__xludf.dummyfunction("IF(I2951="""", """", REGEXEXTRACT(I2951, ""Padrao/([^/]+)""))"),"Residencial e Comercial Palmares")</f>
        <v>Residencial e Comercial Palmares</v>
      </c>
    </row>
    <row r="2922" customFormat="false" ht="15.75" hidden="false" customHeight="false" outlineLevel="0" collapsed="false">
      <c r="A2922" s="2" t="n">
        <v>167300</v>
      </c>
      <c r="B2922" s="2" t="s">
        <v>2386</v>
      </c>
      <c r="C2922" s="2" t="n">
        <v>2</v>
      </c>
      <c r="D2922" s="2" t="n">
        <v>2</v>
      </c>
      <c r="E2922" s="2" t="n">
        <v>1</v>
      </c>
      <c r="F2922" s="2" t="n">
        <v>49</v>
      </c>
      <c r="G2922" s="2" t="s">
        <v>1513</v>
      </c>
      <c r="H2922" s="2" t="str">
        <f aca="false">IFERROR(__xludf.dummyfunction("IF(I2952="""", """", REGEXEXTRACT(I2952, ""Padrao/([^/]+)""))"),"Loteamento Santa Marta")</f>
        <v>Loteamento Santa Marta</v>
      </c>
    </row>
    <row r="2923" customFormat="false" ht="15.75" hidden="false" customHeight="false" outlineLevel="0" collapsed="false">
      <c r="A2923" s="2" t="n">
        <v>164504</v>
      </c>
      <c r="B2923" s="2" t="s">
        <v>2387</v>
      </c>
      <c r="C2923" s="2" t="n">
        <v>2</v>
      </c>
      <c r="D2923" s="2" t="n">
        <v>1</v>
      </c>
      <c r="E2923" s="2" t="n">
        <v>1</v>
      </c>
      <c r="F2923" s="2" t="n">
        <v>51</v>
      </c>
      <c r="G2923" s="2" t="s">
        <v>1513</v>
      </c>
      <c r="H2923" s="2" t="str">
        <f aca="false">IFERROR(__xludf.dummyfunction("IF(I2953="""", """", REGEXEXTRACT(I2953, ""Padrao/([^/]+)""))"),"Jardim Presidente Dutra")</f>
        <v>Jardim Presidente Dutra</v>
      </c>
    </row>
    <row r="2924" customFormat="false" ht="15.75" hidden="false" customHeight="false" outlineLevel="0" collapsed="false">
      <c r="A2924" s="2" t="n">
        <v>163151</v>
      </c>
      <c r="B2924" s="2" t="s">
        <v>2388</v>
      </c>
      <c r="C2924" s="2" t="n">
        <v>3</v>
      </c>
      <c r="D2924" s="2" t="n">
        <v>2</v>
      </c>
      <c r="E2924" s="2" t="n">
        <v>1</v>
      </c>
      <c r="F2924" s="2" t="n">
        <v>85</v>
      </c>
      <c r="G2924" s="2" t="s">
        <v>1513</v>
      </c>
      <c r="H2924" s="2" t="str">
        <f aca="false">IFERROR(__xludf.dummyfunction("IF(I2954="""", """", REGEXEXTRACT(I2954, ""Padrao/([^/]+)""))"),"Jardim Anhanguera")</f>
        <v>Jardim Anhanguera</v>
      </c>
    </row>
    <row r="2925" customFormat="false" ht="15.75" hidden="false" customHeight="false" outlineLevel="0" collapsed="false">
      <c r="A2925" s="2" t="n">
        <v>163034</v>
      </c>
      <c r="B2925" s="2" t="s">
        <v>1149</v>
      </c>
      <c r="C2925" s="2" t="n">
        <v>3</v>
      </c>
      <c r="D2925" s="2" t="n">
        <v>2</v>
      </c>
      <c r="E2925" s="2" t="n">
        <v>1</v>
      </c>
      <c r="F2925" s="2" t="n">
        <v>64</v>
      </c>
      <c r="G2925" s="2" t="s">
        <v>1513</v>
      </c>
      <c r="H2925" s="2" t="str">
        <f aca="false">IFERROR(__xludf.dummyfunction("IF(I2955="""", """", REGEXEXTRACT(I2955, ""Padrao/([^/]+)""))"),"Jardim Palma Travassos")</f>
        <v>Jardim Palma Travassos</v>
      </c>
    </row>
    <row r="2926" customFormat="false" ht="15.75" hidden="false" customHeight="false" outlineLevel="0" collapsed="false">
      <c r="A2926" s="2" t="n">
        <v>161591</v>
      </c>
      <c r="B2926" s="2" t="s">
        <v>2389</v>
      </c>
      <c r="C2926" s="2" t="n">
        <v>1</v>
      </c>
      <c r="D2926" s="2" t="n">
        <v>1</v>
      </c>
      <c r="E2926" s="2" t="n">
        <v>1</v>
      </c>
      <c r="F2926" s="2" t="n">
        <v>66</v>
      </c>
      <c r="G2926" s="2" t="s">
        <v>1513</v>
      </c>
      <c r="H2926" s="2" t="str">
        <f aca="false">IFERROR(__xludf.dummyfunction("IF(I2956="""", """", REGEXEXTRACT(I2956, ""Padrao/([^/]+)""))"),"Nova Alianca")</f>
        <v>Nova Alianca</v>
      </c>
    </row>
    <row r="2927" customFormat="false" ht="15.75" hidden="false" customHeight="false" outlineLevel="0" collapsed="false">
      <c r="A2927" s="2" t="n">
        <v>156401</v>
      </c>
      <c r="B2927" s="2" t="s">
        <v>2384</v>
      </c>
      <c r="C2927" s="2" t="n">
        <v>2</v>
      </c>
      <c r="D2927" s="2" t="n">
        <v>1</v>
      </c>
      <c r="E2927" s="2" t="n">
        <v>1</v>
      </c>
      <c r="F2927" s="2" t="n">
        <v>47</v>
      </c>
      <c r="G2927" s="2" t="s">
        <v>1513</v>
      </c>
      <c r="H2927" s="2" t="str">
        <f aca="false">IFERROR(__xludf.dummyfunction("IF(I2957="""", """", REGEXEXTRACT(I2957, ""Padrao/([^/]+)""))"),"Alto do Ipiranga")</f>
        <v>Alto do Ipiranga</v>
      </c>
    </row>
    <row r="2928" customFormat="false" ht="15.75" hidden="false" customHeight="false" outlineLevel="0" collapsed="false">
      <c r="A2928" s="2" t="n">
        <v>152804</v>
      </c>
      <c r="B2928" s="2" t="s">
        <v>2390</v>
      </c>
      <c r="C2928" s="2" t="n">
        <v>1</v>
      </c>
      <c r="D2928" s="2" t="n">
        <v>1</v>
      </c>
      <c r="E2928" s="2" t="n">
        <v>1</v>
      </c>
      <c r="F2928" s="2" t="n">
        <v>34</v>
      </c>
      <c r="G2928" s="2" t="s">
        <v>1513</v>
      </c>
      <c r="H2928" s="2" t="str">
        <f aca="false">IFERROR(__xludf.dummyfunction("IF(I2958="""", """", REGEXEXTRACT(I2958, ""Padrao/([^/]+)""))"),"Quintas de Sao Jose")</f>
        <v>Quintas de Sao Jose</v>
      </c>
    </row>
    <row r="2929" customFormat="false" ht="15.75" hidden="false" customHeight="false" outlineLevel="0" collapsed="false">
      <c r="A2929" s="2" t="n">
        <v>147443</v>
      </c>
      <c r="B2929" s="2" t="s">
        <v>2391</v>
      </c>
      <c r="C2929" s="2" t="n">
        <v>2</v>
      </c>
      <c r="D2929" s="2" t="n">
        <v>2</v>
      </c>
      <c r="E2929" s="2" t="n">
        <v>1</v>
      </c>
      <c r="F2929" s="2" t="n">
        <v>81</v>
      </c>
      <c r="G2929" s="2" t="s">
        <v>1513</v>
      </c>
      <c r="H2929" s="2" t="str">
        <f aca="false">IFERROR(__xludf.dummyfunction("IF(I2959="""", """", REGEXEXTRACT(I2959, ""Padrao/([^/]+)""))"),"Sumarezinho")</f>
        <v>Sumarezinho</v>
      </c>
    </row>
    <row r="2930" customFormat="false" ht="15.75" hidden="false" customHeight="false" outlineLevel="0" collapsed="false">
      <c r="A2930" s="2" t="n">
        <v>141716</v>
      </c>
      <c r="B2930" s="2" t="s">
        <v>2392</v>
      </c>
      <c r="C2930" s="2" t="n">
        <v>1</v>
      </c>
      <c r="D2930" s="2" t="n">
        <v>1</v>
      </c>
      <c r="E2930" s="2" t="n">
        <v>1</v>
      </c>
      <c r="F2930" s="2" t="n">
        <v>47</v>
      </c>
      <c r="G2930" s="2" t="s">
        <v>1513</v>
      </c>
      <c r="H2930" s="2" t="str">
        <f aca="false">IFERROR(__xludf.dummyfunction("IF(I2960="""", """", REGEXEXTRACT(I2960, ""Padrao/([^/]+)""))"),"Centro")</f>
        <v>Centro</v>
      </c>
    </row>
    <row r="2931" customFormat="false" ht="15.75" hidden="false" customHeight="false" outlineLevel="0" collapsed="false">
      <c r="A2931" s="2" t="n">
        <v>139205</v>
      </c>
      <c r="B2931" s="2" t="s">
        <v>2393</v>
      </c>
      <c r="C2931" s="2" t="n">
        <v>1</v>
      </c>
      <c r="D2931" s="2" t="n">
        <v>1</v>
      </c>
      <c r="E2931" s="2" t="n">
        <v>1</v>
      </c>
      <c r="F2931" s="2" t="n">
        <v>45</v>
      </c>
      <c r="G2931" s="2" t="s">
        <v>1513</v>
      </c>
      <c r="H2931" s="2" t="str">
        <f aca="false">IFERROR(__xludf.dummyfunction("IF(I2961="""", """", REGEXEXTRACT(I2961, ""Padrao/([^/]+)""))"),"Nova Alianca")</f>
        <v>Nova Alianca</v>
      </c>
    </row>
    <row r="2932" customFormat="false" ht="15.75" hidden="false" customHeight="false" outlineLevel="0" collapsed="false">
      <c r="A2932" s="2" t="n">
        <v>132029</v>
      </c>
      <c r="B2932" s="2" t="s">
        <v>1139</v>
      </c>
      <c r="C2932" s="2" t="n">
        <v>2</v>
      </c>
      <c r="D2932" s="2" t="n">
        <v>1</v>
      </c>
      <c r="E2932" s="2" t="n">
        <v>1</v>
      </c>
      <c r="F2932" s="2" t="n">
        <v>49</v>
      </c>
      <c r="G2932" s="2" t="s">
        <v>1513</v>
      </c>
      <c r="H2932" s="2" t="str">
        <f aca="false">IFERROR(__xludf.dummyfunction("IF(I2962="""", """", REGEXEXTRACT(I2962, ""Padrao/([^/]+)""))"),"Reserva Sul Condominio")</f>
        <v>Reserva Sul Condominio</v>
      </c>
    </row>
    <row r="2933" customFormat="false" ht="15.75" hidden="false" customHeight="false" outlineLevel="0" collapsed="false">
      <c r="A2933" s="2" t="n">
        <v>131285</v>
      </c>
      <c r="B2933" s="2" t="s">
        <v>2394</v>
      </c>
      <c r="C2933" s="2" t="n">
        <v>2</v>
      </c>
      <c r="D2933" s="2" t="n">
        <v>1</v>
      </c>
      <c r="E2933" s="2" t="n">
        <v>1</v>
      </c>
      <c r="F2933" s="2" t="n">
        <v>72</v>
      </c>
      <c r="G2933" s="2" t="s">
        <v>1513</v>
      </c>
      <c r="H2933" s="2" t="str">
        <f aca="false">IFERROR(__xludf.dummyfunction("IF(I2963="""", """", REGEXEXTRACT(I2963, ""Padrao/([^/]+)""))"),"Jardim Castelo Branco")</f>
        <v>Jardim Castelo Branco</v>
      </c>
    </row>
    <row r="2934" customFormat="false" ht="15.75" hidden="false" customHeight="false" outlineLevel="0" collapsed="false">
      <c r="A2934" s="2" t="n">
        <v>125333</v>
      </c>
      <c r="B2934" s="2" t="s">
        <v>1668</v>
      </c>
      <c r="C2934" s="2" t="n">
        <v>2</v>
      </c>
      <c r="D2934" s="2" t="n">
        <v>1</v>
      </c>
      <c r="E2934" s="2" t="n">
        <v>1</v>
      </c>
      <c r="F2934" s="2" t="n">
        <v>48</v>
      </c>
      <c r="G2934" s="2" t="s">
        <v>1513</v>
      </c>
      <c r="H2934" s="2" t="str">
        <f aca="false">IFERROR(__xludf.dummyfunction("IF(I2964="""", """", REGEXEXTRACT(I2964, ""Padrao/([^/]+)""))"),"Jardim Paulistano")</f>
        <v>Jardim Paulistano</v>
      </c>
    </row>
    <row r="2935" customFormat="false" ht="15.75" hidden="false" customHeight="false" outlineLevel="0" collapsed="false">
      <c r="A2935" s="2" t="n">
        <v>104054</v>
      </c>
      <c r="B2935" s="2" t="s">
        <v>1067</v>
      </c>
      <c r="C2935" s="2" t="n">
        <v>2</v>
      </c>
      <c r="D2935" s="2" t="n">
        <v>1</v>
      </c>
      <c r="E2935" s="2" t="n">
        <v>1</v>
      </c>
      <c r="F2935" s="2" t="n">
        <v>54</v>
      </c>
      <c r="G2935" s="2" t="s">
        <v>1513</v>
      </c>
      <c r="H2935" s="2" t="str">
        <f aca="false">IFERROR(__xludf.dummyfunction("IF(I2965="""", """", REGEXEXTRACT(I2965, ""Padrao/([^/]+)""))"),"Parque Industrial Lagoinha")</f>
        <v>Parque Industrial Lagoinha</v>
      </c>
    </row>
    <row r="2936" customFormat="false" ht="15.75" hidden="false" customHeight="false" outlineLevel="0" collapsed="false">
      <c r="A2936" s="2" t="n">
        <v>99719</v>
      </c>
      <c r="B2936" s="2" t="s">
        <v>2395</v>
      </c>
      <c r="C2936" s="2" t="n">
        <v>2</v>
      </c>
      <c r="D2936" s="2" t="n">
        <v>1</v>
      </c>
      <c r="E2936" s="2" t="n">
        <v>1</v>
      </c>
      <c r="F2936" s="2" t="n">
        <v>51</v>
      </c>
      <c r="G2936" s="2" t="s">
        <v>1513</v>
      </c>
      <c r="H2936" s="2" t="str">
        <f aca="false">IFERROR(__xludf.dummyfunction("IF(I2966="""", """", REGEXEXTRACT(I2966, ""Padrao/([^/]+)""))"),"Jardim Palma Travassos")</f>
        <v>Jardim Palma Travassos</v>
      </c>
    </row>
    <row r="2937" customFormat="false" ht="15.75" hidden="false" customHeight="false" outlineLevel="0" collapsed="false">
      <c r="A2937" s="2" t="n">
        <v>99629</v>
      </c>
      <c r="B2937" s="2" t="s">
        <v>847</v>
      </c>
      <c r="C2937" s="2" t="n">
        <v>2</v>
      </c>
      <c r="D2937" s="2" t="n">
        <v>3</v>
      </c>
      <c r="E2937" s="2" t="n">
        <v>1</v>
      </c>
      <c r="F2937" s="2" t="n">
        <v>72</v>
      </c>
      <c r="G2937" s="2" t="s">
        <v>1513</v>
      </c>
      <c r="H2937" s="2" t="str">
        <f aca="false">IFERROR(__xludf.dummyfunction("IF(I2967="""", """", REGEXEXTRACT(I2967, ""Padrao/([^/]+)""))"),"Jardim Paulista")</f>
        <v>Jardim Paulista</v>
      </c>
    </row>
    <row r="2938" customFormat="false" ht="15.75" hidden="false" customHeight="false" outlineLevel="0" collapsed="false">
      <c r="A2938" s="2" t="n">
        <v>98624</v>
      </c>
      <c r="B2938" s="2" t="s">
        <v>2396</v>
      </c>
      <c r="C2938" s="2" t="n">
        <v>1</v>
      </c>
      <c r="D2938" s="2" t="n">
        <v>1</v>
      </c>
      <c r="E2938" s="2" t="n">
        <v>1</v>
      </c>
      <c r="F2938" s="2" t="n">
        <v>34</v>
      </c>
      <c r="G2938" s="2" t="s">
        <v>1513</v>
      </c>
      <c r="H2938" s="2" t="str">
        <f aca="false">IFERROR(__xludf.dummyfunction("IF(I2968="""", """", REGEXEXTRACT(I2968, ""Padrao/([^/]+)""))"),"Condominio Itamaraty")</f>
        <v>Condominio Itamaraty</v>
      </c>
    </row>
    <row r="2939" customFormat="false" ht="15.75" hidden="false" customHeight="false" outlineLevel="0" collapsed="false">
      <c r="A2939" s="2" t="n">
        <v>96407</v>
      </c>
      <c r="B2939" s="2" t="s">
        <v>2335</v>
      </c>
      <c r="C2939" s="2" t="n">
        <v>3</v>
      </c>
      <c r="D2939" s="2" t="n">
        <v>2</v>
      </c>
      <c r="E2939" s="2" t="n">
        <v>2</v>
      </c>
      <c r="F2939" s="2" t="n">
        <v>71</v>
      </c>
      <c r="G2939" s="2" t="s">
        <v>1513</v>
      </c>
      <c r="H2939" s="2" t="str">
        <f aca="false">IFERROR(__xludf.dummyfunction("IF(I2969="""", """", REGEXEXTRACT(I2969, ""Padrao/([^/]+)""))"),"Residencial Florida")</f>
        <v>Residencial Florida</v>
      </c>
    </row>
    <row r="2940" customFormat="false" ht="15.75" hidden="false" customHeight="false" outlineLevel="0" collapsed="false">
      <c r="A2940" s="2" t="n">
        <v>96044</v>
      </c>
      <c r="B2940" s="2" t="s">
        <v>2397</v>
      </c>
      <c r="C2940" s="2" t="n">
        <v>1</v>
      </c>
      <c r="D2940" s="2" t="n">
        <v>1</v>
      </c>
      <c r="E2940" s="2" t="n">
        <v>1</v>
      </c>
      <c r="F2940" s="2" t="n">
        <v>35</v>
      </c>
      <c r="G2940" s="2" t="s">
        <v>1513</v>
      </c>
      <c r="H2940" s="2" t="str">
        <f aca="false">IFERROR(__xludf.dummyfunction("IF(I2970="""", """", REGEXEXTRACT(I2970, ""Padrao/([^/]+)""))"),"Jardim Iraja")</f>
        <v>Jardim Iraja</v>
      </c>
    </row>
    <row r="2941" customFormat="false" ht="15.75" hidden="false" customHeight="false" outlineLevel="0" collapsed="false">
      <c r="A2941" s="2" t="n">
        <v>96041</v>
      </c>
      <c r="B2941" s="2" t="s">
        <v>2396</v>
      </c>
      <c r="C2941" s="2" t="n">
        <v>1</v>
      </c>
      <c r="D2941" s="2" t="n">
        <v>1</v>
      </c>
      <c r="E2941" s="2" t="n">
        <v>1</v>
      </c>
      <c r="F2941" s="2" t="n">
        <v>34</v>
      </c>
      <c r="G2941" s="2" t="s">
        <v>1513</v>
      </c>
      <c r="H2941" s="2" t="str">
        <f aca="false">IFERROR(__xludf.dummyfunction("IF(I2971="""", """", REGEXEXTRACT(I2971, ""Padrao/([^/]+)""))"),"Jardim Iraja")</f>
        <v>Jardim Iraja</v>
      </c>
    </row>
    <row r="2942" customFormat="false" ht="15.75" hidden="false" customHeight="false" outlineLevel="0" collapsed="false">
      <c r="A2942" s="2" t="n">
        <v>92090</v>
      </c>
      <c r="B2942" s="2" t="s">
        <v>753</v>
      </c>
      <c r="C2942" s="2" t="n">
        <v>2</v>
      </c>
      <c r="D2942" s="2" t="n">
        <v>2</v>
      </c>
      <c r="E2942" s="2" t="n">
        <v>1</v>
      </c>
      <c r="F2942" s="2" t="n">
        <v>80</v>
      </c>
      <c r="G2942" s="2" t="s">
        <v>1513</v>
      </c>
      <c r="H2942" s="2" t="str">
        <f aca="false">IFERROR(__xludf.dummyfunction("IF(I2972="""", """", REGEXEXTRACT(I2972, ""Padrao/([^/]+)""))"),"Parque dos Lagos")</f>
        <v>Parque dos Lagos</v>
      </c>
    </row>
    <row r="2943" customFormat="false" ht="15.75" hidden="false" customHeight="false" outlineLevel="0" collapsed="false">
      <c r="A2943" s="2" t="n">
        <v>88370</v>
      </c>
      <c r="B2943" s="2" t="s">
        <v>572</v>
      </c>
      <c r="C2943" s="2" t="n">
        <v>1</v>
      </c>
      <c r="D2943" s="2" t="n">
        <v>1</v>
      </c>
      <c r="E2943" s="2" t="n">
        <v>1</v>
      </c>
      <c r="F2943" s="2" t="n">
        <v>34</v>
      </c>
      <c r="G2943" s="2" t="s">
        <v>1513</v>
      </c>
      <c r="H2943" s="2" t="str">
        <f aca="false">IFERROR(__xludf.dummyfunction("IF(I2973="""", """", REGEXEXTRACT(I2973, ""Padrao/([^/]+)""))"),"Jardim Iraja")</f>
        <v>Jardim Iraja</v>
      </c>
    </row>
    <row r="2944" customFormat="false" ht="15.75" hidden="false" customHeight="false" outlineLevel="0" collapsed="false">
      <c r="A2944" s="2" t="n">
        <v>87149</v>
      </c>
      <c r="B2944" s="2" t="s">
        <v>2398</v>
      </c>
      <c r="C2944" s="2" t="n">
        <v>1</v>
      </c>
      <c r="D2944" s="2" t="n">
        <v>1</v>
      </c>
      <c r="E2944" s="2" t="n">
        <v>1</v>
      </c>
      <c r="F2944" s="2" t="n">
        <v>49</v>
      </c>
      <c r="G2944" s="2" t="s">
        <v>1513</v>
      </c>
      <c r="H2944" s="2" t="str">
        <f aca="false">IFERROR(__xludf.dummyfunction("IF(I2974="""", """", REGEXEXTRACT(I2974, ""Padrao/([^/]+)""))"),"Centro")</f>
        <v>Centro</v>
      </c>
    </row>
    <row r="2945" customFormat="false" ht="15.75" hidden="false" customHeight="false" outlineLevel="0" collapsed="false">
      <c r="A2945" s="2" t="n">
        <v>86762</v>
      </c>
      <c r="B2945" s="2" t="s">
        <v>2399</v>
      </c>
      <c r="C2945" s="2" t="n">
        <v>1</v>
      </c>
      <c r="D2945" s="2" t="n">
        <v>1</v>
      </c>
      <c r="E2945" s="2" t="n">
        <v>1</v>
      </c>
      <c r="F2945" s="2" t="n">
        <v>39</v>
      </c>
      <c r="G2945" s="2" t="s">
        <v>1513</v>
      </c>
      <c r="H2945" s="2" t="str">
        <f aca="false">IFERROR(__xludf.dummyfunction("IF(I2975="""", """", REGEXEXTRACT(I2975, ""Padrao/([^/]+)""))"),"Ribeirania")</f>
        <v>Ribeirania</v>
      </c>
    </row>
    <row r="2946" customFormat="false" ht="15.75" hidden="false" customHeight="false" outlineLevel="0" collapsed="false">
      <c r="A2946" s="2" t="n">
        <v>86636</v>
      </c>
      <c r="B2946" s="2" t="s">
        <v>2400</v>
      </c>
      <c r="C2946" s="2" t="n">
        <v>1</v>
      </c>
      <c r="D2946" s="2" t="n">
        <v>1</v>
      </c>
      <c r="E2946" s="2" t="n">
        <v>2</v>
      </c>
      <c r="F2946" s="2" t="n">
        <v>34</v>
      </c>
      <c r="G2946" s="2" t="s">
        <v>1513</v>
      </c>
      <c r="H2946" s="2" t="str">
        <f aca="false">IFERROR(__xludf.dummyfunction("IF(I2976="""", """", REGEXEXTRACT(I2976, ""Padrao/([^/]+)""))"),"Jardim Iraja")</f>
        <v>Jardim Iraja</v>
      </c>
    </row>
    <row r="2947" customFormat="false" ht="15.75" hidden="false" customHeight="false" outlineLevel="0" collapsed="false">
      <c r="A2947" s="2" t="n">
        <v>64961</v>
      </c>
      <c r="B2947" s="2" t="s">
        <v>1262</v>
      </c>
      <c r="C2947" s="2" t="n">
        <v>3</v>
      </c>
      <c r="D2947" s="2" t="n">
        <v>1</v>
      </c>
      <c r="E2947" s="2" t="n">
        <v>1</v>
      </c>
      <c r="F2947" s="2" t="n">
        <v>72</v>
      </c>
      <c r="G2947" s="2" t="s">
        <v>1513</v>
      </c>
      <c r="H2947" s="2" t="str">
        <f aca="false">IFERROR(__xludf.dummyfunction("IF(I2978="""", """", REGEXEXTRACT(I2978, ""Padrao/([^/]+)""))"),"Presidente Medici")</f>
        <v>Presidente Medici</v>
      </c>
    </row>
    <row r="2948" customFormat="false" ht="15.75" hidden="false" customHeight="false" outlineLevel="0" collapsed="false">
      <c r="A2948" s="2" t="n">
        <v>60185</v>
      </c>
      <c r="B2948" s="2" t="s">
        <v>2272</v>
      </c>
      <c r="C2948" s="2" t="n">
        <v>2</v>
      </c>
      <c r="D2948" s="2" t="n">
        <v>2</v>
      </c>
      <c r="E2948" s="2" t="n">
        <v>1</v>
      </c>
      <c r="F2948" s="2" t="n">
        <v>70</v>
      </c>
      <c r="G2948" s="2" t="s">
        <v>1513</v>
      </c>
      <c r="H2948" s="2" t="str">
        <f aca="false">IFERROR(__xludf.dummyfunction("IF(I2979="""", """", REGEXEXTRACT(I2979, ""Padrao/([^/]+)""))"),"Residencial e Comercial Palmares")</f>
        <v>Residencial e Comercial Palmares</v>
      </c>
    </row>
    <row r="2949" customFormat="false" ht="15.75" hidden="false" customHeight="false" outlineLevel="0" collapsed="false">
      <c r="A2949" s="2" t="n">
        <v>41582</v>
      </c>
      <c r="B2949" s="2" t="s">
        <v>2401</v>
      </c>
      <c r="C2949" s="2" t="n">
        <v>1</v>
      </c>
      <c r="D2949" s="2" t="n">
        <v>1</v>
      </c>
      <c r="E2949" s="2" t="n">
        <v>1</v>
      </c>
      <c r="F2949" s="2" t="n">
        <v>49</v>
      </c>
      <c r="G2949" s="2" t="s">
        <v>1513</v>
      </c>
      <c r="H2949" s="2" t="str">
        <f aca="false">IFERROR(__xludf.dummyfunction("IF(I2980="""", """", REGEXEXTRACT(I2980, ""Padrao/([^/]+)""))"),"Centro")</f>
        <v>Centro</v>
      </c>
    </row>
    <row r="2950" customFormat="false" ht="15.75" hidden="false" customHeight="false" outlineLevel="0" collapsed="false">
      <c r="A2950" s="2" t="n">
        <v>188549</v>
      </c>
      <c r="B2950" s="2" t="s">
        <v>2402</v>
      </c>
      <c r="C2950" s="2" t="n">
        <v>2</v>
      </c>
      <c r="D2950" s="2" t="n">
        <v>1</v>
      </c>
      <c r="E2950" s="2" t="n">
        <v>1</v>
      </c>
      <c r="F2950" s="2" t="n">
        <v>48</v>
      </c>
      <c r="G2950" s="2" t="s">
        <v>2403</v>
      </c>
      <c r="H2950" s="2" t="str">
        <f aca="false">IFERROR(__xludf.dummyfunction("IF(I2981="""", """", REGEXEXTRACT(I2981, ""Padrao/([^/]+)""))"),"Ipiranga")</f>
        <v>Ipiranga</v>
      </c>
    </row>
    <row r="2951" customFormat="false" ht="15.75" hidden="false" customHeight="false" outlineLevel="0" collapsed="false">
      <c r="A2951" s="2" t="n">
        <v>169250</v>
      </c>
      <c r="B2951" s="2" t="s">
        <v>876</v>
      </c>
      <c r="C2951" s="2" t="n">
        <v>2</v>
      </c>
      <c r="D2951" s="2" t="n">
        <v>2</v>
      </c>
      <c r="E2951" s="2" t="n">
        <v>1</v>
      </c>
      <c r="F2951" s="2" t="n">
        <v>44</v>
      </c>
      <c r="G2951" s="2" t="s">
        <v>2404</v>
      </c>
      <c r="H2951" s="2" t="str">
        <f aca="false">IFERROR(__xludf.dummyfunction("IF(I2982="""", """", REGEXEXTRACT(I2982, ""Padrao/([^/]+)""))"),"Reserva Real")</f>
        <v>Reserva Real</v>
      </c>
    </row>
    <row r="2952" customFormat="false" ht="15.75" hidden="false" customHeight="false" outlineLevel="0" collapsed="false">
      <c r="A2952" s="2" t="n">
        <v>221771</v>
      </c>
      <c r="B2952" s="2" t="s">
        <v>1121</v>
      </c>
      <c r="C2952" s="2" t="n">
        <v>2</v>
      </c>
      <c r="D2952" s="2" t="n">
        <v>1</v>
      </c>
      <c r="E2952" s="2" t="n">
        <v>1</v>
      </c>
      <c r="F2952" s="2" t="n">
        <v>49</v>
      </c>
      <c r="G2952" s="2" t="s">
        <v>2405</v>
      </c>
      <c r="H2952" s="2" t="str">
        <f aca="false">IFERROR(__xludf.dummyfunction("IF(I2983="""", """", REGEXEXTRACT(I2983, ""Padrao/([^/]+)""))"),"Ipiranga")</f>
        <v>Ipiranga</v>
      </c>
    </row>
    <row r="2953" customFormat="false" ht="15.75" hidden="false" customHeight="false" outlineLevel="0" collapsed="false">
      <c r="A2953" s="2" t="n">
        <v>168530</v>
      </c>
      <c r="B2953" s="2" t="s">
        <v>851</v>
      </c>
      <c r="C2953" s="2" t="n">
        <v>2</v>
      </c>
      <c r="D2953" s="2" t="n">
        <v>2</v>
      </c>
      <c r="E2953" s="2" t="n">
        <v>1</v>
      </c>
      <c r="F2953" s="2" t="n">
        <v>62</v>
      </c>
      <c r="G2953" s="2" t="s">
        <v>2406</v>
      </c>
      <c r="H2953" s="2" t="str">
        <f aca="false">IFERROR(__xludf.dummyfunction("IF(I2984="""", """", REGEXEXTRACT(I2984, ""Padrao/([^/]+)""))"),"Ipiranga")</f>
        <v>Ipiranga</v>
      </c>
    </row>
    <row r="2954" customFormat="false" ht="15.75" hidden="false" customHeight="false" outlineLevel="0" collapsed="false">
      <c r="A2954" s="2" t="n">
        <v>190400</v>
      </c>
      <c r="B2954" s="2" t="s">
        <v>1067</v>
      </c>
      <c r="C2954" s="2" t="n">
        <v>2</v>
      </c>
      <c r="D2954" s="2" t="n">
        <v>2</v>
      </c>
      <c r="E2954" s="2" t="n">
        <v>1</v>
      </c>
      <c r="F2954" s="2" t="n">
        <v>70</v>
      </c>
      <c r="G2954" s="2" t="s">
        <v>2285</v>
      </c>
      <c r="H2954" s="2" t="str">
        <f aca="false">IFERROR(__xludf.dummyfunction("IF(I2985="""", """", REGEXEXTRACT(I2985, ""Padrao/([^/]+)""))"),"Jardim Castelo Branco")</f>
        <v>Jardim Castelo Branco</v>
      </c>
    </row>
    <row r="2955" customFormat="false" ht="15.75" hidden="false" customHeight="false" outlineLevel="0" collapsed="false">
      <c r="A2955" s="2" t="n">
        <v>245096</v>
      </c>
      <c r="B2955" s="2" t="s">
        <v>1121</v>
      </c>
      <c r="C2955" s="2" t="n">
        <v>2</v>
      </c>
      <c r="D2955" s="2" t="n">
        <v>1</v>
      </c>
      <c r="E2955" s="2" t="n">
        <v>1</v>
      </c>
      <c r="F2955" s="2" t="n">
        <v>49</v>
      </c>
      <c r="G2955" s="2" t="s">
        <v>2407</v>
      </c>
      <c r="H2955" s="2" t="str">
        <f aca="false">IFERROR(__xludf.dummyfunction("IF(I2986="""", """", REGEXEXTRACT(I2986, ""Padrao/([^/]+)""))"),"Ipiranga")</f>
        <v>Ipiranga</v>
      </c>
    </row>
    <row r="2956" customFormat="false" ht="15.75" hidden="false" customHeight="false" outlineLevel="0" collapsed="false">
      <c r="A2956" s="2" t="n">
        <v>241658</v>
      </c>
      <c r="B2956" s="2" t="s">
        <v>2314</v>
      </c>
      <c r="C2956" s="2" t="n">
        <v>2</v>
      </c>
      <c r="D2956" s="2" t="n">
        <v>1</v>
      </c>
      <c r="E2956" s="2" t="n">
        <v>1</v>
      </c>
      <c r="F2956" s="2" t="n">
        <v>51</v>
      </c>
      <c r="G2956" s="2" t="s">
        <v>2407</v>
      </c>
      <c r="H2956" s="2" t="str">
        <f aca="false">IFERROR(__xludf.dummyfunction("IF(I2987="""", """", REGEXEXTRACT(I2987, ""Padrao/([^/]+)""))"),"Jardim Novo Mundo")</f>
        <v>Jardim Novo Mundo</v>
      </c>
    </row>
    <row r="2957" customFormat="false" ht="15.75" hidden="false" customHeight="false" outlineLevel="0" collapsed="false">
      <c r="A2957" s="2" t="n">
        <v>191972</v>
      </c>
      <c r="B2957" s="2" t="s">
        <v>2408</v>
      </c>
      <c r="C2957" s="2" t="n">
        <v>3</v>
      </c>
      <c r="D2957" s="2" t="n">
        <v>2</v>
      </c>
      <c r="E2957" s="2" t="n">
        <v>1</v>
      </c>
      <c r="F2957" s="2" t="n">
        <v>89</v>
      </c>
      <c r="G2957" s="2" t="s">
        <v>2407</v>
      </c>
      <c r="H2957" s="2" t="str">
        <f aca="false">IFERROR(__xludf.dummyfunction("IF(I2988="""", """", REGEXEXTRACT(I2988, ""Padrao/([^/]+)""))"),"Jardim Paulista")</f>
        <v>Jardim Paulista</v>
      </c>
    </row>
    <row r="2958" customFormat="false" ht="15.75" hidden="false" customHeight="false" outlineLevel="0" collapsed="false">
      <c r="A2958" s="2" t="n">
        <v>150263</v>
      </c>
      <c r="B2958" s="2" t="s">
        <v>2409</v>
      </c>
      <c r="C2958" s="2" t="n">
        <v>1</v>
      </c>
      <c r="D2958" s="2" t="n">
        <v>2</v>
      </c>
      <c r="E2958" s="2" t="n">
        <v>1</v>
      </c>
      <c r="F2958" s="2" t="n">
        <v>44</v>
      </c>
      <c r="G2958" s="2" t="s">
        <v>2407</v>
      </c>
      <c r="H2958" s="2" t="str">
        <f aca="false">IFERROR(__xludf.dummyfunction("IF(I2989="""", """", REGEXEXTRACT(I2989, ""Padrao/([^/]+)""))"),"Nova Alianca")</f>
        <v>Nova Alianca</v>
      </c>
    </row>
    <row r="2959" customFormat="false" ht="15.75" hidden="false" customHeight="false" outlineLevel="0" collapsed="false">
      <c r="A2959" s="2" t="n">
        <v>134279</v>
      </c>
      <c r="B2959" s="2" t="s">
        <v>1086</v>
      </c>
      <c r="C2959" s="2" t="n">
        <v>2</v>
      </c>
      <c r="D2959" s="2" t="n">
        <v>1</v>
      </c>
      <c r="E2959" s="2" t="n">
        <v>1</v>
      </c>
      <c r="F2959" s="2" t="n">
        <v>54</v>
      </c>
      <c r="G2959" s="2" t="s">
        <v>2410</v>
      </c>
      <c r="H2959" s="2" t="str">
        <f aca="false">IFERROR(__xludf.dummyfunction("IF(I2990="""", """", REGEXEXTRACT(I2990, ""Padrao/([^/]+)""))"),"Parque Sao Sebastiao")</f>
        <v>Parque Sao Sebastiao</v>
      </c>
    </row>
    <row r="2960" customFormat="false" ht="15.75" hidden="false" customHeight="false" outlineLevel="0" collapsed="false">
      <c r="A2960" s="2" t="n">
        <v>217157</v>
      </c>
      <c r="B2960" s="2" t="s">
        <v>2411</v>
      </c>
      <c r="C2960" s="2" t="n">
        <v>2</v>
      </c>
      <c r="D2960" s="2" t="n">
        <v>1</v>
      </c>
      <c r="E2960" s="2" t="n">
        <v>1</v>
      </c>
      <c r="F2960" s="2" t="n">
        <v>49</v>
      </c>
      <c r="G2960" s="2" t="s">
        <v>533</v>
      </c>
      <c r="H2960" s="2" t="str">
        <f aca="false">IFERROR(__xludf.dummyfunction("IF(I2991="""", """", REGEXEXTRACT(I2991, ""Padrao/([^/]+)""))"),"Jardim Sumare")</f>
        <v>Jardim Sumare</v>
      </c>
    </row>
    <row r="2961" customFormat="false" ht="15.75" hidden="false" customHeight="false" outlineLevel="0" collapsed="false">
      <c r="A2961" s="2" t="n">
        <v>93092</v>
      </c>
      <c r="B2961" s="2" t="s">
        <v>2412</v>
      </c>
      <c r="C2961" s="2" t="n">
        <v>2</v>
      </c>
      <c r="D2961" s="2" t="n">
        <v>2</v>
      </c>
      <c r="E2961" s="2" t="n">
        <v>1</v>
      </c>
      <c r="F2961" s="2" t="n">
        <v>73</v>
      </c>
      <c r="G2961" s="2" t="s">
        <v>533</v>
      </c>
      <c r="H2961" s="2" t="str">
        <f aca="false">IFERROR(__xludf.dummyfunction("IF(I2992="""", """", REGEXEXTRACT(I2992, ""Padrao/([^/]+)""))"),"Parque Industrial Lagoinha")</f>
        <v>Parque Industrial Lagoinha</v>
      </c>
    </row>
    <row r="2962" customFormat="false" ht="15.75" hidden="false" customHeight="false" outlineLevel="0" collapsed="false">
      <c r="A2962" s="2" t="n">
        <v>69842</v>
      </c>
      <c r="B2962" s="2" t="s">
        <v>2413</v>
      </c>
      <c r="C2962" s="2" t="n">
        <v>1</v>
      </c>
      <c r="D2962" s="2" t="n">
        <v>2</v>
      </c>
      <c r="E2962" s="2" t="n">
        <v>1</v>
      </c>
      <c r="F2962" s="2" t="n">
        <v>43</v>
      </c>
      <c r="G2962" s="2" t="s">
        <v>533</v>
      </c>
      <c r="H2962" s="2" t="str">
        <f aca="false">IFERROR(__xludf.dummyfunction("IF(I2993="""", """", REGEXEXTRACT(I2993, ""Padrao/([^/]+)""))"),"Vila Ana Maria")</f>
        <v>Vila Ana Maria</v>
      </c>
    </row>
    <row r="2963" customFormat="false" ht="15.75" hidden="false" customHeight="false" outlineLevel="0" collapsed="false">
      <c r="A2963" s="2" t="n">
        <v>188318</v>
      </c>
      <c r="B2963" s="2" t="s">
        <v>2360</v>
      </c>
      <c r="C2963" s="2" t="n">
        <v>2</v>
      </c>
      <c r="D2963" s="2" t="n">
        <v>1</v>
      </c>
      <c r="E2963" s="2" t="n">
        <v>1</v>
      </c>
      <c r="F2963" s="2" t="n">
        <v>52</v>
      </c>
      <c r="G2963" s="2" t="s">
        <v>543</v>
      </c>
      <c r="H2963" s="2" t="str">
        <f aca="false">IFERROR(__xludf.dummyfunction("IF(I2994="""", """", REGEXEXTRACT(I2994, ""Padrao/([^/]+)""))"),"Jardim Bom Pastor")</f>
        <v>Jardim Bom Pastor</v>
      </c>
    </row>
    <row r="2964" customFormat="false" ht="15.75" hidden="false" customHeight="false" outlineLevel="0" collapsed="false">
      <c r="A2964" s="2" t="n">
        <v>128876</v>
      </c>
      <c r="B2964" s="2" t="s">
        <v>2414</v>
      </c>
      <c r="C2964" s="2" t="n">
        <v>3</v>
      </c>
      <c r="D2964" s="2" t="n">
        <v>2</v>
      </c>
      <c r="E2964" s="2" t="n">
        <v>1</v>
      </c>
      <c r="F2964" s="2" t="n">
        <v>61</v>
      </c>
      <c r="G2964" s="2" t="s">
        <v>543</v>
      </c>
      <c r="H2964" s="2" t="str">
        <f aca="false">IFERROR(__xludf.dummyfunction("IF(I2995="""", """", REGEXEXTRACT(I2995, ""Padrao/([^/]+)""))"),"Alto da Boa Vista")</f>
        <v>Alto da Boa Vista</v>
      </c>
    </row>
    <row r="2965" customFormat="false" ht="15.75" hidden="false" customHeight="false" outlineLevel="0" collapsed="false">
      <c r="A2965" s="2" t="n">
        <v>220934</v>
      </c>
      <c r="B2965" s="2" t="s">
        <v>2415</v>
      </c>
      <c r="C2965" s="2" t="n">
        <v>2</v>
      </c>
      <c r="D2965" s="2" t="n">
        <v>2</v>
      </c>
      <c r="E2965" s="2" t="n">
        <v>1</v>
      </c>
      <c r="F2965" s="2" t="n">
        <v>71</v>
      </c>
      <c r="G2965" s="2" t="s">
        <v>554</v>
      </c>
      <c r="H2965" s="2" t="str">
        <f aca="false">IFERROR(__xludf.dummyfunction("IF(I2996="""", """", REGEXEXTRACT(I2996, ""Padrao/([^/]+)""))"),"Residencial Florida")</f>
        <v>Residencial Florida</v>
      </c>
    </row>
    <row r="2966" customFormat="false" ht="15.75" hidden="false" customHeight="false" outlineLevel="0" collapsed="false">
      <c r="A2966" s="2" t="n">
        <v>182303</v>
      </c>
      <c r="B2966" s="2" t="s">
        <v>2416</v>
      </c>
      <c r="C2966" s="2" t="n">
        <v>2</v>
      </c>
      <c r="D2966" s="2" t="n">
        <v>1</v>
      </c>
      <c r="E2966" s="2" t="n">
        <v>1</v>
      </c>
      <c r="F2966" s="2" t="n">
        <v>48</v>
      </c>
      <c r="G2966" s="2" t="s">
        <v>554</v>
      </c>
      <c r="H2966" s="2" t="str">
        <f aca="false">IFERROR(__xludf.dummyfunction("IF(I2997="""", """", REGEXEXTRACT(I2997, ""Padrao/([^/]+)""))"),"Jardim Sao Fernando")</f>
        <v>Jardim Sao Fernando</v>
      </c>
    </row>
    <row r="2967" customFormat="false" ht="15.75" hidden="false" customHeight="false" outlineLevel="0" collapsed="false">
      <c r="A2967" s="2" t="n">
        <v>18581</v>
      </c>
      <c r="B2967" s="2" t="s">
        <v>1458</v>
      </c>
      <c r="C2967" s="2" t="n">
        <v>3</v>
      </c>
      <c r="D2967" s="2" t="n">
        <v>2</v>
      </c>
      <c r="E2967" s="2" t="n">
        <v>1</v>
      </c>
      <c r="F2967" s="2" t="n">
        <v>66</v>
      </c>
      <c r="G2967" s="2" t="s">
        <v>554</v>
      </c>
      <c r="H2967" s="2" t="str">
        <f aca="false">IFERROR(__xludf.dummyfunction("IF(I2998="""", """", REGEXEXTRACT(I2998, ""Padrao/([^/]+)""))"),"Parque Industrial Lagoinha")</f>
        <v>Parque Industrial Lagoinha</v>
      </c>
    </row>
    <row r="2968" customFormat="false" ht="15.75" hidden="false" customHeight="false" outlineLevel="0" collapsed="false">
      <c r="A2968" s="2" t="n">
        <v>211817</v>
      </c>
      <c r="B2968" s="2" t="s">
        <v>2116</v>
      </c>
      <c r="C2968" s="2" t="n">
        <v>2</v>
      </c>
      <c r="D2968" s="2" t="n">
        <v>3</v>
      </c>
      <c r="E2968" s="2" t="n">
        <v>1</v>
      </c>
      <c r="F2968" s="2" t="n">
        <v>76</v>
      </c>
      <c r="G2968" s="2" t="s">
        <v>564</v>
      </c>
      <c r="H2968" s="2" t="str">
        <f aca="false">IFERROR(__xludf.dummyfunction("IF(I2999="""", """", REGEXEXTRACT(I2999, ""Padrao/([^/]+)""))"),"Centro")</f>
        <v>Centro</v>
      </c>
    </row>
    <row r="2969" customFormat="false" ht="15.75" hidden="false" customHeight="false" outlineLevel="0" collapsed="false">
      <c r="A2969" s="2" t="n">
        <v>209909</v>
      </c>
      <c r="B2969" s="2" t="s">
        <v>2417</v>
      </c>
      <c r="C2969" s="2" t="n">
        <v>2</v>
      </c>
      <c r="D2969" s="2" t="n">
        <v>2</v>
      </c>
      <c r="E2969" s="2" t="n">
        <v>1</v>
      </c>
      <c r="F2969" s="2" t="n">
        <v>68</v>
      </c>
      <c r="G2969" s="2" t="s">
        <v>564</v>
      </c>
      <c r="H2969" s="2" t="str">
        <f aca="false">IFERROR(__xludf.dummyfunction("IF(I3000="""", """", REGEXEXTRACT(I3000, ""Padrao/([^/]+)""))"),"Jardim Castelo Branco")</f>
        <v>Jardim Castelo Branco</v>
      </c>
    </row>
    <row r="2970" customFormat="false" ht="15.75" hidden="false" customHeight="false" outlineLevel="0" collapsed="false">
      <c r="A2970" s="2" t="n">
        <v>159758</v>
      </c>
      <c r="B2970" s="2" t="s">
        <v>2418</v>
      </c>
      <c r="C2970" s="2" t="n">
        <v>2</v>
      </c>
      <c r="D2970" s="2" t="n">
        <v>2</v>
      </c>
      <c r="E2970" s="2" t="n">
        <v>1</v>
      </c>
      <c r="F2970" s="2" t="n">
        <v>63</v>
      </c>
      <c r="G2970" s="2" t="s">
        <v>564</v>
      </c>
      <c r="H2970" s="2" t="str">
        <f aca="false">IFERROR(__xludf.dummyfunction("IF(I3001="""", """", REGEXEXTRACT(I3001, ""Padrao/([^/]+)""))"),"Sumarezinho")</f>
        <v>Sumarezinho</v>
      </c>
    </row>
    <row r="2971" customFormat="false" ht="15.75" hidden="false" customHeight="false" outlineLevel="0" collapsed="false">
      <c r="A2971" s="2" t="n">
        <v>118571</v>
      </c>
      <c r="B2971" s="2" t="s">
        <v>863</v>
      </c>
      <c r="C2971" s="2" t="n">
        <v>2</v>
      </c>
      <c r="D2971" s="2" t="n">
        <v>2</v>
      </c>
      <c r="E2971" s="2" t="n">
        <v>1</v>
      </c>
      <c r="F2971" s="2" t="n">
        <v>56</v>
      </c>
      <c r="G2971" s="2" t="s">
        <v>564</v>
      </c>
      <c r="H2971" s="2" t="str">
        <f aca="false">IFERROR(__xludf.dummyfunction("IF(I3002="""", """", REGEXEXTRACT(I3002, ""Padrao/([^/]+)""))"),"Residencial e Comercial Palmares")</f>
        <v>Residencial e Comercial Palmares</v>
      </c>
    </row>
    <row r="2972" customFormat="false" ht="15.75" hidden="false" customHeight="false" outlineLevel="0" collapsed="false">
      <c r="A2972" s="2" t="n">
        <v>152309</v>
      </c>
      <c r="B2972" s="2" t="s">
        <v>1668</v>
      </c>
      <c r="C2972" s="2" t="n">
        <v>2</v>
      </c>
      <c r="D2972" s="2" t="n">
        <v>1</v>
      </c>
      <c r="E2972" s="2" t="n">
        <v>1</v>
      </c>
      <c r="F2972" s="2" t="n">
        <v>46</v>
      </c>
      <c r="G2972" s="2" t="s">
        <v>1513</v>
      </c>
      <c r="H2972" s="2" t="str">
        <f aca="false">IFERROR(__xludf.dummyfunction("IF(I3003="""", """", REGEXEXTRACT(I3003, ""Padrao/([^/]+)""))"),"Jardim Paulistano")</f>
        <v>Jardim Paulistano</v>
      </c>
    </row>
    <row r="2973" customFormat="false" ht="15.75" hidden="false" customHeight="false" outlineLevel="0" collapsed="false">
      <c r="A2973" s="2" t="n">
        <v>243740</v>
      </c>
      <c r="B2973" s="2" t="s">
        <v>2419</v>
      </c>
      <c r="C2973" s="2" t="n">
        <v>2</v>
      </c>
      <c r="D2973" s="2" t="n">
        <v>2</v>
      </c>
      <c r="E2973" s="2" t="n">
        <v>2</v>
      </c>
      <c r="F2973" s="2" t="n">
        <v>74</v>
      </c>
      <c r="G2973" s="2" t="s">
        <v>566</v>
      </c>
      <c r="H2973" s="2" t="str">
        <f aca="false">IFERROR(__xludf.dummyfunction("IF(I3004="""", """", REGEXEXTRACT(I3004, ""Padrao/([^/]+)""))"),"Jardim Zara")</f>
        <v>Jardim Zara</v>
      </c>
    </row>
    <row r="2974" customFormat="false" ht="15.75" hidden="false" customHeight="false" outlineLevel="0" collapsed="false">
      <c r="A2974" s="2" t="n">
        <v>242879</v>
      </c>
      <c r="B2974" s="2" t="s">
        <v>2420</v>
      </c>
      <c r="C2974" s="2" t="n">
        <v>3</v>
      </c>
      <c r="D2974" s="2" t="n">
        <v>2</v>
      </c>
      <c r="E2974" s="2" t="n">
        <v>1</v>
      </c>
      <c r="F2974" s="2" t="n">
        <v>76</v>
      </c>
      <c r="G2974" s="2" t="s">
        <v>566</v>
      </c>
      <c r="H2974" s="2" t="str">
        <f aca="false">IFERROR(__xludf.dummyfunction("IF(I3005="""", """", REGEXEXTRACT(I3005, ""Padrao/([^/]+)""))"),"Nova Ribeirania")</f>
        <v>Nova Ribeirania</v>
      </c>
    </row>
    <row r="2975" customFormat="false" ht="15.75" hidden="false" customHeight="false" outlineLevel="0" collapsed="false">
      <c r="A2975" s="2" t="n">
        <v>242543</v>
      </c>
      <c r="B2975" s="2" t="s">
        <v>2079</v>
      </c>
      <c r="C2975" s="2" t="n">
        <v>2</v>
      </c>
      <c r="D2975" s="2" t="n">
        <v>1</v>
      </c>
      <c r="E2975" s="2" t="n">
        <v>1</v>
      </c>
      <c r="F2975" s="2" t="n">
        <v>51</v>
      </c>
      <c r="G2975" s="2" t="s">
        <v>566</v>
      </c>
      <c r="H2975" s="2" t="str">
        <f aca="false">IFERROR(__xludf.dummyfunction("IF(I3006="""", """", REGEXEXTRACT(I3006, ""Padrao/([^/]+)""))"),"Presidente Medici")</f>
        <v>Presidente Medici</v>
      </c>
    </row>
    <row r="2976" customFormat="false" ht="15.75" hidden="false" customHeight="false" outlineLevel="0" collapsed="false">
      <c r="A2976" s="2" t="n">
        <v>242198</v>
      </c>
      <c r="B2976" s="2" t="s">
        <v>2421</v>
      </c>
      <c r="C2976" s="2" t="n">
        <v>2</v>
      </c>
      <c r="D2976" s="2" t="n">
        <v>1</v>
      </c>
      <c r="E2976" s="2" t="n">
        <v>1</v>
      </c>
      <c r="F2976" s="2" t="n">
        <v>66</v>
      </c>
      <c r="G2976" s="2" t="s">
        <v>566</v>
      </c>
      <c r="H2976" s="2" t="str">
        <f aca="false">IFERROR(__xludf.dummyfunction("IF(I3007="""", """", REGEXEXTRACT(I3007, ""Padrao/([^/]+)""))"),"Campos Eliseos")</f>
        <v>Campos Eliseos</v>
      </c>
    </row>
    <row r="2977" customFormat="false" ht="15.75" hidden="false" customHeight="false" outlineLevel="0" collapsed="false">
      <c r="A2977" s="2" t="n">
        <v>241172</v>
      </c>
      <c r="B2977" s="2" t="s">
        <v>1700</v>
      </c>
      <c r="C2977" s="2" t="n">
        <v>2</v>
      </c>
      <c r="D2977" s="2" t="n">
        <v>1</v>
      </c>
      <c r="E2977" s="2" t="n">
        <v>1</v>
      </c>
      <c r="F2977" s="2" t="n">
        <v>44</v>
      </c>
      <c r="G2977" s="2" t="s">
        <v>566</v>
      </c>
      <c r="H2977" s="2" t="str">
        <f aca="false">IFERROR(__xludf.dummyfunction("IF(I3008="""", """", REGEXEXTRACT(I3008, ""Padrao/([^/]+)""))"),"Reserva Sao Jose")</f>
        <v>Reserva Sao Jose</v>
      </c>
    </row>
    <row r="2978" customFormat="false" ht="15.75" hidden="false" customHeight="false" outlineLevel="0" collapsed="false">
      <c r="A2978" s="2" t="n">
        <v>240146</v>
      </c>
      <c r="B2978" s="2" t="s">
        <v>2422</v>
      </c>
      <c r="C2978" s="2" t="n">
        <v>1</v>
      </c>
      <c r="D2978" s="2" t="n">
        <v>1</v>
      </c>
      <c r="E2978" s="2" t="n">
        <v>1</v>
      </c>
      <c r="F2978" s="2" t="n">
        <v>50</v>
      </c>
      <c r="G2978" s="2" t="s">
        <v>566</v>
      </c>
      <c r="H2978" s="2" t="str">
        <f aca="false">IFERROR(__xludf.dummyfunction("IF(I3009="""", """", REGEXEXTRACT(I3009, ""Padrao/([^/]+)""))"),"Parque dos Bandeirantes")</f>
        <v>Parque dos Bandeirantes</v>
      </c>
    </row>
    <row r="2979" customFormat="false" ht="15.75" hidden="false" customHeight="false" outlineLevel="0" collapsed="false">
      <c r="A2979" s="2" t="n">
        <v>239477</v>
      </c>
      <c r="B2979" s="2" t="s">
        <v>2423</v>
      </c>
      <c r="C2979" s="2" t="n">
        <v>2</v>
      </c>
      <c r="D2979" s="2" t="n">
        <v>2</v>
      </c>
      <c r="E2979" s="2" t="n">
        <v>1</v>
      </c>
      <c r="F2979" s="2" t="n">
        <v>95</v>
      </c>
      <c r="G2979" s="2" t="s">
        <v>566</v>
      </c>
      <c r="H2979" s="2" t="str">
        <f aca="false">IFERROR(__xludf.dummyfunction("IF(I3010="""", """", REGEXEXTRACT(I3010, ""Padrao/([^/]+)""))"),"Centro")</f>
        <v>Centro</v>
      </c>
    </row>
    <row r="2980" customFormat="false" ht="15.75" hidden="false" customHeight="false" outlineLevel="0" collapsed="false">
      <c r="A2980" s="2" t="n">
        <v>238310</v>
      </c>
      <c r="B2980" s="2" t="s">
        <v>2424</v>
      </c>
      <c r="C2980" s="2" t="n">
        <v>2</v>
      </c>
      <c r="D2980" s="2" t="n">
        <v>2</v>
      </c>
      <c r="E2980" s="2" t="n">
        <v>1</v>
      </c>
      <c r="F2980" s="2" t="n">
        <v>59</v>
      </c>
      <c r="G2980" s="2" t="s">
        <v>566</v>
      </c>
      <c r="H2980" s="2" t="str">
        <f aca="false">IFERROR(__xludf.dummyfunction("IF(I3011="""", """", REGEXEXTRACT(I3011, ""Padrao/([^/]+)""))"),"Independencia")</f>
        <v>Independencia</v>
      </c>
    </row>
    <row r="2981" customFormat="false" ht="15.75" hidden="false" customHeight="false" outlineLevel="0" collapsed="false">
      <c r="A2981" s="2" t="n">
        <v>234695</v>
      </c>
      <c r="B2981" s="2" t="s">
        <v>2425</v>
      </c>
      <c r="C2981" s="2" t="n">
        <v>2</v>
      </c>
      <c r="D2981" s="2" t="n">
        <v>2</v>
      </c>
      <c r="E2981" s="2" t="n">
        <v>1</v>
      </c>
      <c r="F2981" s="2" t="n">
        <v>50</v>
      </c>
      <c r="G2981" s="2" t="s">
        <v>566</v>
      </c>
      <c r="H2981" s="2" t="str">
        <f aca="false">IFERROR(__xludf.dummyfunction("IF(I3012="""", """", REGEXEXTRACT(I3012, ""Padrao/([^/]+)""))"),"Vila Tiberio")</f>
        <v>Vila Tiberio</v>
      </c>
    </row>
    <row r="2982" customFormat="false" ht="15.75" hidden="false" customHeight="false" outlineLevel="0" collapsed="false">
      <c r="A2982" s="2" t="n">
        <v>234131</v>
      </c>
      <c r="B2982" s="2" t="s">
        <v>2426</v>
      </c>
      <c r="C2982" s="2" t="n">
        <v>2</v>
      </c>
      <c r="D2982" s="2" t="n">
        <v>1</v>
      </c>
      <c r="E2982" s="2" t="n">
        <v>1</v>
      </c>
      <c r="F2982" s="2" t="n">
        <v>54</v>
      </c>
      <c r="G2982" s="2" t="s">
        <v>566</v>
      </c>
      <c r="H2982" s="2" t="str">
        <f aca="false">IFERROR(__xludf.dummyfunction("IF(I3013="""", """", REGEXEXTRACT(I3013, ""Padrao/([^/]+)""))"),"Parque Industrial Lagoinha")</f>
        <v>Parque Industrial Lagoinha</v>
      </c>
    </row>
    <row r="2983" customFormat="false" ht="15.75" hidden="false" customHeight="false" outlineLevel="0" collapsed="false">
      <c r="A2983" s="2" t="n">
        <v>232865</v>
      </c>
      <c r="B2983" s="2" t="s">
        <v>2299</v>
      </c>
      <c r="C2983" s="2" t="n">
        <v>2</v>
      </c>
      <c r="D2983" s="2" t="n">
        <v>1</v>
      </c>
      <c r="E2983" s="2" t="n">
        <v>1</v>
      </c>
      <c r="F2983" s="2" t="n">
        <v>48</v>
      </c>
      <c r="G2983" s="2" t="s">
        <v>566</v>
      </c>
      <c r="H2983" s="2" t="str">
        <f aca="false">IFERROR(__xludf.dummyfunction("IF(I3014="""", """", REGEXEXTRACT(I3014, ""Padrao/([^/]+)""))"),"Jardim Paulistano")</f>
        <v>Jardim Paulistano</v>
      </c>
    </row>
    <row r="2984" customFormat="false" ht="15.75" hidden="false" customHeight="false" outlineLevel="0" collapsed="false">
      <c r="A2984" s="2" t="n">
        <v>231398</v>
      </c>
      <c r="B2984" s="2" t="s">
        <v>2427</v>
      </c>
      <c r="C2984" s="2" t="n">
        <v>2</v>
      </c>
      <c r="D2984" s="2" t="n">
        <v>2</v>
      </c>
      <c r="E2984" s="2" t="n">
        <v>1</v>
      </c>
      <c r="F2984" s="2" t="n">
        <v>63</v>
      </c>
      <c r="G2984" s="2" t="s">
        <v>566</v>
      </c>
      <c r="H2984" s="2" t="str">
        <f aca="false">IFERROR(__xludf.dummyfunction("IF(I3015="""", """", REGEXEXTRACT(I3015, ""Padrao/([^/]+)""))"),"Residencial Florida")</f>
        <v>Residencial Florida</v>
      </c>
    </row>
    <row r="2985" customFormat="false" ht="15.75" hidden="false" customHeight="false" outlineLevel="0" collapsed="false">
      <c r="A2985" s="2" t="n">
        <v>230126</v>
      </c>
      <c r="B2985" s="2" t="s">
        <v>2428</v>
      </c>
      <c r="C2985" s="2" t="n">
        <v>1</v>
      </c>
      <c r="D2985" s="2" t="n">
        <v>1</v>
      </c>
      <c r="E2985" s="2" t="n">
        <v>1</v>
      </c>
      <c r="F2985" s="2" t="n">
        <v>46</v>
      </c>
      <c r="G2985" s="2" t="s">
        <v>566</v>
      </c>
      <c r="H2985" s="2" t="str">
        <f aca="false">IFERROR(__xludf.dummyfunction("IF(I3016="""", """", REGEXEXTRACT(I3016, ""Padrao/([^/]+)""))"),"Nova Alianca")</f>
        <v>Nova Alianca</v>
      </c>
    </row>
    <row r="2986" customFormat="false" ht="15.75" hidden="false" customHeight="false" outlineLevel="0" collapsed="false">
      <c r="A2986" s="2" t="n">
        <v>229403</v>
      </c>
      <c r="B2986" s="2" t="s">
        <v>2429</v>
      </c>
      <c r="C2986" s="2" t="n">
        <v>2</v>
      </c>
      <c r="D2986" s="2" t="n">
        <v>2</v>
      </c>
      <c r="E2986" s="2" t="n">
        <v>1</v>
      </c>
      <c r="F2986" s="2" t="n">
        <v>47</v>
      </c>
      <c r="G2986" s="2" t="s">
        <v>566</v>
      </c>
      <c r="H2986" s="2" t="str">
        <f aca="false">IFERROR(__xludf.dummyfunction("IF(I3017="""", """", REGEXEXTRACT(I3017, ""Padrao/([^/]+)""))"),"Jardim Paiva")</f>
        <v>Jardim Paiva</v>
      </c>
    </row>
    <row r="2987" customFormat="false" ht="15.75" hidden="false" customHeight="false" outlineLevel="0" collapsed="false">
      <c r="A2987" s="2" t="n">
        <v>228593</v>
      </c>
      <c r="B2987" s="2" t="s">
        <v>2430</v>
      </c>
      <c r="C2987" s="2" t="n">
        <v>2</v>
      </c>
      <c r="D2987" s="2" t="n">
        <v>1</v>
      </c>
      <c r="E2987" s="2" t="n">
        <v>1</v>
      </c>
      <c r="F2987" s="2" t="n">
        <v>48</v>
      </c>
      <c r="G2987" s="2" t="s">
        <v>566</v>
      </c>
      <c r="H2987" s="2" t="str">
        <f aca="false">IFERROR(__xludf.dummyfunction("IF(I3018="""", """", REGEXEXTRACT(I3018, ""Padrao/([^/]+)""))"),"Jardim Sao Fernando")</f>
        <v>Jardim Sao Fernando</v>
      </c>
    </row>
    <row r="2988" customFormat="false" ht="15.75" hidden="false" customHeight="false" outlineLevel="0" collapsed="false">
      <c r="A2988" s="2" t="n">
        <v>226895</v>
      </c>
      <c r="B2988" s="2" t="s">
        <v>2431</v>
      </c>
      <c r="C2988" s="2" t="n">
        <v>3</v>
      </c>
      <c r="D2988" s="2" t="n">
        <v>3</v>
      </c>
      <c r="E2988" s="2" t="n">
        <v>1</v>
      </c>
      <c r="F2988" s="2" t="n">
        <v>85</v>
      </c>
      <c r="G2988" s="2" t="s">
        <v>566</v>
      </c>
      <c r="H2988" s="2" t="str">
        <f aca="false">IFERROR(__xludf.dummyfunction("IF(I3019="""", """", REGEXEXTRACT(I3019, ""Padrao/([^/]+)""))"),"Sumarezinho")</f>
        <v>Sumarezinho</v>
      </c>
    </row>
    <row r="2989" customFormat="false" ht="15.75" hidden="false" customHeight="false" outlineLevel="0" collapsed="false">
      <c r="A2989" s="2" t="n">
        <v>224648</v>
      </c>
      <c r="B2989" s="2" t="s">
        <v>2432</v>
      </c>
      <c r="C2989" s="2" t="n">
        <v>2</v>
      </c>
      <c r="D2989" s="2" t="n">
        <v>1</v>
      </c>
      <c r="E2989" s="2" t="n">
        <v>1</v>
      </c>
      <c r="F2989" s="2" t="n">
        <v>46</v>
      </c>
      <c r="G2989" s="2" t="s">
        <v>566</v>
      </c>
      <c r="H2989" s="2" t="str">
        <f aca="false">IFERROR(__xludf.dummyfunction("IF(I3020="""", """", REGEXEXTRACT(I3020, ""Padrao/([^/]+)""))"),"Jardim Antartica")</f>
        <v>Jardim Antartica</v>
      </c>
    </row>
    <row r="2990" customFormat="false" ht="15.75" hidden="false" customHeight="false" outlineLevel="0" collapsed="false">
      <c r="A2990" s="2" t="n">
        <v>223823</v>
      </c>
      <c r="B2990" s="2" t="s">
        <v>1955</v>
      </c>
      <c r="C2990" s="2" t="n">
        <v>3</v>
      </c>
      <c r="D2990" s="2" t="n">
        <v>1</v>
      </c>
      <c r="E2990" s="2" t="n">
        <v>1</v>
      </c>
      <c r="F2990" s="2" t="n">
        <v>69</v>
      </c>
      <c r="G2990" s="2" t="s">
        <v>566</v>
      </c>
      <c r="H2990" s="2" t="str">
        <f aca="false">IFERROR(__xludf.dummyfunction("IF(I3021="""", """", REGEXEXTRACT(I3021, ""Padrao/([^/]+)""))"),"Jardim Paulista")</f>
        <v>Jardim Paulista</v>
      </c>
    </row>
    <row r="2991" customFormat="false" ht="15.75" hidden="false" customHeight="false" outlineLevel="0" collapsed="false">
      <c r="A2991" s="2" t="n">
        <v>223517</v>
      </c>
      <c r="B2991" s="2" t="s">
        <v>2116</v>
      </c>
      <c r="C2991" s="2" t="n">
        <v>2</v>
      </c>
      <c r="D2991" s="2" t="n">
        <v>3</v>
      </c>
      <c r="E2991" s="2" t="n">
        <v>1</v>
      </c>
      <c r="F2991" s="2" t="n">
        <v>76</v>
      </c>
      <c r="G2991" s="2" t="s">
        <v>566</v>
      </c>
      <c r="H2991" s="2" t="str">
        <f aca="false">IFERROR(__xludf.dummyfunction("IF(I3022="""", """", REGEXEXTRACT(I3022, ""Padrao/([^/]+)""))"),"Centro")</f>
        <v>Centro</v>
      </c>
    </row>
    <row r="2992" customFormat="false" ht="15.75" hidden="false" customHeight="false" outlineLevel="0" collapsed="false">
      <c r="A2992" s="2" t="n">
        <v>216788</v>
      </c>
      <c r="B2992" s="2" t="s">
        <v>2433</v>
      </c>
      <c r="C2992" s="2" t="n">
        <v>1</v>
      </c>
      <c r="D2992" s="2" t="n">
        <v>1</v>
      </c>
      <c r="E2992" s="2" t="n">
        <v>1</v>
      </c>
      <c r="F2992" s="2" t="n">
        <v>43</v>
      </c>
      <c r="G2992" s="2" t="s">
        <v>566</v>
      </c>
      <c r="H2992" s="2" t="str">
        <f aca="false">IFERROR(__xludf.dummyfunction("IF(I3023="""", """", REGEXEXTRACT(I3023, ""Padrao/([^/]+)""))"),"Nova Alianca")</f>
        <v>Nova Alianca</v>
      </c>
    </row>
    <row r="2993" customFormat="false" ht="15.75" hidden="false" customHeight="false" outlineLevel="0" collapsed="false">
      <c r="A2993" s="2" t="n">
        <v>215216</v>
      </c>
      <c r="B2993" s="2" t="s">
        <v>2434</v>
      </c>
      <c r="C2993" s="2" t="n">
        <v>2</v>
      </c>
      <c r="D2993" s="2" t="n">
        <v>2</v>
      </c>
      <c r="E2993" s="2" t="n">
        <v>1</v>
      </c>
      <c r="F2993" s="2" t="n">
        <v>54</v>
      </c>
      <c r="G2993" s="2" t="s">
        <v>566</v>
      </c>
      <c r="H2993" s="2" t="str">
        <f aca="false">IFERROR(__xludf.dummyfunction("IF(I3024="""", """", REGEXEXTRACT(I3024, ""Padrao/([^/]+)""))"),"Jardim Zara")</f>
        <v>Jardim Zara</v>
      </c>
    </row>
    <row r="2994" customFormat="false" ht="15.75" hidden="false" customHeight="false" outlineLevel="0" collapsed="false">
      <c r="A2994" s="2" t="n">
        <v>213944</v>
      </c>
      <c r="B2994" s="2" t="s">
        <v>2435</v>
      </c>
      <c r="C2994" s="2" t="n">
        <v>2</v>
      </c>
      <c r="D2994" s="2" t="n">
        <v>2</v>
      </c>
      <c r="E2994" s="2" t="n">
        <v>1</v>
      </c>
      <c r="F2994" s="2" t="n">
        <v>47</v>
      </c>
      <c r="G2994" s="2" t="s">
        <v>566</v>
      </c>
      <c r="H2994" s="2" t="str">
        <f aca="false">IFERROR(__xludf.dummyfunction("IF(I3025="""", """", REGEXEXTRACT(I3025, ""Padrao/([^/]+)""))"),"Jardim Paiva")</f>
        <v>Jardim Paiva</v>
      </c>
    </row>
    <row r="2995" customFormat="false" ht="15.75" hidden="false" customHeight="false" outlineLevel="0" collapsed="false">
      <c r="A2995" s="2" t="n">
        <v>211238</v>
      </c>
      <c r="B2995" s="2" t="s">
        <v>2313</v>
      </c>
      <c r="C2995" s="2" t="n">
        <v>1</v>
      </c>
      <c r="D2995" s="2" t="n">
        <v>1</v>
      </c>
      <c r="E2995" s="2" t="n">
        <v>1</v>
      </c>
      <c r="F2995" s="2" t="n">
        <v>47</v>
      </c>
      <c r="G2995" s="2" t="s">
        <v>566</v>
      </c>
      <c r="H2995" s="2" t="str">
        <f aca="false">IFERROR(__xludf.dummyfunction("IF(I3026="""", """", REGEXEXTRACT(I3026, ""Padrao/([^/]+)""))"),"Centro")</f>
        <v>Centro</v>
      </c>
    </row>
    <row r="2996" customFormat="false" ht="15.75" hidden="false" customHeight="false" outlineLevel="0" collapsed="false">
      <c r="A2996" s="2" t="n">
        <v>206723</v>
      </c>
      <c r="B2996" s="2" t="s">
        <v>2436</v>
      </c>
      <c r="C2996" s="2" t="n">
        <v>1</v>
      </c>
      <c r="D2996" s="2" t="n">
        <v>1</v>
      </c>
      <c r="E2996" s="2" t="n">
        <v>1</v>
      </c>
      <c r="F2996" s="2" t="n">
        <v>47</v>
      </c>
      <c r="G2996" s="2" t="s">
        <v>566</v>
      </c>
      <c r="H2996" s="2" t="str">
        <f aca="false">IFERROR(__xludf.dummyfunction("IF(I3027="""", """", REGEXEXTRACT(I3027, ""Padrao/([^/]+)""))"),"Centro")</f>
        <v>Centro</v>
      </c>
    </row>
    <row r="2997" customFormat="false" ht="15.75" hidden="false" customHeight="false" outlineLevel="0" collapsed="false">
      <c r="A2997" s="2" t="n">
        <v>205991</v>
      </c>
      <c r="B2997" s="2" t="s">
        <v>2437</v>
      </c>
      <c r="C2997" s="2" t="n">
        <v>3</v>
      </c>
      <c r="D2997" s="2" t="n">
        <v>3</v>
      </c>
      <c r="E2997" s="2" t="n">
        <v>1</v>
      </c>
      <c r="F2997" s="2" t="n">
        <v>92</v>
      </c>
      <c r="G2997" s="2" t="s">
        <v>566</v>
      </c>
      <c r="H2997" s="2" t="str">
        <f aca="false">IFERROR(__xludf.dummyfunction("IF(I3028="""", """", REGEXEXTRACT(I3028, ""Padrao/([^/]+)""))"),"Centro")</f>
        <v>Centro</v>
      </c>
    </row>
    <row r="2998" customFormat="false" ht="15.75" hidden="false" customHeight="false" outlineLevel="0" collapsed="false">
      <c r="A2998" s="2" t="n">
        <v>199679</v>
      </c>
      <c r="B2998" s="2" t="s">
        <v>2438</v>
      </c>
      <c r="C2998" s="2" t="n">
        <v>3</v>
      </c>
      <c r="D2998" s="2" t="n">
        <v>2</v>
      </c>
      <c r="E2998" s="2" t="n">
        <v>1</v>
      </c>
      <c r="F2998" s="2" t="n">
        <v>64</v>
      </c>
      <c r="G2998" s="2" t="s">
        <v>566</v>
      </c>
      <c r="H2998" s="2" t="str">
        <f aca="false">IFERROR(__xludf.dummyfunction("IF(I3029="""", """", REGEXEXTRACT(I3029, ""Padrao/([^/]+)""))"),"Campos Eliseos")</f>
        <v>Campos Eliseos</v>
      </c>
    </row>
    <row r="2999" customFormat="false" ht="15.75" hidden="false" customHeight="false" outlineLevel="0" collapsed="false">
      <c r="A2999" s="2" t="n">
        <v>199607</v>
      </c>
      <c r="B2999" s="2" t="s">
        <v>2439</v>
      </c>
      <c r="C2999" s="2" t="n">
        <v>3</v>
      </c>
      <c r="D2999" s="2" t="n">
        <v>2</v>
      </c>
      <c r="E2999" s="2" t="n">
        <v>1</v>
      </c>
      <c r="F2999" s="2" t="n">
        <v>64</v>
      </c>
      <c r="G2999" s="2" t="s">
        <v>566</v>
      </c>
      <c r="H2999" s="2" t="str">
        <f aca="false">IFERROR(__xludf.dummyfunction("IF(I3030="""", """", REGEXEXTRACT(I3030, ""Padrao/([^/]+)""))"),"Campos Eliseos")</f>
        <v>Campos Eliseos</v>
      </c>
    </row>
    <row r="3000" customFormat="false" ht="15.75" hidden="false" customHeight="false" outlineLevel="0" collapsed="false">
      <c r="A3000" s="2" t="n">
        <v>191876</v>
      </c>
      <c r="B3000" s="2" t="s">
        <v>2440</v>
      </c>
      <c r="C3000" s="2" t="n">
        <v>2</v>
      </c>
      <c r="D3000" s="2" t="n">
        <v>1</v>
      </c>
      <c r="E3000" s="2" t="n">
        <v>1</v>
      </c>
      <c r="F3000" s="2" t="n">
        <v>53</v>
      </c>
      <c r="G3000" s="2" t="s">
        <v>566</v>
      </c>
      <c r="H3000" s="2" t="str">
        <f aca="false">IFERROR(__xludf.dummyfunction("IF(I3031="""", """", REGEXEXTRACT(I3031, ""Padrao/([^/]+)""))"),"Jardim Zara")</f>
        <v>Jardim Zara</v>
      </c>
    </row>
    <row r="3001" customFormat="false" ht="15.75" hidden="false" customHeight="false" outlineLevel="0" collapsed="false">
      <c r="A3001" s="2" t="n">
        <v>191342</v>
      </c>
      <c r="B3001" s="2" t="s">
        <v>2441</v>
      </c>
      <c r="C3001" s="2" t="n">
        <v>2</v>
      </c>
      <c r="D3001" s="2" t="n">
        <v>1</v>
      </c>
      <c r="E3001" s="2" t="n">
        <v>1</v>
      </c>
      <c r="F3001" s="2" t="n">
        <v>61</v>
      </c>
      <c r="G3001" s="2" t="s">
        <v>566</v>
      </c>
      <c r="H3001" s="2" t="str">
        <f aca="false">IFERROR(__xludf.dummyfunction("IF(I3032="""", """", REGEXEXTRACT(I3032, ""Padrao/([^/]+)""))"),"Ipiranga")</f>
        <v>Ipiranga</v>
      </c>
    </row>
    <row r="3002" customFormat="false" ht="15.75" hidden="false" customHeight="false" outlineLevel="0" collapsed="false">
      <c r="A3002" s="2" t="n">
        <v>186491</v>
      </c>
      <c r="B3002" s="2" t="s">
        <v>2442</v>
      </c>
      <c r="C3002" s="2" t="n">
        <v>1</v>
      </c>
      <c r="D3002" s="2" t="n">
        <v>1</v>
      </c>
      <c r="E3002" s="2" t="n">
        <v>1</v>
      </c>
      <c r="F3002" s="2" t="n">
        <v>32</v>
      </c>
      <c r="G3002" s="2" t="s">
        <v>566</v>
      </c>
      <c r="H3002" s="2" t="str">
        <f aca="false">IFERROR(__xludf.dummyfunction("IF(I3033="""", """", REGEXEXTRACT(I3033, ""Padrao/([^/]+)""))"),"Nova Ribeirania")</f>
        <v>Nova Ribeirania</v>
      </c>
    </row>
    <row r="3003" customFormat="false" ht="15.75" hidden="false" customHeight="false" outlineLevel="0" collapsed="false">
      <c r="A3003" s="2" t="n">
        <v>186350</v>
      </c>
      <c r="B3003" s="2" t="s">
        <v>2443</v>
      </c>
      <c r="C3003" s="2" t="n">
        <v>2</v>
      </c>
      <c r="D3003" s="2" t="n">
        <v>1</v>
      </c>
      <c r="E3003" s="2" t="n">
        <v>1</v>
      </c>
      <c r="F3003" s="2" t="n">
        <v>46</v>
      </c>
      <c r="G3003" s="2" t="s">
        <v>566</v>
      </c>
      <c r="H3003" s="2" t="str">
        <f aca="false">IFERROR(__xludf.dummyfunction("IF(I3034="""", """", REGEXEXTRACT(I3034, ""Padrao/([^/]+)""))"),"Jardim Paulistano")</f>
        <v>Jardim Paulistano</v>
      </c>
    </row>
    <row r="3004" customFormat="false" ht="15.75" hidden="false" customHeight="false" outlineLevel="0" collapsed="false">
      <c r="A3004" s="2" t="n">
        <v>185198</v>
      </c>
      <c r="B3004" s="2" t="s">
        <v>2444</v>
      </c>
      <c r="C3004" s="2" t="n">
        <v>2</v>
      </c>
      <c r="D3004" s="2" t="n">
        <v>1</v>
      </c>
      <c r="E3004" s="2" t="n">
        <v>1</v>
      </c>
      <c r="F3004" s="2" t="n">
        <v>65</v>
      </c>
      <c r="G3004" s="2" t="s">
        <v>566</v>
      </c>
      <c r="H3004" s="2" t="str">
        <f aca="false">IFERROR(__xludf.dummyfunction("IF(I3035="""", """", REGEXEXTRACT(I3035, ""Padrao/([^/]+)""))"),"Centro")</f>
        <v>Centro</v>
      </c>
    </row>
    <row r="3005" customFormat="false" ht="15.75" hidden="false" customHeight="false" outlineLevel="0" collapsed="false">
      <c r="A3005" s="2" t="n">
        <v>182969</v>
      </c>
      <c r="B3005" s="2" t="s">
        <v>2172</v>
      </c>
      <c r="C3005" s="2" t="n">
        <v>2</v>
      </c>
      <c r="D3005" s="2" t="n">
        <v>1</v>
      </c>
      <c r="E3005" s="2" t="n">
        <v>1</v>
      </c>
      <c r="F3005" s="2" t="n">
        <v>44</v>
      </c>
      <c r="G3005" s="2" t="s">
        <v>566</v>
      </c>
      <c r="H3005" s="2" t="str">
        <f aca="false">IFERROR(__xludf.dummyfunction("IF(I3036="""", """", REGEXEXTRACT(I3036, ""Padrao/([^/]+)""))"),"Jardim Paulista")</f>
        <v>Jardim Paulista</v>
      </c>
    </row>
    <row r="3006" customFormat="false" ht="15.75" hidden="false" customHeight="false" outlineLevel="0" collapsed="false">
      <c r="A3006" s="2" t="n">
        <v>182474</v>
      </c>
      <c r="B3006" s="2" t="s">
        <v>2445</v>
      </c>
      <c r="C3006" s="2" t="n">
        <v>1</v>
      </c>
      <c r="D3006" s="2" t="n">
        <v>1</v>
      </c>
      <c r="E3006" s="2" t="n">
        <v>1</v>
      </c>
      <c r="F3006" s="2" t="n">
        <v>46</v>
      </c>
      <c r="G3006" s="2" t="s">
        <v>566</v>
      </c>
      <c r="H3006" s="2" t="str">
        <f aca="false">IFERROR(__xludf.dummyfunction("IF(I3037="""", """", REGEXEXTRACT(I3037, ""Padrao/([^/]+)""))"),"Jardim Botanico")</f>
        <v>Jardim Botanico</v>
      </c>
    </row>
    <row r="3007" customFormat="false" ht="15.75" hidden="false" customHeight="false" outlineLevel="0" collapsed="false">
      <c r="A3007" s="2" t="n">
        <v>180515</v>
      </c>
      <c r="B3007" s="2" t="s">
        <v>2446</v>
      </c>
      <c r="C3007" s="2" t="n">
        <v>2</v>
      </c>
      <c r="D3007" s="2" t="n">
        <v>1</v>
      </c>
      <c r="E3007" s="2" t="n">
        <v>1</v>
      </c>
      <c r="F3007" s="2" t="n">
        <v>61</v>
      </c>
      <c r="G3007" s="2" t="s">
        <v>566</v>
      </c>
      <c r="H3007" s="2" t="str">
        <f aca="false">IFERROR(__xludf.dummyfunction("IF(I3038="""", """", REGEXEXTRACT(I3038, ""Padrao/([^/]+)""))"),"Vila Tiberio")</f>
        <v>Vila Tiberio</v>
      </c>
    </row>
    <row r="3008" customFormat="false" ht="15.75" hidden="false" customHeight="false" outlineLevel="0" collapsed="false">
      <c r="A3008" s="2" t="n">
        <v>174959</v>
      </c>
      <c r="B3008" s="2" t="s">
        <v>2132</v>
      </c>
      <c r="C3008" s="2" t="n">
        <v>2</v>
      </c>
      <c r="D3008" s="2" t="n">
        <v>2</v>
      </c>
      <c r="E3008" s="2" t="n">
        <v>1</v>
      </c>
      <c r="F3008" s="2" t="n">
        <v>53</v>
      </c>
      <c r="G3008" s="2" t="s">
        <v>566</v>
      </c>
      <c r="H3008" s="2" t="str">
        <f aca="false">IFERROR(__xludf.dummyfunction("IF(I3039="""", """", REGEXEXTRACT(I3039, ""Padrao/([^/]+)""))"),"Jardim Anhanguera")</f>
        <v>Jardim Anhanguera</v>
      </c>
    </row>
    <row r="3009" customFormat="false" ht="15.75" hidden="false" customHeight="false" outlineLevel="0" collapsed="false">
      <c r="A3009" s="2" t="n">
        <v>174503</v>
      </c>
      <c r="B3009" s="2" t="s">
        <v>440</v>
      </c>
      <c r="C3009" s="2" t="n">
        <v>2</v>
      </c>
      <c r="D3009" s="2" t="n">
        <v>2</v>
      </c>
      <c r="E3009" s="2" t="n">
        <v>1</v>
      </c>
      <c r="F3009" s="2" t="n">
        <v>102</v>
      </c>
      <c r="G3009" s="2" t="s">
        <v>566</v>
      </c>
      <c r="H3009" s="2" t="str">
        <f aca="false">IFERROR(__xludf.dummyfunction("IF(I3040="""", """", REGEXEXTRACT(I3040, ""Padrao/([^/]+)""))"),"Vila Seixas")</f>
        <v>Vila Seixas</v>
      </c>
    </row>
    <row r="3010" customFormat="false" ht="15.75" hidden="false" customHeight="false" outlineLevel="0" collapsed="false">
      <c r="A3010" s="2" t="n">
        <v>173444</v>
      </c>
      <c r="B3010" s="2" t="s">
        <v>951</v>
      </c>
      <c r="C3010" s="2" t="n">
        <v>2</v>
      </c>
      <c r="D3010" s="2" t="n">
        <v>1</v>
      </c>
      <c r="E3010" s="2" t="n">
        <v>1</v>
      </c>
      <c r="F3010" s="2" t="n">
        <v>49</v>
      </c>
      <c r="G3010" s="2" t="s">
        <v>566</v>
      </c>
      <c r="H3010" s="2" t="str">
        <f aca="false">IFERROR(__xludf.dummyfunction("IF(I3041="""", """", REGEXEXTRACT(I3041, ""Padrao/([^/]+)""))"),"Jardim Ouro Branco")</f>
        <v>Jardim Ouro Branco</v>
      </c>
    </row>
    <row r="3011" customFormat="false" ht="15.75" hidden="false" customHeight="false" outlineLevel="0" collapsed="false">
      <c r="A3011" s="2" t="n">
        <v>172751</v>
      </c>
      <c r="B3011" s="2" t="s">
        <v>2414</v>
      </c>
      <c r="C3011" s="2" t="n">
        <v>3</v>
      </c>
      <c r="D3011" s="2" t="n">
        <v>2</v>
      </c>
      <c r="E3011" s="2" t="n">
        <v>1</v>
      </c>
      <c r="F3011" s="2" t="n">
        <v>58</v>
      </c>
      <c r="G3011" s="2" t="s">
        <v>566</v>
      </c>
      <c r="H3011" s="2" t="str">
        <f aca="false">IFERROR(__xludf.dummyfunction("IF(I3042="""", """", REGEXEXTRACT(I3042, ""Padrao/([^/]+)""))"),"Alto da Boa Vista")</f>
        <v>Alto da Boa Vista</v>
      </c>
    </row>
    <row r="3012" customFormat="false" ht="15.75" hidden="false" customHeight="false" outlineLevel="0" collapsed="false">
      <c r="A3012" s="2" t="n">
        <v>172394</v>
      </c>
      <c r="B3012" s="2" t="s">
        <v>2447</v>
      </c>
      <c r="C3012" s="2" t="n">
        <v>2</v>
      </c>
      <c r="D3012" s="2" t="n">
        <v>2</v>
      </c>
      <c r="E3012" s="2" t="n">
        <v>1</v>
      </c>
      <c r="F3012" s="2" t="n">
        <v>66</v>
      </c>
      <c r="G3012" s="2" t="s">
        <v>566</v>
      </c>
      <c r="H3012" s="2" t="str">
        <f aca="false">IFERROR(__xludf.dummyfunction("IF(I3043="""", """", REGEXEXTRACT(I3043, ""Padrao/([^/]+)""))"),"Sumarezinho")</f>
        <v>Sumarezinho</v>
      </c>
    </row>
    <row r="3013" customFormat="false" ht="15.75" hidden="false" customHeight="false" outlineLevel="0" collapsed="false">
      <c r="A3013" s="2" t="n">
        <v>170801</v>
      </c>
      <c r="B3013" s="2" t="s">
        <v>958</v>
      </c>
      <c r="C3013" s="2" t="n">
        <v>3</v>
      </c>
      <c r="D3013" s="2" t="n">
        <v>2</v>
      </c>
      <c r="E3013" s="2" t="n">
        <v>1</v>
      </c>
      <c r="F3013" s="2" t="n">
        <v>66</v>
      </c>
      <c r="G3013" s="2" t="s">
        <v>566</v>
      </c>
      <c r="H3013" s="2" t="str">
        <f aca="false">IFERROR(__xludf.dummyfunction("IF(I3044="""", """", REGEXEXTRACT(I3044, ""Padrao/([^/]+)""))"),"Parque Industrial Lagoinha")</f>
        <v>Parque Industrial Lagoinha</v>
      </c>
    </row>
    <row r="3014" customFormat="false" ht="15.75" hidden="false" customHeight="false" outlineLevel="0" collapsed="false">
      <c r="A3014" s="2" t="n">
        <v>162887</v>
      </c>
      <c r="B3014" s="2" t="s">
        <v>1149</v>
      </c>
      <c r="C3014" s="2" t="n">
        <v>2</v>
      </c>
      <c r="D3014" s="2" t="n">
        <v>1</v>
      </c>
      <c r="E3014" s="2" t="n">
        <v>1</v>
      </c>
      <c r="F3014" s="2" t="n">
        <v>40</v>
      </c>
      <c r="G3014" s="2" t="s">
        <v>566</v>
      </c>
      <c r="H3014" s="2" t="str">
        <f aca="false">IFERROR(__xludf.dummyfunction("IF(I3045="""", """", REGEXEXTRACT(I3045, ""Padrao/([^/]+)""))"),"Jardim Castelo Branco")</f>
        <v>Jardim Castelo Branco</v>
      </c>
    </row>
    <row r="3015" customFormat="false" ht="15.75" hidden="false" customHeight="false" outlineLevel="0" collapsed="false">
      <c r="A3015" s="2" t="n">
        <v>161687</v>
      </c>
      <c r="B3015" s="2" t="s">
        <v>2154</v>
      </c>
      <c r="C3015" s="2" t="n">
        <v>1</v>
      </c>
      <c r="D3015" s="2" t="n">
        <v>1</v>
      </c>
      <c r="E3015" s="2" t="n">
        <v>1</v>
      </c>
      <c r="F3015" s="2" t="n">
        <v>44</v>
      </c>
      <c r="G3015" s="2" t="s">
        <v>566</v>
      </c>
      <c r="H3015" s="2" t="str">
        <f aca="false">IFERROR(__xludf.dummyfunction("IF(I3046="""", """", REGEXEXTRACT(I3046, ""Padrao/([^/]+)""))"),"Jardim Sumare")</f>
        <v>Jardim Sumare</v>
      </c>
    </row>
    <row r="3016" customFormat="false" ht="15.75" hidden="false" customHeight="false" outlineLevel="0" collapsed="false">
      <c r="A3016" s="2" t="n">
        <v>157826</v>
      </c>
      <c r="B3016" s="2" t="s">
        <v>2448</v>
      </c>
      <c r="C3016" s="2" t="n">
        <v>2</v>
      </c>
      <c r="D3016" s="2" t="n">
        <v>1</v>
      </c>
      <c r="E3016" s="2" t="n">
        <v>1</v>
      </c>
      <c r="F3016" s="2" t="n">
        <v>56</v>
      </c>
      <c r="G3016" s="2" t="s">
        <v>566</v>
      </c>
      <c r="H3016" s="2" t="str">
        <f aca="false">IFERROR(__xludf.dummyfunction("IF(I3047="""", """", REGEXEXTRACT(I3047, ""Padrao/([^/]+)""))"),"Parque Sao Sebastiao")</f>
        <v>Parque Sao Sebastiao</v>
      </c>
    </row>
    <row r="3017" customFormat="false" ht="15.75" hidden="false" customHeight="false" outlineLevel="0" collapsed="false">
      <c r="A3017" s="2" t="n">
        <v>157820</v>
      </c>
      <c r="B3017" s="2" t="s">
        <v>2449</v>
      </c>
      <c r="C3017" s="2" t="n">
        <v>2</v>
      </c>
      <c r="D3017" s="2" t="n">
        <v>1</v>
      </c>
      <c r="E3017" s="2" t="n">
        <v>1</v>
      </c>
      <c r="F3017" s="2" t="n">
        <v>56</v>
      </c>
      <c r="G3017" s="2" t="s">
        <v>566</v>
      </c>
      <c r="H3017" s="2" t="str">
        <f aca="false">IFERROR(__xludf.dummyfunction("IF(I3048="""", """", REGEXEXTRACT(I3048, ""Padrao/([^/]+)""))"),"Parque Sao Sebastiao")</f>
        <v>Parque Sao Sebastiao</v>
      </c>
    </row>
    <row r="3018" customFormat="false" ht="15.75" hidden="false" customHeight="false" outlineLevel="0" collapsed="false">
      <c r="A3018" s="2" t="n">
        <v>149627</v>
      </c>
      <c r="B3018" s="2" t="s">
        <v>2172</v>
      </c>
      <c r="C3018" s="2" t="n">
        <v>2</v>
      </c>
      <c r="D3018" s="2" t="n">
        <v>1</v>
      </c>
      <c r="E3018" s="2" t="n">
        <v>1</v>
      </c>
      <c r="F3018" s="2" t="n">
        <v>44</v>
      </c>
      <c r="G3018" s="2" t="s">
        <v>566</v>
      </c>
      <c r="H3018" s="2" t="str">
        <f aca="false">IFERROR(__xludf.dummyfunction("IF(I3049="""", """", REGEXEXTRACT(I3049, ""Padrao/([^/]+)""))"),"Jardim Paulista")</f>
        <v>Jardim Paulista</v>
      </c>
    </row>
    <row r="3019" customFormat="false" ht="15.75" hidden="false" customHeight="false" outlineLevel="0" collapsed="false">
      <c r="A3019" s="2" t="n">
        <v>147932</v>
      </c>
      <c r="B3019" s="2" t="s">
        <v>2450</v>
      </c>
      <c r="C3019" s="2" t="n">
        <v>2</v>
      </c>
      <c r="D3019" s="2" t="n">
        <v>2</v>
      </c>
      <c r="E3019" s="2" t="n">
        <v>2</v>
      </c>
      <c r="F3019" s="2" t="n">
        <v>63</v>
      </c>
      <c r="G3019" s="2" t="s">
        <v>566</v>
      </c>
      <c r="H3019" s="2" t="str">
        <f aca="false">IFERROR(__xludf.dummyfunction("IF(I3050="""", """", REGEXEXTRACT(I3050, ""Padrao/([^/]+)""))"),"Parque dos Lagos")</f>
        <v>Parque dos Lagos</v>
      </c>
    </row>
    <row r="3020" customFormat="false" ht="15.75" hidden="false" customHeight="false" outlineLevel="0" collapsed="false">
      <c r="A3020" s="2" t="n">
        <v>137498</v>
      </c>
      <c r="B3020" s="2" t="s">
        <v>1518</v>
      </c>
      <c r="C3020" s="2" t="n">
        <v>3</v>
      </c>
      <c r="D3020" s="2" t="n">
        <v>3</v>
      </c>
      <c r="E3020" s="2" t="n">
        <v>1</v>
      </c>
      <c r="F3020" s="2" t="n">
        <v>85</v>
      </c>
      <c r="G3020" s="2" t="s">
        <v>566</v>
      </c>
      <c r="H3020" s="2" t="str">
        <f aca="false">IFERROR(__xludf.dummyfunction("IF(I3051="""", """", REGEXEXTRACT(I3051, ""Padrao/([^/]+)""))"),"Centro")</f>
        <v>Centro</v>
      </c>
    </row>
    <row r="3021" customFormat="false" ht="15.75" hidden="false" customHeight="false" outlineLevel="0" collapsed="false">
      <c r="A3021" s="2" t="n">
        <v>133205</v>
      </c>
      <c r="B3021" s="2" t="s">
        <v>2451</v>
      </c>
      <c r="C3021" s="2" t="n">
        <v>2</v>
      </c>
      <c r="D3021" s="2" t="n">
        <v>1</v>
      </c>
      <c r="E3021" s="2" t="n">
        <v>1</v>
      </c>
      <c r="F3021" s="2" t="n">
        <v>47</v>
      </c>
      <c r="G3021" s="2" t="s">
        <v>566</v>
      </c>
      <c r="H3021" s="2" t="str">
        <f aca="false">IFERROR(__xludf.dummyfunction("IF(I3052="""", """", REGEXEXTRACT(I3052, ""Padrao/([^/]+)""))"),"City Ribeirao")</f>
        <v>City Ribeirao</v>
      </c>
    </row>
    <row r="3022" customFormat="false" ht="15.75" hidden="false" customHeight="false" outlineLevel="0" collapsed="false">
      <c r="A3022" s="2" t="n">
        <v>113483</v>
      </c>
      <c r="B3022" s="2" t="s">
        <v>2452</v>
      </c>
      <c r="C3022" s="2" t="n">
        <v>3</v>
      </c>
      <c r="D3022" s="2" t="n">
        <v>2</v>
      </c>
      <c r="E3022" s="2" t="n">
        <v>2</v>
      </c>
      <c r="F3022" s="2" t="n">
        <v>94</v>
      </c>
      <c r="G3022" s="2" t="s">
        <v>566</v>
      </c>
      <c r="H3022" s="2" t="str">
        <f aca="false">IFERROR(__xludf.dummyfunction("IF(I3054="""", """", REGEXEXTRACT(I3054, ""Padrao/([^/]+)""))"),"Jardim Palma Travassos")</f>
        <v>Jardim Palma Travassos</v>
      </c>
    </row>
    <row r="3023" customFormat="false" ht="15.75" hidden="false" customHeight="false" outlineLevel="0" collapsed="false">
      <c r="A3023" s="2" t="n">
        <v>106634</v>
      </c>
      <c r="B3023" s="2" t="s">
        <v>2453</v>
      </c>
      <c r="C3023" s="2" t="n">
        <v>2</v>
      </c>
      <c r="D3023" s="2" t="n">
        <v>2</v>
      </c>
      <c r="E3023" s="2" t="n">
        <v>1</v>
      </c>
      <c r="F3023" s="2" t="n">
        <v>66</v>
      </c>
      <c r="G3023" s="2" t="s">
        <v>566</v>
      </c>
      <c r="H3023" s="2" t="str">
        <f aca="false">IFERROR(__xludf.dummyfunction("IF(I3055="""", """", REGEXEXTRACT(I3055, ""Padrao/([^/]+)""))"),"Sumarezinho")</f>
        <v>Sumarezinho</v>
      </c>
    </row>
    <row r="3024" customFormat="false" ht="15.75" hidden="false" customHeight="false" outlineLevel="0" collapsed="false">
      <c r="A3024" s="2" t="n">
        <v>101285</v>
      </c>
      <c r="B3024" s="2" t="s">
        <v>162</v>
      </c>
      <c r="C3024" s="2" t="n">
        <v>2</v>
      </c>
      <c r="D3024" s="2" t="n">
        <v>2</v>
      </c>
      <c r="E3024" s="2" t="n">
        <v>1</v>
      </c>
      <c r="F3024" s="2" t="n">
        <v>65</v>
      </c>
      <c r="G3024" s="2" t="s">
        <v>566</v>
      </c>
      <c r="H3024" s="2" t="str">
        <f aca="false">IFERROR(__xludf.dummyfunction("IF(I3056="""", """", REGEXEXTRACT(I3056, ""Padrao/([^/]+)""))"),"Residencial Florida")</f>
        <v>Residencial Florida</v>
      </c>
    </row>
    <row r="3025" customFormat="false" ht="15.75" hidden="false" customHeight="false" outlineLevel="0" collapsed="false">
      <c r="A3025" s="2" t="n">
        <v>101276</v>
      </c>
      <c r="B3025" s="2" t="s">
        <v>2454</v>
      </c>
      <c r="C3025" s="2" t="n">
        <v>2</v>
      </c>
      <c r="D3025" s="2" t="n">
        <v>2</v>
      </c>
      <c r="E3025" s="2" t="n">
        <v>1</v>
      </c>
      <c r="F3025" s="2" t="n">
        <v>65</v>
      </c>
      <c r="G3025" s="2" t="s">
        <v>566</v>
      </c>
      <c r="H3025" s="2" t="str">
        <f aca="false">IFERROR(__xludf.dummyfunction("IF(I3057="""", """", REGEXEXTRACT(I3057, ""Padrao/([^/]+)""))"),"Residencial Florida")</f>
        <v>Residencial Florida</v>
      </c>
    </row>
    <row r="3026" customFormat="false" ht="15.75" hidden="false" customHeight="false" outlineLevel="0" collapsed="false">
      <c r="A3026" s="2" t="n">
        <v>101273</v>
      </c>
      <c r="B3026" s="2" t="s">
        <v>162</v>
      </c>
      <c r="C3026" s="2" t="n">
        <v>2</v>
      </c>
      <c r="D3026" s="2" t="n">
        <v>2</v>
      </c>
      <c r="E3026" s="2" t="n">
        <v>1</v>
      </c>
      <c r="F3026" s="2" t="n">
        <v>65</v>
      </c>
      <c r="G3026" s="2" t="s">
        <v>566</v>
      </c>
      <c r="H3026" s="2" t="str">
        <f aca="false">IFERROR(__xludf.dummyfunction("IF(I3058="""", """", REGEXEXTRACT(I3058, ""Padrao/([^/]+)""))"),"Residencial Florida")</f>
        <v>Residencial Florida</v>
      </c>
    </row>
    <row r="3027" customFormat="false" ht="15.75" hidden="false" customHeight="false" outlineLevel="0" collapsed="false">
      <c r="A3027" s="2" t="n">
        <v>101135</v>
      </c>
      <c r="B3027" s="2" t="s">
        <v>386</v>
      </c>
      <c r="C3027" s="2" t="n">
        <v>3</v>
      </c>
      <c r="D3027" s="2" t="n">
        <v>2</v>
      </c>
      <c r="E3027" s="2" t="n">
        <v>1</v>
      </c>
      <c r="F3027" s="2" t="n">
        <v>90</v>
      </c>
      <c r="G3027" s="2" t="s">
        <v>566</v>
      </c>
      <c r="H3027" s="2" t="str">
        <f aca="false">IFERROR(__xludf.dummyfunction("IF(I3059="""", """", REGEXEXTRACT(I3059, ""Padrao/([^/]+)""))"),"Residencial e Comercial Palmares")</f>
        <v>Residencial e Comercial Palmares</v>
      </c>
    </row>
    <row r="3028" customFormat="false" ht="15.75" hidden="false" customHeight="false" outlineLevel="0" collapsed="false">
      <c r="A3028" s="2" t="n">
        <v>100628</v>
      </c>
      <c r="B3028" s="2" t="s">
        <v>866</v>
      </c>
      <c r="C3028" s="2" t="n">
        <v>2</v>
      </c>
      <c r="D3028" s="2" t="n">
        <v>2</v>
      </c>
      <c r="E3028" s="2" t="n">
        <v>1</v>
      </c>
      <c r="F3028" s="2" t="n">
        <v>73</v>
      </c>
      <c r="G3028" s="2" t="s">
        <v>566</v>
      </c>
      <c r="H3028" s="2" t="str">
        <f aca="false">IFERROR(__xludf.dummyfunction("IF(I3060="""", """", REGEXEXTRACT(I3060, ""Padrao/([^/]+)""))"),"Vila Monte Alegre")</f>
        <v>Vila Monte Alegre</v>
      </c>
    </row>
    <row r="3029" customFormat="false" ht="15.75" hidden="false" customHeight="false" outlineLevel="0" collapsed="false">
      <c r="A3029" s="2" t="n">
        <v>100421</v>
      </c>
      <c r="B3029" s="2" t="s">
        <v>2455</v>
      </c>
      <c r="C3029" s="2" t="n">
        <v>1</v>
      </c>
      <c r="D3029" s="2" t="n">
        <v>1</v>
      </c>
      <c r="E3029" s="2" t="n">
        <v>1</v>
      </c>
      <c r="F3029" s="2" t="n">
        <v>48</v>
      </c>
      <c r="G3029" s="2" t="s">
        <v>566</v>
      </c>
      <c r="H3029" s="2" t="str">
        <f aca="false">IFERROR(__xludf.dummyfunction("IF(I3061="""", """", REGEXEXTRACT(I3061, ""Padrao/([^/]+)""))"),"Nova Alianca")</f>
        <v>Nova Alianca</v>
      </c>
    </row>
    <row r="3030" customFormat="false" ht="15.75" hidden="false" customHeight="false" outlineLevel="0" collapsed="false">
      <c r="A3030" s="2" t="n">
        <v>96938</v>
      </c>
      <c r="B3030" s="2" t="s">
        <v>900</v>
      </c>
      <c r="C3030" s="2" t="n">
        <v>2</v>
      </c>
      <c r="D3030" s="2" t="n">
        <v>2</v>
      </c>
      <c r="E3030" s="2" t="n">
        <v>2</v>
      </c>
      <c r="F3030" s="2" t="n">
        <v>63</v>
      </c>
      <c r="G3030" s="2" t="s">
        <v>566</v>
      </c>
      <c r="H3030" s="2" t="str">
        <f aca="false">IFERROR(__xludf.dummyfunction("IF(I3062="""", """", REGEXEXTRACT(I3062, ""Padrao/([^/]+)""))"),"Jardim Novo Mundo")</f>
        <v>Jardim Novo Mundo</v>
      </c>
    </row>
    <row r="3031" customFormat="false" ht="15.75" hidden="false" customHeight="false" outlineLevel="0" collapsed="false">
      <c r="A3031" s="2" t="n">
        <v>96242</v>
      </c>
      <c r="B3031" s="2" t="s">
        <v>2456</v>
      </c>
      <c r="C3031" s="2" t="n">
        <v>3</v>
      </c>
      <c r="D3031" s="2" t="n">
        <v>2</v>
      </c>
      <c r="E3031" s="2" t="n">
        <v>2</v>
      </c>
      <c r="F3031" s="2" t="n">
        <v>78</v>
      </c>
      <c r="G3031" s="2" t="s">
        <v>566</v>
      </c>
      <c r="H3031" s="2" t="str">
        <f aca="false">IFERROR(__xludf.dummyfunction("IF(I3063="""", """", REGEXEXTRACT(I3063, ""Padrao/([^/]+)""))"),"Residencial Florida")</f>
        <v>Residencial Florida</v>
      </c>
    </row>
    <row r="3032" customFormat="false" ht="15.75" hidden="false" customHeight="false" outlineLevel="0" collapsed="false">
      <c r="A3032" s="2" t="n">
        <v>94553</v>
      </c>
      <c r="B3032" s="2" t="s">
        <v>2457</v>
      </c>
      <c r="C3032" s="2" t="n">
        <v>1</v>
      </c>
      <c r="D3032" s="2" t="n">
        <v>1</v>
      </c>
      <c r="E3032" s="2" t="n">
        <v>1</v>
      </c>
      <c r="F3032" s="2" t="n">
        <v>29</v>
      </c>
      <c r="G3032" s="2" t="s">
        <v>566</v>
      </c>
      <c r="H3032" s="2" t="str">
        <f aca="false">IFERROR(__xludf.dummyfunction("IF(I3064="""", """", REGEXEXTRACT(I3064, ""Padrao/([^/]+)""))"),"Vila Amelia")</f>
        <v>Vila Amelia</v>
      </c>
    </row>
    <row r="3033" customFormat="false" ht="15.75" hidden="false" customHeight="false" outlineLevel="0" collapsed="false">
      <c r="A3033" s="2" t="n">
        <v>94265</v>
      </c>
      <c r="B3033" s="2" t="s">
        <v>2458</v>
      </c>
      <c r="C3033" s="2" t="n">
        <v>3</v>
      </c>
      <c r="D3033" s="2" t="n">
        <v>2</v>
      </c>
      <c r="E3033" s="2" t="n">
        <v>1</v>
      </c>
      <c r="F3033" s="2" t="n">
        <v>115</v>
      </c>
      <c r="G3033" s="2" t="s">
        <v>566</v>
      </c>
      <c r="H3033" s="2" t="str">
        <f aca="false">IFERROR(__xludf.dummyfunction("IF(I3065="""", """", REGEXEXTRACT(I3065, ""Padrao/([^/]+)""))"),"Centro")</f>
        <v>Centro</v>
      </c>
    </row>
    <row r="3034" customFormat="false" ht="15.75" hidden="false" customHeight="false" outlineLevel="0" collapsed="false">
      <c r="A3034" s="2" t="n">
        <v>93353</v>
      </c>
      <c r="B3034" s="2" t="s">
        <v>2459</v>
      </c>
      <c r="C3034" s="2" t="n">
        <v>3</v>
      </c>
      <c r="D3034" s="2" t="n">
        <v>2</v>
      </c>
      <c r="E3034" s="2" t="n">
        <v>1</v>
      </c>
      <c r="F3034" s="2" t="n">
        <v>65</v>
      </c>
      <c r="G3034" s="2" t="s">
        <v>566</v>
      </c>
      <c r="H3034" s="2" t="str">
        <f aca="false">IFERROR(__xludf.dummyfunction("IF(I3066="""", """", REGEXEXTRACT(I3066, ""Padrao/([^/]+)""))"),"Residencial Florida")</f>
        <v>Residencial Florida</v>
      </c>
    </row>
    <row r="3035" customFormat="false" ht="15.75" hidden="false" customHeight="false" outlineLevel="0" collapsed="false">
      <c r="A3035" s="2" t="n">
        <v>92117</v>
      </c>
      <c r="B3035" s="2" t="s">
        <v>2460</v>
      </c>
      <c r="C3035" s="2" t="n">
        <v>2</v>
      </c>
      <c r="D3035" s="2" t="n">
        <v>2</v>
      </c>
      <c r="E3035" s="2" t="n">
        <v>1</v>
      </c>
      <c r="F3035" s="2" t="n">
        <v>60</v>
      </c>
      <c r="G3035" s="2" t="s">
        <v>566</v>
      </c>
      <c r="H3035" s="2" t="str">
        <f aca="false">IFERROR(__xludf.dummyfunction("IF(I3067="""", """", REGEXEXTRACT(I3067, ""Padrao/([^/]+)""))"),"Jardim California")</f>
        <v>Jardim California</v>
      </c>
    </row>
    <row r="3036" customFormat="false" ht="15.75" hidden="false" customHeight="false" outlineLevel="0" collapsed="false">
      <c r="A3036" s="2" t="n">
        <v>89852</v>
      </c>
      <c r="B3036" s="2" t="s">
        <v>2461</v>
      </c>
      <c r="C3036" s="2" t="n">
        <v>2</v>
      </c>
      <c r="D3036" s="2" t="n">
        <v>1</v>
      </c>
      <c r="E3036" s="2" t="n">
        <v>1</v>
      </c>
      <c r="F3036" s="2" t="n">
        <v>62</v>
      </c>
      <c r="G3036" s="2" t="s">
        <v>566</v>
      </c>
      <c r="H3036" s="2" t="str">
        <f aca="false">IFERROR(__xludf.dummyfunction("IF(I3068="""", """", REGEXEXTRACT(I3068, ""Padrao/([^/]+)""))"),"Planalto Verde")</f>
        <v>Planalto Verde</v>
      </c>
    </row>
    <row r="3037" customFormat="false" ht="15.75" hidden="false" customHeight="false" outlineLevel="0" collapsed="false">
      <c r="A3037" s="2" t="n">
        <v>75248</v>
      </c>
      <c r="B3037" s="2" t="s">
        <v>2462</v>
      </c>
      <c r="C3037" s="2" t="n">
        <v>3</v>
      </c>
      <c r="D3037" s="2" t="n">
        <v>1</v>
      </c>
      <c r="E3037" s="2" t="n">
        <v>1</v>
      </c>
      <c r="F3037" s="2" t="n">
        <v>64</v>
      </c>
      <c r="G3037" s="2" t="s">
        <v>566</v>
      </c>
      <c r="H3037" s="2" t="str">
        <f aca="false">IFERROR(__xludf.dummyfunction("IF(I3069="""", """", REGEXEXTRACT(I3069, ""Padrao/([^/]+)""))"),"Jardim Palma Travassos")</f>
        <v>Jardim Palma Travassos</v>
      </c>
    </row>
    <row r="3038" customFormat="false" ht="15.75" hidden="false" customHeight="false" outlineLevel="0" collapsed="false">
      <c r="A3038" s="2" t="n">
        <v>73832</v>
      </c>
      <c r="B3038" s="2" t="s">
        <v>2463</v>
      </c>
      <c r="C3038" s="2" t="n">
        <v>2</v>
      </c>
      <c r="D3038" s="2" t="n">
        <v>1</v>
      </c>
      <c r="E3038" s="2" t="n">
        <v>1</v>
      </c>
      <c r="F3038" s="2" t="n">
        <v>60</v>
      </c>
      <c r="G3038" s="2" t="s">
        <v>566</v>
      </c>
      <c r="H3038" s="2" t="str">
        <f aca="false">IFERROR(__xludf.dummyfunction("IF(I3070="""", """", REGEXEXTRACT(I3070, ""Padrao/([^/]+)""))"),"Alto do Ipiranga")</f>
        <v>Alto do Ipiranga</v>
      </c>
    </row>
    <row r="3039" customFormat="false" ht="15.75" hidden="false" customHeight="false" outlineLevel="0" collapsed="false">
      <c r="A3039" s="2" t="n">
        <v>70424</v>
      </c>
      <c r="B3039" s="2" t="s">
        <v>162</v>
      </c>
      <c r="C3039" s="2" t="n">
        <v>1</v>
      </c>
      <c r="D3039" s="2" t="n">
        <v>2</v>
      </c>
      <c r="E3039" s="2" t="n">
        <v>1</v>
      </c>
      <c r="F3039" s="2" t="n">
        <v>46</v>
      </c>
      <c r="G3039" s="2" t="s">
        <v>566</v>
      </c>
      <c r="H3039" s="2" t="str">
        <f aca="false">IFERROR(__xludf.dummyfunction("IF(I3072="""", """", REGEXEXTRACT(I3072, ""Padrao/([^/]+)""))"),"Jardim Botanico")</f>
        <v>Jardim Botanico</v>
      </c>
    </row>
    <row r="3040" customFormat="false" ht="15.75" hidden="false" customHeight="false" outlineLevel="0" collapsed="false">
      <c r="A3040" s="2" t="n">
        <v>66089</v>
      </c>
      <c r="B3040" s="2" t="s">
        <v>2464</v>
      </c>
      <c r="C3040" s="2" t="n">
        <v>3</v>
      </c>
      <c r="D3040" s="2" t="n">
        <v>1</v>
      </c>
      <c r="E3040" s="2" t="n">
        <v>1</v>
      </c>
      <c r="F3040" s="2" t="n">
        <v>102</v>
      </c>
      <c r="G3040" s="2" t="s">
        <v>566</v>
      </c>
      <c r="H3040" s="2" t="str">
        <f aca="false">IFERROR(__xludf.dummyfunction("IF(I3073="""", """", REGEXEXTRACT(I3073, ""Padrao/([^/]+)""))"),"Jardim Paulista")</f>
        <v>Jardim Paulista</v>
      </c>
    </row>
    <row r="3041" customFormat="false" ht="15.75" hidden="false" customHeight="false" outlineLevel="0" collapsed="false">
      <c r="A3041" s="2" t="n">
        <v>63641</v>
      </c>
      <c r="B3041" s="2" t="s">
        <v>2465</v>
      </c>
      <c r="C3041" s="2" t="n">
        <v>3</v>
      </c>
      <c r="D3041" s="2" t="n">
        <v>2</v>
      </c>
      <c r="E3041" s="2" t="n">
        <v>1</v>
      </c>
      <c r="F3041" s="2" t="n">
        <v>65</v>
      </c>
      <c r="G3041" s="2" t="s">
        <v>566</v>
      </c>
      <c r="H3041" s="2" t="str">
        <f aca="false">IFERROR(__xludf.dummyfunction("IF(I3074="""", """", REGEXEXTRACT(I3074, ""Padrao/([^/]+)""))"),"Jardim Palma Travassos")</f>
        <v>Jardim Palma Travassos</v>
      </c>
    </row>
    <row r="3042" customFormat="false" ht="15.75" hidden="false" customHeight="false" outlineLevel="0" collapsed="false">
      <c r="A3042" s="2" t="n">
        <v>26993</v>
      </c>
      <c r="B3042" s="2" t="s">
        <v>2466</v>
      </c>
      <c r="C3042" s="2" t="n">
        <v>3</v>
      </c>
      <c r="D3042" s="2" t="n">
        <v>2</v>
      </c>
      <c r="E3042" s="2" t="n">
        <v>1</v>
      </c>
      <c r="F3042" s="2" t="n">
        <v>86</v>
      </c>
      <c r="G3042" s="2" t="s">
        <v>566</v>
      </c>
      <c r="H3042" s="2" t="str">
        <f aca="false">IFERROR(__xludf.dummyfunction("IF(I3075="""", """", REGEXEXTRACT(I3075, ""Padrao/([^/]+)""))"),"Jardim Paulistano")</f>
        <v>Jardim Paulistano</v>
      </c>
    </row>
    <row r="3043" customFormat="false" ht="15.75" hidden="false" customHeight="false" outlineLevel="0" collapsed="false">
      <c r="A3043" s="2" t="n">
        <v>163211</v>
      </c>
      <c r="B3043" s="2" t="s">
        <v>2467</v>
      </c>
      <c r="C3043" s="2" t="n">
        <v>2</v>
      </c>
      <c r="D3043" s="2" t="n">
        <v>1</v>
      </c>
      <c r="E3043" s="2" t="n">
        <v>1</v>
      </c>
      <c r="F3043" s="2" t="n">
        <v>53</v>
      </c>
      <c r="G3043" s="2" t="s">
        <v>2468</v>
      </c>
      <c r="H3043" s="2" t="str">
        <f aca="false">IFERROR(__xludf.dummyfunction("IF(I3076="""", """", REGEXEXTRACT(I3076, ""Padrao/([^/]+)""))"),"Parque Sao Sebastiao")</f>
        <v>Parque Sao Sebastiao</v>
      </c>
    </row>
    <row r="3044" customFormat="false" ht="15.75" hidden="false" customHeight="false" outlineLevel="0" collapsed="false">
      <c r="A3044" s="2" t="n">
        <v>126635</v>
      </c>
      <c r="B3044" s="2" t="s">
        <v>2335</v>
      </c>
      <c r="C3044" s="2" t="n">
        <v>1</v>
      </c>
      <c r="D3044" s="2" t="n">
        <v>1</v>
      </c>
      <c r="E3044" s="2" t="n">
        <v>1</v>
      </c>
      <c r="F3044" s="2" t="n">
        <v>36</v>
      </c>
      <c r="G3044" s="2" t="s">
        <v>2469</v>
      </c>
      <c r="H3044" s="2" t="str">
        <f aca="false">IFERROR(__xludf.dummyfunction("IF(I3077="""", """", REGEXEXTRACT(I3077, ""Padrao/([^/]+)""))"),"Residencial Florida")</f>
        <v>Residencial Florida</v>
      </c>
    </row>
    <row r="3045" customFormat="false" ht="15.75" hidden="false" customHeight="false" outlineLevel="0" collapsed="false">
      <c r="A3045" s="2" t="n">
        <v>209918</v>
      </c>
      <c r="B3045" s="2" t="s">
        <v>2470</v>
      </c>
      <c r="C3045" s="2" t="n">
        <v>1</v>
      </c>
      <c r="D3045" s="2" t="n">
        <v>1</v>
      </c>
      <c r="E3045" s="2" t="n">
        <v>1</v>
      </c>
      <c r="F3045" s="2" t="n">
        <v>38</v>
      </c>
      <c r="G3045" s="2" t="s">
        <v>531</v>
      </c>
      <c r="H3045" s="2" t="str">
        <f aca="false">IFERROR(__xludf.dummyfunction("IF(I3078="""", """", REGEXEXTRACT(I3078, ""Padrao/([^/]+)""))"),"Jardim California")</f>
        <v>Jardim California</v>
      </c>
    </row>
    <row r="3046" customFormat="false" ht="15.75" hidden="false" customHeight="false" outlineLevel="0" collapsed="false">
      <c r="A3046" s="2" t="n">
        <v>219053</v>
      </c>
      <c r="B3046" s="2" t="s">
        <v>2314</v>
      </c>
      <c r="C3046" s="2" t="n">
        <v>2</v>
      </c>
      <c r="D3046" s="2" t="n">
        <v>1</v>
      </c>
      <c r="E3046" s="2" t="n">
        <v>1</v>
      </c>
      <c r="F3046" s="2" t="n">
        <v>51</v>
      </c>
      <c r="G3046" s="2" t="s">
        <v>537</v>
      </c>
      <c r="H3046" s="2" t="str">
        <f aca="false">IFERROR(__xludf.dummyfunction("IF(I3079="""", """", REGEXEXTRACT(I3079, ""Padrao/([^/]+)""))"),"Jardim Novo Mundo")</f>
        <v>Jardim Novo Mundo</v>
      </c>
    </row>
    <row r="3047" customFormat="false" ht="15.75" hidden="false" customHeight="false" outlineLevel="0" collapsed="false">
      <c r="A3047" s="2" t="n">
        <v>71657</v>
      </c>
      <c r="B3047" s="2" t="s">
        <v>2220</v>
      </c>
      <c r="C3047" s="2" t="n">
        <v>1</v>
      </c>
      <c r="D3047" s="2" t="n">
        <v>2</v>
      </c>
      <c r="E3047" s="2" t="n">
        <v>1</v>
      </c>
      <c r="F3047" s="2" t="n">
        <v>43</v>
      </c>
      <c r="G3047" s="2" t="s">
        <v>537</v>
      </c>
      <c r="H3047" s="2" t="str">
        <f aca="false">IFERROR(__xludf.dummyfunction("IF(I3080="""", """", REGEXEXTRACT(I3080, ""Padrao/([^/]+)""))"),"Vila Ana Maria")</f>
        <v>Vila Ana Maria</v>
      </c>
    </row>
    <row r="3048" customFormat="false" ht="15.75" hidden="false" customHeight="false" outlineLevel="0" collapsed="false">
      <c r="A3048" s="2" t="n">
        <v>182948</v>
      </c>
      <c r="B3048" s="2" t="s">
        <v>162</v>
      </c>
      <c r="C3048" s="2" t="n">
        <v>3</v>
      </c>
      <c r="D3048" s="2" t="n">
        <v>2</v>
      </c>
      <c r="E3048" s="2" t="n">
        <v>1</v>
      </c>
      <c r="F3048" s="2" t="n">
        <v>86</v>
      </c>
      <c r="G3048" s="2" t="s">
        <v>564</v>
      </c>
      <c r="H3048" s="2" t="str">
        <f aca="false">IFERROR(__xludf.dummyfunction("IF(I3081="""", """", REGEXEXTRACT(I3081, ""Padrao/([^/]+)""))"),"Residencial e Comercial Palmares")</f>
        <v>Residencial e Comercial Palmares</v>
      </c>
    </row>
    <row r="3049" customFormat="false" ht="15.75" hidden="false" customHeight="false" outlineLevel="0" collapsed="false">
      <c r="A3049" s="2" t="n">
        <v>159920</v>
      </c>
      <c r="B3049" s="2" t="s">
        <v>2471</v>
      </c>
      <c r="C3049" s="2" t="n">
        <v>2</v>
      </c>
      <c r="D3049" s="2" t="n">
        <v>1</v>
      </c>
      <c r="E3049" s="2" t="n">
        <v>1</v>
      </c>
      <c r="F3049" s="2" t="n">
        <v>56</v>
      </c>
      <c r="G3049" s="2" t="s">
        <v>1513</v>
      </c>
      <c r="H3049" s="2" t="str">
        <f aca="false">IFERROR(__xludf.dummyfunction("IF(I3082="""", """", REGEXEXTRACT(I3082, ""Padrao/([^/]+)""))"),"Parque Sao Sebastiao")</f>
        <v>Parque Sao Sebastiao</v>
      </c>
    </row>
    <row r="3050" customFormat="false" ht="15.75" hidden="false" customHeight="false" outlineLevel="0" collapsed="false">
      <c r="A3050" s="2" t="n">
        <v>156551</v>
      </c>
      <c r="B3050" s="2" t="s">
        <v>2472</v>
      </c>
      <c r="C3050" s="2" t="n">
        <v>3</v>
      </c>
      <c r="D3050" s="2" t="n">
        <v>1</v>
      </c>
      <c r="E3050" s="2" t="n">
        <v>1</v>
      </c>
      <c r="F3050" s="2" t="n">
        <v>83</v>
      </c>
      <c r="G3050" s="2" t="s">
        <v>1513</v>
      </c>
      <c r="H3050" s="2" t="str">
        <f aca="false">IFERROR(__xludf.dummyfunction("IF(I3083="""", """", REGEXEXTRACT(I3083, ""Padrao/([^/]+)""))"),"Presidente Medici")</f>
        <v>Presidente Medici</v>
      </c>
    </row>
    <row r="3051" customFormat="false" ht="15.75" hidden="false" customHeight="false" outlineLevel="0" collapsed="false">
      <c r="A3051" s="2" t="n">
        <v>99524</v>
      </c>
      <c r="B3051" s="2" t="s">
        <v>2340</v>
      </c>
      <c r="C3051" s="2" t="n">
        <v>2</v>
      </c>
      <c r="D3051" s="2" t="n">
        <v>1</v>
      </c>
      <c r="E3051" s="2" t="n">
        <v>1</v>
      </c>
      <c r="F3051" s="2" t="n">
        <v>56</v>
      </c>
      <c r="G3051" s="2" t="s">
        <v>2473</v>
      </c>
      <c r="H3051" s="2" t="str">
        <f aca="false">IFERROR(__xludf.dummyfunction("IF(I3084="""", """", REGEXEXTRACT(I3084, ""Padrao/([^/]+)""))"),"Parque Sao Sebastiao")</f>
        <v>Parque Sao Sebastiao</v>
      </c>
    </row>
    <row r="3052" customFormat="false" ht="15.75" hidden="false" customHeight="false" outlineLevel="0" collapsed="false">
      <c r="A3052" s="2" t="n">
        <v>192308</v>
      </c>
      <c r="B3052" s="2" t="s">
        <v>2474</v>
      </c>
      <c r="C3052" s="2" t="n">
        <v>2</v>
      </c>
      <c r="D3052" s="2" t="n">
        <v>1</v>
      </c>
      <c r="E3052" s="2" t="n">
        <v>1</v>
      </c>
      <c r="F3052" s="2" t="n">
        <v>50</v>
      </c>
      <c r="G3052" s="2" t="s">
        <v>2407</v>
      </c>
      <c r="H3052" s="2" t="str">
        <f aca="false">IFERROR(__xludf.dummyfunction("IF(I3085="""", """", REGEXEXTRACT(I3085, ""Padrao/([^/]+)""))"),"Jardim Anhanguera")</f>
        <v>Jardim Anhanguera</v>
      </c>
    </row>
    <row r="3053" customFormat="false" ht="15.75" hidden="false" customHeight="false" outlineLevel="0" collapsed="false">
      <c r="A3053" s="2" t="n">
        <v>241538</v>
      </c>
      <c r="B3053" s="2" t="s">
        <v>2475</v>
      </c>
      <c r="C3053" s="2" t="n">
        <v>3</v>
      </c>
      <c r="D3053" s="2" t="n">
        <v>2</v>
      </c>
      <c r="E3053" s="2" t="n">
        <v>1</v>
      </c>
      <c r="F3053" s="2" t="n">
        <v>74</v>
      </c>
      <c r="G3053" s="2" t="s">
        <v>573</v>
      </c>
      <c r="H3053" s="2" t="str">
        <f aca="false">IFERROR(__xludf.dummyfunction("IF(I3086="""", """", REGEXEXTRACT(I3086, ""Padrao/([^/]+)""))"),"Parque dos Bandeirantes")</f>
        <v>Parque dos Bandeirantes</v>
      </c>
    </row>
    <row r="3054" customFormat="false" ht="15.75" hidden="false" customHeight="false" outlineLevel="0" collapsed="false">
      <c r="A3054" s="2" t="n">
        <v>238721</v>
      </c>
      <c r="B3054" s="2" t="s">
        <v>2476</v>
      </c>
      <c r="C3054" s="2" t="n">
        <v>2</v>
      </c>
      <c r="D3054" s="2" t="n">
        <v>1</v>
      </c>
      <c r="E3054" s="2" t="n">
        <v>1</v>
      </c>
      <c r="F3054" s="2" t="n">
        <v>48</v>
      </c>
      <c r="G3054" s="2" t="s">
        <v>573</v>
      </c>
      <c r="H3054" s="2" t="str">
        <f aca="false">IFERROR(__xludf.dummyfunction("IF(I3087="""", """", REGEXEXTRACT(I3087, ""Padrao/([^/]+)""))"),"Residencial Jequitiba")</f>
        <v>Residencial Jequitiba</v>
      </c>
    </row>
    <row r="3055" customFormat="false" ht="15.75" hidden="false" customHeight="false" outlineLevel="0" collapsed="false">
      <c r="A3055" s="2" t="n">
        <v>232505</v>
      </c>
      <c r="B3055" s="2" t="s">
        <v>2477</v>
      </c>
      <c r="C3055" s="2" t="n">
        <v>2</v>
      </c>
      <c r="D3055" s="2" t="n">
        <v>1</v>
      </c>
      <c r="E3055" s="2" t="n">
        <v>1</v>
      </c>
      <c r="F3055" s="2" t="n">
        <v>40</v>
      </c>
      <c r="G3055" s="2" t="s">
        <v>573</v>
      </c>
      <c r="H3055" s="2" t="str">
        <f aca="false">IFERROR(__xludf.dummyfunction("IF(I3088="""", """", REGEXEXTRACT(I3088, ""Padrao/([^/]+)""))"),"Recreio das Acacias")</f>
        <v>Recreio das Acacias</v>
      </c>
    </row>
    <row r="3056" customFormat="false" ht="15.75" hidden="false" customHeight="false" outlineLevel="0" collapsed="false">
      <c r="A3056" s="2" t="n">
        <v>232184</v>
      </c>
      <c r="B3056" s="2" t="s">
        <v>2478</v>
      </c>
      <c r="C3056" s="2" t="n">
        <v>2</v>
      </c>
      <c r="D3056" s="2" t="n">
        <v>1</v>
      </c>
      <c r="E3056" s="2" t="n">
        <v>1</v>
      </c>
      <c r="F3056" s="2" t="n">
        <v>45</v>
      </c>
      <c r="G3056" s="2" t="s">
        <v>573</v>
      </c>
      <c r="H3056" s="2" t="str">
        <f aca="false">IFERROR(__xludf.dummyfunction("IF(I3089="""", """", REGEXEXTRACT(I3089, ""Padrao/([^/]+)""))"),"Nova Alianca")</f>
        <v>Nova Alianca</v>
      </c>
    </row>
    <row r="3057" customFormat="false" ht="15.75" hidden="false" customHeight="false" outlineLevel="0" collapsed="false">
      <c r="A3057" s="2" t="n">
        <v>230303</v>
      </c>
      <c r="B3057" s="2" t="s">
        <v>2479</v>
      </c>
      <c r="C3057" s="2" t="n">
        <v>2</v>
      </c>
      <c r="D3057" s="2" t="n">
        <v>1</v>
      </c>
      <c r="E3057" s="2" t="n">
        <v>2</v>
      </c>
      <c r="F3057" s="2" t="n">
        <v>46</v>
      </c>
      <c r="G3057" s="2" t="s">
        <v>573</v>
      </c>
      <c r="H3057" s="2" t="str">
        <f aca="false">IFERROR(__xludf.dummyfunction("IF(I3090="""", """", REGEXEXTRACT(I3090, ""Padrao/([^/]+)""))"),"Jardim Manoel Penna")</f>
        <v>Jardim Manoel Penna</v>
      </c>
    </row>
    <row r="3058" customFormat="false" ht="15.75" hidden="false" customHeight="false" outlineLevel="0" collapsed="false">
      <c r="A3058" s="2" t="n">
        <v>214307</v>
      </c>
      <c r="B3058" s="2" t="s">
        <v>2369</v>
      </c>
      <c r="C3058" s="2" t="n">
        <v>2</v>
      </c>
      <c r="D3058" s="2" t="n">
        <v>1</v>
      </c>
      <c r="E3058" s="2" t="n">
        <v>1</v>
      </c>
      <c r="F3058" s="2" t="n">
        <v>46</v>
      </c>
      <c r="G3058" s="2" t="s">
        <v>573</v>
      </c>
      <c r="H3058" s="2" t="str">
        <f aca="false">IFERROR(__xludf.dummyfunction("IF(I3091="""", """", REGEXEXTRACT(I3091, ""Padrao/([^/]+)""))"),"Loteamento Santa Marta")</f>
        <v>Loteamento Santa Marta</v>
      </c>
    </row>
    <row r="3059" customFormat="false" ht="15.75" hidden="false" customHeight="false" outlineLevel="0" collapsed="false">
      <c r="A3059" s="2" t="n">
        <v>203492</v>
      </c>
      <c r="B3059" s="2" t="s">
        <v>2480</v>
      </c>
      <c r="C3059" s="2" t="n">
        <v>3</v>
      </c>
      <c r="D3059" s="2" t="n">
        <v>2</v>
      </c>
      <c r="E3059" s="2" t="n">
        <v>1</v>
      </c>
      <c r="F3059" s="2" t="n">
        <v>115</v>
      </c>
      <c r="G3059" s="2" t="s">
        <v>573</v>
      </c>
      <c r="H3059" s="2" t="str">
        <f aca="false">IFERROR(__xludf.dummyfunction("IF(I3092="""", """", REGEXEXTRACT(I3092, ""Padrao/([^/]+)""))"),"Jardim Novo Mundo")</f>
        <v>Jardim Novo Mundo</v>
      </c>
    </row>
    <row r="3060" customFormat="false" ht="15.75" hidden="false" customHeight="false" outlineLevel="0" collapsed="false">
      <c r="A3060" s="2" t="n">
        <v>201827</v>
      </c>
      <c r="B3060" s="2" t="s">
        <v>1010</v>
      </c>
      <c r="C3060" s="2" t="n">
        <v>2</v>
      </c>
      <c r="D3060" s="2" t="n">
        <v>1</v>
      </c>
      <c r="E3060" s="2" t="n">
        <v>1</v>
      </c>
      <c r="F3060" s="2" t="n">
        <v>46</v>
      </c>
      <c r="G3060" s="2" t="s">
        <v>573</v>
      </c>
      <c r="H3060" s="2" t="str">
        <f aca="false">IFERROR(__xludf.dummyfunction("IF(I3093="""", """", REGEXEXTRACT(I3093, ""Padrao/([^/]+)""))"),"Jardim Manoel Penna")</f>
        <v>Jardim Manoel Penna</v>
      </c>
    </row>
    <row r="3061" customFormat="false" ht="15.75" hidden="false" customHeight="false" outlineLevel="0" collapsed="false">
      <c r="A3061" s="2" t="n">
        <v>193442</v>
      </c>
      <c r="B3061" s="2" t="s">
        <v>2481</v>
      </c>
      <c r="C3061" s="2" t="n">
        <v>2</v>
      </c>
      <c r="D3061" s="2" t="n">
        <v>1</v>
      </c>
      <c r="E3061" s="2" t="n">
        <v>1</v>
      </c>
      <c r="F3061" s="2" t="n">
        <v>56</v>
      </c>
      <c r="G3061" s="2" t="s">
        <v>573</v>
      </c>
      <c r="H3061" s="2" t="str">
        <f aca="false">IFERROR(__xludf.dummyfunction("IF(I3094="""", """", REGEXEXTRACT(I3094, ""Padrao/([^/]+)""))"),"Vila Amelia")</f>
        <v>Vila Amelia</v>
      </c>
    </row>
    <row r="3062" customFormat="false" ht="15.75" hidden="false" customHeight="false" outlineLevel="0" collapsed="false">
      <c r="A3062" s="2" t="n">
        <v>193013</v>
      </c>
      <c r="B3062" s="2" t="s">
        <v>2187</v>
      </c>
      <c r="C3062" s="2" t="n">
        <v>2</v>
      </c>
      <c r="D3062" s="2" t="n">
        <v>1</v>
      </c>
      <c r="E3062" s="2" t="n">
        <v>1</v>
      </c>
      <c r="F3062" s="2" t="n">
        <v>47</v>
      </c>
      <c r="G3062" s="2" t="s">
        <v>573</v>
      </c>
      <c r="H3062" s="2" t="str">
        <f aca="false">IFERROR(__xludf.dummyfunction("IF(I3095="""", """", REGEXEXTRACT(I3095, ""Padrao/([^/]+)""))"),"City Ribeirao")</f>
        <v>City Ribeirao</v>
      </c>
    </row>
    <row r="3063" customFormat="false" ht="15.75" hidden="false" customHeight="false" outlineLevel="0" collapsed="false">
      <c r="A3063" s="2" t="n">
        <v>187988</v>
      </c>
      <c r="B3063" s="2" t="s">
        <v>866</v>
      </c>
      <c r="C3063" s="2" t="n">
        <v>2</v>
      </c>
      <c r="D3063" s="2" t="n">
        <v>1</v>
      </c>
      <c r="E3063" s="2" t="n">
        <v>1</v>
      </c>
      <c r="F3063" s="2" t="n">
        <v>61</v>
      </c>
      <c r="G3063" s="2" t="s">
        <v>573</v>
      </c>
      <c r="H3063" s="2" t="str">
        <f aca="false">IFERROR(__xludf.dummyfunction("IF(I3096="""", """", REGEXEXTRACT(I3096, ""Padrao/([^/]+)""))"),"Vila Monte Alegre")</f>
        <v>Vila Monte Alegre</v>
      </c>
    </row>
    <row r="3064" customFormat="false" ht="15.75" hidden="false" customHeight="false" outlineLevel="0" collapsed="false">
      <c r="A3064" s="2" t="n">
        <v>187985</v>
      </c>
      <c r="B3064" s="2" t="s">
        <v>866</v>
      </c>
      <c r="C3064" s="2" t="n">
        <v>2</v>
      </c>
      <c r="D3064" s="2" t="n">
        <v>1</v>
      </c>
      <c r="E3064" s="2" t="n">
        <v>1</v>
      </c>
      <c r="F3064" s="2" t="n">
        <v>61</v>
      </c>
      <c r="G3064" s="2" t="s">
        <v>573</v>
      </c>
      <c r="H3064" s="2" t="str">
        <f aca="false">IFERROR(__xludf.dummyfunction("IF(I3097="""", """", REGEXEXTRACT(I3097, ""Padrao/([^/]+)""))"),"Vila Monte Alegre")</f>
        <v>Vila Monte Alegre</v>
      </c>
    </row>
    <row r="3065" customFormat="false" ht="15.75" hidden="false" customHeight="false" outlineLevel="0" collapsed="false">
      <c r="A3065" s="2" t="n">
        <v>187982</v>
      </c>
      <c r="B3065" s="2" t="s">
        <v>866</v>
      </c>
      <c r="C3065" s="2" t="n">
        <v>2</v>
      </c>
      <c r="D3065" s="2" t="n">
        <v>1</v>
      </c>
      <c r="E3065" s="2" t="n">
        <v>1</v>
      </c>
      <c r="F3065" s="2" t="n">
        <v>61</v>
      </c>
      <c r="G3065" s="2" t="s">
        <v>573</v>
      </c>
      <c r="H3065" s="2" t="str">
        <f aca="false">IFERROR(__xludf.dummyfunction("IF(I3098="""", """", REGEXEXTRACT(I3098, ""Padrao/([^/]+)""))"),"Vila Monte Alegre")</f>
        <v>Vila Monte Alegre</v>
      </c>
    </row>
    <row r="3066" customFormat="false" ht="15.75" hidden="false" customHeight="false" outlineLevel="0" collapsed="false">
      <c r="A3066" s="2" t="n">
        <v>159938</v>
      </c>
      <c r="B3066" s="2" t="s">
        <v>162</v>
      </c>
      <c r="C3066" s="2" t="n">
        <v>2</v>
      </c>
      <c r="D3066" s="2" t="n">
        <v>1</v>
      </c>
      <c r="E3066" s="2" t="n">
        <v>1</v>
      </c>
      <c r="F3066" s="2" t="n">
        <v>56</v>
      </c>
      <c r="G3066" s="2" t="s">
        <v>573</v>
      </c>
      <c r="H3066" s="2" t="str">
        <f aca="false">IFERROR(__xludf.dummyfunction("IF(I3099="""", """", REGEXEXTRACT(I3099, ""Padrao/([^/]+)""))"),"Parque Sao Sebastiao")</f>
        <v>Parque Sao Sebastiao</v>
      </c>
    </row>
    <row r="3067" customFormat="false" ht="15.75" hidden="false" customHeight="false" outlineLevel="0" collapsed="false">
      <c r="A3067" s="2" t="n">
        <v>157934</v>
      </c>
      <c r="B3067" s="2" t="s">
        <v>2482</v>
      </c>
      <c r="C3067" s="2" t="n">
        <v>3</v>
      </c>
      <c r="D3067" s="2" t="n">
        <v>2</v>
      </c>
      <c r="E3067" s="2" t="n">
        <v>1</v>
      </c>
      <c r="F3067" s="2" t="n">
        <v>65</v>
      </c>
      <c r="G3067" s="2" t="s">
        <v>573</v>
      </c>
      <c r="H3067" s="2" t="str">
        <f aca="false">IFERROR(__xludf.dummyfunction("IF(I3100="""", """", REGEXEXTRACT(I3100, ""Padrao/([^/]+)""))"),"Jardim Palma Travassos")</f>
        <v>Jardim Palma Travassos</v>
      </c>
    </row>
    <row r="3068" customFormat="false" ht="15.75" hidden="false" customHeight="false" outlineLevel="0" collapsed="false">
      <c r="A3068" s="2" t="n">
        <v>154430</v>
      </c>
      <c r="B3068" s="2" t="s">
        <v>2483</v>
      </c>
      <c r="C3068" s="2" t="n">
        <v>2</v>
      </c>
      <c r="D3068" s="2" t="n">
        <v>1</v>
      </c>
      <c r="E3068" s="2" t="n">
        <v>1</v>
      </c>
      <c r="F3068" s="2" t="n">
        <v>44</v>
      </c>
      <c r="G3068" s="2" t="s">
        <v>573</v>
      </c>
      <c r="H3068" s="2" t="str">
        <f aca="false">IFERROR(__xludf.dummyfunction("IF(I3101="""", """", REGEXEXTRACT(I3101, ""Padrao/([^/]+)""))"),"Quinta da Primavera")</f>
        <v>Quinta da Primavera</v>
      </c>
    </row>
    <row r="3069" customFormat="false" ht="15.75" hidden="false" customHeight="false" outlineLevel="0" collapsed="false">
      <c r="A3069" s="2" t="n">
        <v>136757</v>
      </c>
      <c r="B3069" s="2" t="s">
        <v>1270</v>
      </c>
      <c r="C3069" s="2" t="n">
        <v>2</v>
      </c>
      <c r="D3069" s="2" t="n">
        <v>1</v>
      </c>
      <c r="E3069" s="2" t="n">
        <v>1</v>
      </c>
      <c r="F3069" s="2" t="n">
        <v>46</v>
      </c>
      <c r="G3069" s="2" t="s">
        <v>573</v>
      </c>
      <c r="H3069" s="2" t="str">
        <f aca="false">IFERROR(__xludf.dummyfunction("IF(I3102="""", """", REGEXEXTRACT(I3102, ""Padrao/([^/]+)""))"),"Ribeirania")</f>
        <v>Ribeirania</v>
      </c>
    </row>
    <row r="3070" customFormat="false" ht="15.75" hidden="false" customHeight="false" outlineLevel="0" collapsed="false">
      <c r="A3070" s="2" t="n">
        <v>135578</v>
      </c>
      <c r="B3070" s="2" t="s">
        <v>2466</v>
      </c>
      <c r="C3070" s="2" t="n">
        <v>3</v>
      </c>
      <c r="D3070" s="2" t="n">
        <v>2</v>
      </c>
      <c r="E3070" s="2" t="n">
        <v>1</v>
      </c>
      <c r="F3070" s="2" t="n">
        <v>87</v>
      </c>
      <c r="G3070" s="2" t="s">
        <v>573</v>
      </c>
      <c r="H3070" s="2" t="str">
        <f aca="false">IFERROR(__xludf.dummyfunction("IF(I3103="""", """", REGEXEXTRACT(I3103, ""Padrao/([^/]+)""))"),"Jardim Paulistano")</f>
        <v>Jardim Paulistano</v>
      </c>
    </row>
    <row r="3071" customFormat="false" ht="15.75" hidden="false" customHeight="false" outlineLevel="0" collapsed="false">
      <c r="A3071" s="2" t="n">
        <v>134276</v>
      </c>
      <c r="B3071" s="2" t="s">
        <v>1060</v>
      </c>
      <c r="C3071" s="2" t="n">
        <v>3</v>
      </c>
      <c r="D3071" s="2" t="n">
        <v>2</v>
      </c>
      <c r="E3071" s="2" t="n">
        <v>1</v>
      </c>
      <c r="F3071" s="2" t="n">
        <v>66</v>
      </c>
      <c r="G3071" s="2" t="s">
        <v>573</v>
      </c>
      <c r="H3071" s="2" t="str">
        <f aca="false">IFERROR(__xludf.dummyfunction("IF(I3104="""", """", REGEXEXTRACT(I3104, ""Padrao/([^/]+)""))"),"Parque Industrial Lagoinha")</f>
        <v>Parque Industrial Lagoinha</v>
      </c>
    </row>
    <row r="3072" customFormat="false" ht="15.75" hidden="false" customHeight="false" outlineLevel="0" collapsed="false">
      <c r="A3072" s="2" t="n">
        <v>101270</v>
      </c>
      <c r="B3072" s="2" t="s">
        <v>162</v>
      </c>
      <c r="C3072" s="2" t="n">
        <v>2</v>
      </c>
      <c r="D3072" s="2" t="n">
        <v>2</v>
      </c>
      <c r="E3072" s="2" t="n">
        <v>1</v>
      </c>
      <c r="F3072" s="2" t="n">
        <v>65</v>
      </c>
      <c r="G3072" s="2" t="s">
        <v>573</v>
      </c>
      <c r="H3072" s="2" t="str">
        <f aca="false">IFERROR(__xludf.dummyfunction("IF(I3105="""", """", REGEXEXTRACT(I3105, ""Padrao/([^/]+)""))"),"Residencial Florida")</f>
        <v>Residencial Florida</v>
      </c>
    </row>
    <row r="3073" customFormat="false" ht="15.75" hidden="false" customHeight="false" outlineLevel="0" collapsed="false">
      <c r="A3073" s="2" t="n">
        <v>91313</v>
      </c>
      <c r="B3073" s="2" t="s">
        <v>2484</v>
      </c>
      <c r="C3073" s="2" t="n">
        <v>2</v>
      </c>
      <c r="D3073" s="2" t="n">
        <v>2</v>
      </c>
      <c r="E3073" s="2" t="n">
        <v>1</v>
      </c>
      <c r="F3073" s="2" t="n">
        <v>75</v>
      </c>
      <c r="G3073" s="2" t="s">
        <v>573</v>
      </c>
      <c r="H3073" s="2" t="str">
        <f aca="false">IFERROR(__xludf.dummyfunction("IF(I3106="""", """", REGEXEXTRACT(I3106, ""Padrao/([^/]+)""))"),"Vila Amelia")</f>
        <v>Vila Amelia</v>
      </c>
    </row>
    <row r="3074" customFormat="false" ht="15.75" hidden="false" customHeight="false" outlineLevel="0" collapsed="false">
      <c r="A3074" s="2" t="n">
        <v>88541</v>
      </c>
      <c r="B3074" s="2" t="s">
        <v>2485</v>
      </c>
      <c r="C3074" s="2" t="n">
        <v>1</v>
      </c>
      <c r="D3074" s="2" t="n">
        <v>1</v>
      </c>
      <c r="E3074" s="2" t="n">
        <v>1</v>
      </c>
      <c r="F3074" s="2" t="n">
        <v>45</v>
      </c>
      <c r="G3074" s="2" t="s">
        <v>573</v>
      </c>
      <c r="H3074" s="2" t="str">
        <f aca="false">IFERROR(__xludf.dummyfunction("IF(I3107="""", """", REGEXEXTRACT(I3107, ""Padrao/([^/]+)""))"),"Nova Alianca")</f>
        <v>Nova Alianca</v>
      </c>
    </row>
    <row r="3075" customFormat="false" ht="15.75" hidden="false" customHeight="false" outlineLevel="0" collapsed="false">
      <c r="A3075" s="2" t="n">
        <v>196226</v>
      </c>
      <c r="B3075" s="2" t="s">
        <v>2486</v>
      </c>
      <c r="C3075" s="2" t="n">
        <v>3</v>
      </c>
      <c r="D3075" s="2" t="n">
        <v>1</v>
      </c>
      <c r="E3075" s="2" t="n">
        <v>1</v>
      </c>
      <c r="F3075" s="2" t="n">
        <v>74</v>
      </c>
      <c r="G3075" s="2" t="s">
        <v>2487</v>
      </c>
      <c r="H3075" s="2" t="str">
        <f aca="false">IFERROR(__xludf.dummyfunction("IF(I3108="""", """", REGEXEXTRACT(I3108, ""Padrao/([^/]+)""))"),"Jardim Palma Travassos")</f>
        <v>Jardim Palma Travassos</v>
      </c>
    </row>
    <row r="3076" customFormat="false" ht="15.75" hidden="false" customHeight="false" outlineLevel="0" collapsed="false">
      <c r="A3076" s="2" t="n">
        <v>190769</v>
      </c>
      <c r="B3076" s="2" t="s">
        <v>2488</v>
      </c>
      <c r="C3076" s="2" t="n">
        <v>3</v>
      </c>
      <c r="D3076" s="2" t="n">
        <v>2</v>
      </c>
      <c r="E3076" s="2" t="n">
        <v>1</v>
      </c>
      <c r="F3076" s="2" t="n">
        <v>67</v>
      </c>
      <c r="G3076" s="2" t="s">
        <v>564</v>
      </c>
      <c r="H3076" s="2" t="str">
        <f aca="false">IFERROR(__xludf.dummyfunction("IF(I3109="""", """", REGEXEXTRACT(I3109, ""Padrao/([^/]+)""))"),"Parque Industrial Lagoinha")</f>
        <v>Parque Industrial Lagoinha</v>
      </c>
    </row>
    <row r="3077" customFormat="false" ht="15.75" hidden="false" customHeight="false" outlineLevel="0" collapsed="false">
      <c r="A3077" s="2" t="n">
        <v>226550</v>
      </c>
      <c r="B3077" s="2" t="s">
        <v>2489</v>
      </c>
      <c r="C3077" s="2" t="n">
        <v>2</v>
      </c>
      <c r="D3077" s="2" t="n">
        <v>1</v>
      </c>
      <c r="E3077" s="2" t="n">
        <v>1</v>
      </c>
      <c r="F3077" s="2" t="n">
        <v>54</v>
      </c>
      <c r="G3077" s="2" t="s">
        <v>2490</v>
      </c>
      <c r="H3077" s="2" t="str">
        <f aca="false">IFERROR(__xludf.dummyfunction("IF(I3110="""", """", REGEXEXTRACT(I3110, ""Padrao/([^/]+)""))"),"Parque Anhanguera")</f>
        <v>Parque Anhanguera</v>
      </c>
    </row>
    <row r="3078" customFormat="false" ht="15.75" hidden="false" customHeight="false" outlineLevel="0" collapsed="false">
      <c r="A3078" s="2" t="n">
        <v>203885</v>
      </c>
      <c r="B3078" s="2" t="s">
        <v>2491</v>
      </c>
      <c r="C3078" s="2" t="n">
        <v>2</v>
      </c>
      <c r="D3078" s="2" t="n">
        <v>1</v>
      </c>
      <c r="E3078" s="2" t="n">
        <v>1</v>
      </c>
      <c r="F3078" s="2" t="n">
        <v>49</v>
      </c>
      <c r="G3078" s="2" t="s">
        <v>2492</v>
      </c>
      <c r="H3078" s="2" t="str">
        <f aca="false">IFERROR(__xludf.dummyfunction("IF(I3111="""", """", REGEXEXTRACT(I3111, ""Padrao/([^/]+)""))"),"Jardim Novo Mundo")</f>
        <v>Jardim Novo Mundo</v>
      </c>
    </row>
    <row r="3079" customFormat="false" ht="15.75" hidden="false" customHeight="false" outlineLevel="0" collapsed="false">
      <c r="A3079" s="2" t="n">
        <v>203882</v>
      </c>
      <c r="B3079" s="2" t="s">
        <v>2491</v>
      </c>
      <c r="C3079" s="2" t="n">
        <v>2</v>
      </c>
      <c r="D3079" s="2" t="n">
        <v>1</v>
      </c>
      <c r="E3079" s="2" t="n">
        <v>1</v>
      </c>
      <c r="F3079" s="2" t="n">
        <v>49</v>
      </c>
      <c r="G3079" s="2" t="s">
        <v>2492</v>
      </c>
      <c r="H3079" s="2" t="str">
        <f aca="false">IFERROR(__xludf.dummyfunction("IF(I3112="""", """", REGEXEXTRACT(I3112, ""Padrao/([^/]+)""))"),"Jardim Novo Mundo")</f>
        <v>Jardim Novo Mundo</v>
      </c>
    </row>
    <row r="3080" customFormat="false" ht="15.75" hidden="false" customHeight="false" outlineLevel="0" collapsed="false">
      <c r="A3080" s="2" t="n">
        <v>136907</v>
      </c>
      <c r="B3080" s="2" t="s">
        <v>2493</v>
      </c>
      <c r="C3080" s="2" t="n">
        <v>2</v>
      </c>
      <c r="D3080" s="2" t="n">
        <v>1</v>
      </c>
      <c r="E3080" s="2" t="n">
        <v>1</v>
      </c>
      <c r="F3080" s="2" t="n">
        <v>54</v>
      </c>
      <c r="G3080" s="2" t="s">
        <v>2492</v>
      </c>
      <c r="H3080" s="2" t="str">
        <f aca="false">IFERROR(__xludf.dummyfunction("IF(I3113="""", """", REGEXEXTRACT(I3113, ""Padrao/([^/]+)""))"),"Jardim Novo Mundo")</f>
        <v>Jardim Novo Mundo</v>
      </c>
    </row>
    <row r="3081" customFormat="false" ht="15.75" hidden="false" customHeight="false" outlineLevel="0" collapsed="false">
      <c r="A3081" s="2" t="n">
        <v>147479</v>
      </c>
      <c r="B3081" s="2" t="s">
        <v>1429</v>
      </c>
      <c r="C3081" s="2" t="n">
        <v>2</v>
      </c>
      <c r="D3081" s="2" t="n">
        <v>1</v>
      </c>
      <c r="E3081" s="2" t="n">
        <v>1</v>
      </c>
      <c r="F3081" s="2" t="n">
        <v>42</v>
      </c>
      <c r="G3081" s="2" t="s">
        <v>1820</v>
      </c>
      <c r="H3081" s="2" t="str">
        <f aca="false">IFERROR(__xludf.dummyfunction("IF(I3114="""", """", REGEXEXTRACT(I3114, ""Padrao/([^/]+)""))"),"Jardim Botanico")</f>
        <v>Jardim Botanico</v>
      </c>
    </row>
    <row r="3082" customFormat="false" ht="15.75" hidden="false" customHeight="false" outlineLevel="0" collapsed="false">
      <c r="A3082" s="2" t="n">
        <v>225296</v>
      </c>
      <c r="B3082" s="2" t="s">
        <v>2494</v>
      </c>
      <c r="C3082" s="2" t="n">
        <v>2</v>
      </c>
      <c r="D3082" s="2" t="n">
        <v>1</v>
      </c>
      <c r="E3082" s="2" t="n">
        <v>1</v>
      </c>
      <c r="F3082" s="2" t="n">
        <v>56</v>
      </c>
      <c r="G3082" s="2" t="s">
        <v>566</v>
      </c>
      <c r="H3082" s="2" t="str">
        <f aca="false">IFERROR(__xludf.dummyfunction("IF(I3115="""", """", REGEXEXTRACT(I3115, ""Padrao/([^/]+)""))"),"Alto do Ipiranga")</f>
        <v>Alto do Ipiranga</v>
      </c>
    </row>
    <row r="3083" customFormat="false" ht="15.75" hidden="false" customHeight="false" outlineLevel="0" collapsed="false">
      <c r="A3083" s="2" t="n">
        <v>156179</v>
      </c>
      <c r="B3083" s="2" t="s">
        <v>2495</v>
      </c>
      <c r="C3083" s="2" t="n">
        <v>2</v>
      </c>
      <c r="D3083" s="2" t="n">
        <v>2</v>
      </c>
      <c r="E3083" s="2" t="n">
        <v>1</v>
      </c>
      <c r="F3083" s="2" t="n">
        <v>59</v>
      </c>
      <c r="G3083" s="2" t="s">
        <v>573</v>
      </c>
      <c r="H3083" s="2" t="str">
        <f aca="false">IFERROR(__xludf.dummyfunction("IF(I3116="""", """", REGEXEXTRACT(I3116, ""Padrao/([^/]+)""))"),"Residencial e Comercial Palmares")</f>
        <v>Residencial e Comercial Palmares</v>
      </c>
    </row>
    <row r="3084" customFormat="false" ht="15.75" hidden="false" customHeight="false" outlineLevel="0" collapsed="false">
      <c r="A3084" s="2" t="n">
        <v>240317</v>
      </c>
      <c r="B3084" s="2" t="s">
        <v>2496</v>
      </c>
      <c r="C3084" s="2" t="n">
        <v>3</v>
      </c>
      <c r="D3084" s="2" t="n">
        <v>3</v>
      </c>
      <c r="E3084" s="2" t="n">
        <v>1</v>
      </c>
      <c r="F3084" s="2" t="n">
        <v>90</v>
      </c>
      <c r="G3084" s="2" t="s">
        <v>1451</v>
      </c>
      <c r="H3084" s="2" t="str">
        <f aca="false">IFERROR(__xludf.dummyfunction("IF(I3117="""", """", REGEXEXTRACT(I3117, ""Padrao/([^/]+)""))"),"Jardim Castelo Branco")</f>
        <v>Jardim Castelo Branco</v>
      </c>
    </row>
    <row r="3085" customFormat="false" ht="15.75" hidden="false" customHeight="false" outlineLevel="0" collapsed="false">
      <c r="A3085" s="2" t="n">
        <v>216173</v>
      </c>
      <c r="B3085" s="2" t="s">
        <v>2497</v>
      </c>
      <c r="C3085" s="2" t="n">
        <v>2</v>
      </c>
      <c r="D3085" s="2" t="n">
        <v>1</v>
      </c>
      <c r="E3085" s="2" t="n">
        <v>1</v>
      </c>
      <c r="F3085" s="2" t="n">
        <v>50</v>
      </c>
      <c r="G3085" s="2" t="s">
        <v>1451</v>
      </c>
      <c r="H3085" s="2" t="str">
        <f aca="false">IFERROR(__xludf.dummyfunction("IF(I3118="""", """", REGEXEXTRACT(I3118, ""Padrao/([^/]+)""))"),"Jardim Anhanguera")</f>
        <v>Jardim Anhanguera</v>
      </c>
    </row>
    <row r="3086" customFormat="false" ht="15.75" hidden="false" customHeight="false" outlineLevel="0" collapsed="false">
      <c r="A3086" s="2" t="n">
        <v>179651</v>
      </c>
      <c r="B3086" s="2" t="s">
        <v>1339</v>
      </c>
      <c r="C3086" s="2" t="n">
        <v>2</v>
      </c>
      <c r="D3086" s="2" t="n">
        <v>2</v>
      </c>
      <c r="E3086" s="2" t="n">
        <v>1</v>
      </c>
      <c r="F3086" s="2" t="n">
        <v>56</v>
      </c>
      <c r="G3086" s="2" t="s">
        <v>1451</v>
      </c>
      <c r="H3086" s="2" t="str">
        <f aca="false">IFERROR(__xludf.dummyfunction("IF(I3119="""", """", REGEXEXTRACT(I3119, ""Padrao/([^/]+)""))"),"Chacaras Pedro Correa de Carvalho")</f>
        <v>Chacaras Pedro Correa de Carvalho</v>
      </c>
    </row>
    <row r="3087" customFormat="false" ht="15.75" hidden="false" customHeight="false" outlineLevel="0" collapsed="false">
      <c r="A3087" s="2" t="n">
        <v>173864</v>
      </c>
      <c r="B3087" s="2" t="s">
        <v>2446</v>
      </c>
      <c r="C3087" s="2" t="n">
        <v>2</v>
      </c>
      <c r="D3087" s="2" t="n">
        <v>1</v>
      </c>
      <c r="E3087" s="2" t="n">
        <v>1</v>
      </c>
      <c r="F3087" s="2" t="n">
        <v>77</v>
      </c>
      <c r="G3087" s="2" t="s">
        <v>1451</v>
      </c>
      <c r="H3087" s="2" t="str">
        <f aca="false">IFERROR(__xludf.dummyfunction("IF(I3120="""", """", REGEXEXTRACT(I3120, ""Padrao/([^/]+)""))"),"Vila Tiberio")</f>
        <v>Vila Tiberio</v>
      </c>
    </row>
    <row r="3088" customFormat="false" ht="15.75" hidden="false" customHeight="false" outlineLevel="0" collapsed="false">
      <c r="A3088" s="2" t="n">
        <v>161498</v>
      </c>
      <c r="B3088" s="2" t="s">
        <v>2498</v>
      </c>
      <c r="C3088" s="2" t="n">
        <v>2</v>
      </c>
      <c r="D3088" s="2" t="n">
        <v>1</v>
      </c>
      <c r="E3088" s="2" t="n">
        <v>1</v>
      </c>
      <c r="F3088" s="2" t="n">
        <v>50</v>
      </c>
      <c r="G3088" s="2" t="s">
        <v>1451</v>
      </c>
      <c r="H3088" s="2" t="str">
        <f aca="false">IFERROR(__xludf.dummyfunction("IF(I3121="""", """", REGEXEXTRACT(I3121, ""Padrao/([^/]+)""))"),"Jardim Palma Travassos")</f>
        <v>Jardim Palma Travassos</v>
      </c>
    </row>
    <row r="3089" customFormat="false" ht="15.75" hidden="false" customHeight="false" outlineLevel="0" collapsed="false">
      <c r="A3089" s="2" t="n">
        <v>154637</v>
      </c>
      <c r="B3089" s="2" t="s">
        <v>2116</v>
      </c>
      <c r="C3089" s="2" t="n">
        <v>2</v>
      </c>
      <c r="D3089" s="2" t="n">
        <v>3</v>
      </c>
      <c r="E3089" s="2" t="n">
        <v>1</v>
      </c>
      <c r="F3089" s="2" t="n">
        <v>76</v>
      </c>
      <c r="G3089" s="2" t="s">
        <v>1451</v>
      </c>
      <c r="H3089" s="2" t="str">
        <f aca="false">IFERROR(__xludf.dummyfunction("IF(I3122="""", """", REGEXEXTRACT(I3122, ""Padrao/([^/]+)""))"),"Centro")</f>
        <v>Centro</v>
      </c>
    </row>
    <row r="3090" customFormat="false" ht="15.75" hidden="false" customHeight="false" outlineLevel="0" collapsed="false">
      <c r="A3090" s="2" t="n">
        <v>123263</v>
      </c>
      <c r="B3090" s="2" t="s">
        <v>2499</v>
      </c>
      <c r="C3090" s="2" t="n">
        <v>2</v>
      </c>
      <c r="D3090" s="2" t="n">
        <v>2</v>
      </c>
      <c r="E3090" s="2" t="n">
        <v>1</v>
      </c>
      <c r="F3090" s="2" t="n">
        <v>79</v>
      </c>
      <c r="G3090" s="2" t="s">
        <v>1451</v>
      </c>
      <c r="H3090" s="2" t="str">
        <f aca="false">IFERROR(__xludf.dummyfunction("IF(I3123="""", """", REGEXEXTRACT(I3123, ""Padrao/([^/]+)""))"),"Jardim Paulistano")</f>
        <v>Jardim Paulistano</v>
      </c>
    </row>
    <row r="3091" customFormat="false" ht="15.75" hidden="false" customHeight="false" outlineLevel="0" collapsed="false">
      <c r="A3091" s="2" t="n">
        <v>90644</v>
      </c>
      <c r="B3091" s="2" t="s">
        <v>602</v>
      </c>
      <c r="C3091" s="2" t="n">
        <v>2</v>
      </c>
      <c r="D3091" s="2" t="n">
        <v>2</v>
      </c>
      <c r="E3091" s="2" t="n">
        <v>1</v>
      </c>
      <c r="F3091" s="2" t="n">
        <v>122</v>
      </c>
      <c r="G3091" s="2" t="s">
        <v>1451</v>
      </c>
      <c r="H3091" s="2" t="str">
        <f aca="false">IFERROR(__xludf.dummyfunction("IF(I3125="""", """", REGEXEXTRACT(I3125, ""Padrao/([^/]+)""))"),"Centro")</f>
        <v>Centro</v>
      </c>
    </row>
    <row r="3092" customFormat="false" ht="15.75" hidden="false" customHeight="false" outlineLevel="0" collapsed="false">
      <c r="A3092" s="2" t="n">
        <v>72596</v>
      </c>
      <c r="B3092" s="2" t="s">
        <v>162</v>
      </c>
      <c r="C3092" s="2" t="n">
        <v>1</v>
      </c>
      <c r="D3092" s="2" t="n">
        <v>1</v>
      </c>
      <c r="E3092" s="2" t="n">
        <v>1</v>
      </c>
      <c r="F3092" s="2" t="n">
        <v>46</v>
      </c>
      <c r="G3092" s="2" t="s">
        <v>1451</v>
      </c>
      <c r="H3092" s="2" t="str">
        <f aca="false">IFERROR(__xludf.dummyfunction("IF(I3126="""", """", REGEXEXTRACT(I3126, ""Padrao/([^/]+)""))"),"Jardim Botanico")</f>
        <v>Jardim Botanico</v>
      </c>
    </row>
    <row r="3093" customFormat="false" ht="15.75" hidden="false" customHeight="false" outlineLevel="0" collapsed="false">
      <c r="A3093" s="2" t="n">
        <v>18569</v>
      </c>
      <c r="B3093" s="2" t="s">
        <v>2500</v>
      </c>
      <c r="C3093" s="2" t="n">
        <v>1</v>
      </c>
      <c r="D3093" s="2" t="n">
        <v>1</v>
      </c>
      <c r="E3093" s="2" t="n">
        <v>1</v>
      </c>
      <c r="F3093" s="2" t="n">
        <v>46</v>
      </c>
      <c r="G3093" s="2" t="s">
        <v>1451</v>
      </c>
      <c r="H3093" s="2" t="str">
        <f aca="false">IFERROR(__xludf.dummyfunction("IF(I3127="""", """", REGEXEXTRACT(I3127, ""Padrao/([^/]+)""))"),"Centro")</f>
        <v>Centro</v>
      </c>
    </row>
    <row r="3094" customFormat="false" ht="15.75" hidden="false" customHeight="false" outlineLevel="0" collapsed="false">
      <c r="A3094" s="2" t="n">
        <v>219350</v>
      </c>
      <c r="B3094" s="2" t="s">
        <v>2501</v>
      </c>
      <c r="C3094" s="2" t="n">
        <v>2</v>
      </c>
      <c r="D3094" s="2" t="n">
        <v>1</v>
      </c>
      <c r="E3094" s="2" t="n">
        <v>1</v>
      </c>
      <c r="F3094" s="2" t="n">
        <v>54</v>
      </c>
      <c r="G3094" s="2" t="s">
        <v>2502</v>
      </c>
      <c r="H3094" s="2" t="str">
        <f aca="false">IFERROR(__xludf.dummyfunction("IF(I3128="""", """", REGEXEXTRACT(I3128, ""Padrao/([^/]+)""))"),"Ipiranga")</f>
        <v>Ipiranga</v>
      </c>
    </row>
    <row r="3095" customFormat="false" ht="15.75" hidden="false" customHeight="false" outlineLevel="0" collapsed="false">
      <c r="A3095" s="2" t="n">
        <v>174224</v>
      </c>
      <c r="B3095" s="2" t="s">
        <v>2503</v>
      </c>
      <c r="C3095" s="2" t="n">
        <v>2</v>
      </c>
      <c r="D3095" s="2" t="n">
        <v>2</v>
      </c>
      <c r="E3095" s="2" t="n">
        <v>1</v>
      </c>
      <c r="F3095" s="2" t="n">
        <v>48</v>
      </c>
      <c r="G3095" s="2" t="s">
        <v>2504</v>
      </c>
      <c r="H3095" s="2" t="str">
        <f aca="false">IFERROR(__xludf.dummyfunction("IF(I3129="""", """", REGEXEXTRACT(I3129, ""Padrao/([^/]+)""))"),"Residencial Greenville")</f>
        <v>Residencial Greenville</v>
      </c>
    </row>
    <row r="3096" customFormat="false" ht="15.75" hidden="false" customHeight="false" outlineLevel="0" collapsed="false">
      <c r="A3096" s="2" t="n">
        <v>59159</v>
      </c>
      <c r="B3096" s="2" t="s">
        <v>162</v>
      </c>
      <c r="C3096" s="2" t="n">
        <v>1</v>
      </c>
      <c r="D3096" s="2" t="n">
        <v>1</v>
      </c>
      <c r="E3096" s="2" t="n">
        <v>1</v>
      </c>
      <c r="F3096" s="2" t="n">
        <v>40</v>
      </c>
      <c r="G3096" s="2" t="s">
        <v>2504</v>
      </c>
      <c r="H3096" s="2" t="str">
        <f aca="false">IFERROR(__xludf.dummyfunction("IF(I3130="""", """", REGEXEXTRACT(I3130, ""Padrao/([^/]+)""))"),"Jardim Palma Travassos")</f>
        <v>Jardim Palma Travassos</v>
      </c>
    </row>
    <row r="3097" customFormat="false" ht="15.75" hidden="false" customHeight="false" outlineLevel="0" collapsed="false">
      <c r="A3097" s="2" t="n">
        <v>54167</v>
      </c>
      <c r="B3097" s="2" t="s">
        <v>162</v>
      </c>
      <c r="C3097" s="2" t="n">
        <v>1</v>
      </c>
      <c r="D3097" s="2" t="n">
        <v>1</v>
      </c>
      <c r="E3097" s="2" t="n">
        <v>1</v>
      </c>
      <c r="F3097" s="2" t="n">
        <v>40</v>
      </c>
      <c r="G3097" s="2" t="s">
        <v>2504</v>
      </c>
      <c r="H3097" s="2" t="str">
        <f aca="false">IFERROR(__xludf.dummyfunction("IF(I3131="""", """", REGEXEXTRACT(I3131, ""Padrao/([^/]+)""))"),"Jardim Palma Travassos")</f>
        <v>Jardim Palma Travassos</v>
      </c>
    </row>
    <row r="3098" customFormat="false" ht="15.75" hidden="false" customHeight="false" outlineLevel="0" collapsed="false">
      <c r="A3098" s="2" t="n">
        <v>189344</v>
      </c>
      <c r="B3098" s="2" t="s">
        <v>2505</v>
      </c>
      <c r="C3098" s="2" t="n">
        <v>2</v>
      </c>
      <c r="D3098" s="2" t="n">
        <v>1</v>
      </c>
      <c r="E3098" s="2" t="n">
        <v>1</v>
      </c>
      <c r="F3098" s="2" t="n">
        <v>64</v>
      </c>
      <c r="G3098" s="2" t="s">
        <v>1479</v>
      </c>
      <c r="H3098" s="2" t="str">
        <f aca="false">IFERROR(__xludf.dummyfunction("IF(I3132="""", """", REGEXEXTRACT(I3132, ""Padrao/([^/]+)""))"),"Jardim Novo Mundo")</f>
        <v>Jardim Novo Mundo</v>
      </c>
    </row>
    <row r="3099" customFormat="false" ht="15.75" hidden="false" customHeight="false" outlineLevel="0" collapsed="false">
      <c r="A3099" s="2" t="n">
        <v>233195</v>
      </c>
      <c r="B3099" s="2" t="s">
        <v>2506</v>
      </c>
      <c r="C3099" s="2" t="n">
        <v>2</v>
      </c>
      <c r="D3099" s="2" t="n">
        <v>1</v>
      </c>
      <c r="E3099" s="2" t="n">
        <v>1</v>
      </c>
      <c r="F3099" s="2" t="n">
        <v>50</v>
      </c>
      <c r="G3099" s="2" t="s">
        <v>2507</v>
      </c>
      <c r="H3099" s="2" t="str">
        <f aca="false">IFERROR(__xludf.dummyfunction("IF(I3133="""", """", REGEXEXTRACT(I3133, ""Padrao/([^/]+)""))"),"Quinta da Primavera")</f>
        <v>Quinta da Primavera</v>
      </c>
    </row>
    <row r="3100" customFormat="false" ht="15.75" hidden="false" customHeight="false" outlineLevel="0" collapsed="false">
      <c r="A3100" s="2" t="n">
        <v>165419</v>
      </c>
      <c r="B3100" s="2" t="s">
        <v>2508</v>
      </c>
      <c r="C3100" s="2" t="n">
        <v>2</v>
      </c>
      <c r="D3100" s="2" t="n">
        <v>1</v>
      </c>
      <c r="E3100" s="2" t="n">
        <v>1</v>
      </c>
      <c r="F3100" s="2" t="n">
        <v>46</v>
      </c>
      <c r="G3100" s="2" t="s">
        <v>2509</v>
      </c>
      <c r="H3100" s="2" t="str">
        <f aca="false">IFERROR(__xludf.dummyfunction("IF(I3134="""", """", REGEXEXTRACT(I3134, ""Padrao/([^/]+)""))"),"Jardim Jose Wilson Toni")</f>
        <v>Jardim Jose Wilson Toni</v>
      </c>
    </row>
    <row r="3101" customFormat="false" ht="15.75" hidden="false" customHeight="false" outlineLevel="0" collapsed="false">
      <c r="A3101" s="2" t="n">
        <v>219950</v>
      </c>
      <c r="B3101" s="2" t="s">
        <v>2510</v>
      </c>
      <c r="C3101" s="2" t="n">
        <v>2</v>
      </c>
      <c r="D3101" s="2" t="n">
        <v>1</v>
      </c>
      <c r="E3101" s="2" t="n">
        <v>1</v>
      </c>
      <c r="F3101" s="2" t="n">
        <v>60</v>
      </c>
      <c r="G3101" s="2" t="s">
        <v>549</v>
      </c>
      <c r="H3101" s="2" t="str">
        <f aca="false">IFERROR(__xludf.dummyfunction("IF(I3135="""", """", REGEXEXTRACT(I3135, ""Padrao/([^/]+)""))"),"Vila Amelia")</f>
        <v>Vila Amelia</v>
      </c>
    </row>
    <row r="3102" customFormat="false" ht="15.75" hidden="false" customHeight="false" outlineLevel="0" collapsed="false">
      <c r="A3102" s="2" t="n">
        <v>223508</v>
      </c>
      <c r="B3102" s="2" t="s">
        <v>2511</v>
      </c>
      <c r="C3102" s="2" t="n">
        <v>2</v>
      </c>
      <c r="D3102" s="2" t="n">
        <v>1</v>
      </c>
      <c r="E3102" s="2" t="n">
        <v>1</v>
      </c>
      <c r="F3102" s="2" t="n">
        <v>48</v>
      </c>
      <c r="G3102" s="2" t="s">
        <v>554</v>
      </c>
      <c r="H3102" s="2" t="str">
        <f aca="false">IFERROR(__xludf.dummyfunction("IF(I3136="""", """", REGEXEXTRACT(I3136, ""Padrao/([^/]+)""))"),"Parque das Oliveiras")</f>
        <v>Parque das Oliveiras</v>
      </c>
    </row>
    <row r="3103" customFormat="false" ht="15.75" hidden="false" customHeight="false" outlineLevel="0" collapsed="false">
      <c r="A3103" s="2" t="n">
        <v>158354</v>
      </c>
      <c r="B3103" s="2" t="s">
        <v>2512</v>
      </c>
      <c r="C3103" s="2" t="n">
        <v>2</v>
      </c>
      <c r="D3103" s="2" t="n">
        <v>2</v>
      </c>
      <c r="E3103" s="2" t="n">
        <v>1</v>
      </c>
      <c r="F3103" s="2" t="n">
        <v>109</v>
      </c>
      <c r="G3103" s="2" t="s">
        <v>554</v>
      </c>
      <c r="H3103" s="2" t="str">
        <f aca="false">IFERROR(__xludf.dummyfunction("IF(I3137="""", """", REGEXEXTRACT(I3137, ""Padrao/([^/]+)""))"),"Jardim Macedo")</f>
        <v>Jardim Macedo</v>
      </c>
    </row>
    <row r="3104" customFormat="false" ht="15.75" hidden="false" customHeight="false" outlineLevel="0" collapsed="false">
      <c r="A3104" s="2" t="n">
        <v>141710</v>
      </c>
      <c r="B3104" s="2" t="s">
        <v>2513</v>
      </c>
      <c r="C3104" s="2" t="n">
        <v>2</v>
      </c>
      <c r="D3104" s="2" t="n">
        <v>1</v>
      </c>
      <c r="E3104" s="2" t="n">
        <v>1</v>
      </c>
      <c r="F3104" s="2" t="n">
        <v>76</v>
      </c>
      <c r="G3104" s="2" t="s">
        <v>554</v>
      </c>
      <c r="H3104" s="2" t="str">
        <f aca="false">IFERROR(__xludf.dummyfunction("IF(I3138="""", """", REGEXEXTRACT(I3138, ""Padrao/([^/]+)""))"),"Vila Monte Alegre")</f>
        <v>Vila Monte Alegre</v>
      </c>
    </row>
    <row r="3105" customFormat="false" ht="15.75" hidden="false" customHeight="false" outlineLevel="0" collapsed="false">
      <c r="A3105" s="2" t="n">
        <v>125153</v>
      </c>
      <c r="B3105" s="2" t="s">
        <v>162</v>
      </c>
      <c r="C3105" s="2" t="n">
        <v>3</v>
      </c>
      <c r="D3105" s="2" t="n">
        <v>2</v>
      </c>
      <c r="E3105" s="2" t="n">
        <v>1</v>
      </c>
      <c r="F3105" s="2" t="n">
        <v>96</v>
      </c>
      <c r="G3105" s="2" t="s">
        <v>554</v>
      </c>
      <c r="H3105" s="2" t="str">
        <f aca="false">IFERROR(__xludf.dummyfunction("IF(I3139="""", """", REGEXEXTRACT(I3139, ""Padrao/([^/]+)""))"),"Jardim Paulista")</f>
        <v>Jardim Paulista</v>
      </c>
    </row>
    <row r="3106" customFormat="false" ht="15.75" hidden="false" customHeight="false" outlineLevel="0" collapsed="false">
      <c r="A3106" s="2" t="n">
        <v>103598</v>
      </c>
      <c r="B3106" s="2" t="s">
        <v>2514</v>
      </c>
      <c r="C3106" s="2" t="n">
        <v>1</v>
      </c>
      <c r="D3106" s="2" t="n">
        <v>1</v>
      </c>
      <c r="E3106" s="2" t="n">
        <v>1</v>
      </c>
      <c r="F3106" s="2" t="n">
        <v>30</v>
      </c>
      <c r="G3106" s="2" t="s">
        <v>564</v>
      </c>
      <c r="H3106" s="2" t="str">
        <f aca="false">IFERROR(__xludf.dummyfunction("IF(I3140="""", """", REGEXEXTRACT(I3140, ""Padrao/([^/]+)""))"),"Nova Alianca")</f>
        <v>Nova Alianca</v>
      </c>
    </row>
    <row r="3107" customFormat="false" ht="15.75" hidden="false" customHeight="false" outlineLevel="0" collapsed="false">
      <c r="A3107" s="2" t="n">
        <v>151913</v>
      </c>
      <c r="B3107" s="2" t="s">
        <v>2515</v>
      </c>
      <c r="C3107" s="2" t="n">
        <v>3</v>
      </c>
      <c r="D3107" s="2" t="n">
        <v>2</v>
      </c>
      <c r="E3107" s="2" t="n">
        <v>1</v>
      </c>
      <c r="F3107" s="2" t="n">
        <v>81</v>
      </c>
      <c r="G3107" s="2" t="s">
        <v>1513</v>
      </c>
      <c r="H3107" s="2" t="str">
        <f aca="false">IFERROR(__xludf.dummyfunction("IF(I3141="""", """", REGEXEXTRACT(I3141, ""Padrao/([^/]+)""))"),"Jardim Paulista")</f>
        <v>Jardim Paulista</v>
      </c>
    </row>
    <row r="3108" customFormat="false" ht="15.75" hidden="false" customHeight="false" outlineLevel="0" collapsed="false">
      <c r="A3108" s="2" t="n">
        <v>205715</v>
      </c>
      <c r="B3108" s="2" t="s">
        <v>2089</v>
      </c>
      <c r="C3108" s="2" t="n">
        <v>2</v>
      </c>
      <c r="D3108" s="2" t="n">
        <v>2</v>
      </c>
      <c r="E3108" s="2" t="n">
        <v>1</v>
      </c>
      <c r="F3108" s="2" t="n">
        <v>52</v>
      </c>
      <c r="G3108" s="2" t="s">
        <v>2516</v>
      </c>
      <c r="H3108" s="2" t="str">
        <f aca="false">IFERROR(__xludf.dummyfunction("IF(I3142="""", """", REGEXEXTRACT(I3142, ""Padrao/([^/]+)""))"),"Jardim Zara")</f>
        <v>Jardim Zara</v>
      </c>
    </row>
    <row r="3109" customFormat="false" ht="15.75" hidden="false" customHeight="false" outlineLevel="0" collapsed="false">
      <c r="A3109" s="2" t="n">
        <v>229481</v>
      </c>
      <c r="B3109" s="2" t="s">
        <v>2344</v>
      </c>
      <c r="C3109" s="2" t="n">
        <v>1</v>
      </c>
      <c r="D3109" s="2" t="n">
        <v>1</v>
      </c>
      <c r="E3109" s="2" t="n">
        <v>1</v>
      </c>
      <c r="F3109" s="2" t="n">
        <v>46</v>
      </c>
      <c r="G3109" s="2" t="s">
        <v>566</v>
      </c>
      <c r="H3109" s="2" t="str">
        <f aca="false">IFERROR(__xludf.dummyfunction("IF(I3143="""", """", REGEXEXTRACT(I3143, ""Padrao/([^/]+)""))"),"Nova Alianca")</f>
        <v>Nova Alianca</v>
      </c>
    </row>
    <row r="3110" customFormat="false" ht="15.75" hidden="false" customHeight="false" outlineLevel="0" collapsed="false">
      <c r="A3110" s="2" t="n">
        <v>199883</v>
      </c>
      <c r="B3110" s="2" t="s">
        <v>2517</v>
      </c>
      <c r="C3110" s="2" t="n">
        <v>2</v>
      </c>
      <c r="D3110" s="2" t="n">
        <v>2</v>
      </c>
      <c r="E3110" s="2" t="n">
        <v>1</v>
      </c>
      <c r="F3110" s="2" t="n">
        <v>47</v>
      </c>
      <c r="G3110" s="2" t="s">
        <v>566</v>
      </c>
      <c r="H3110" s="2" t="str">
        <f aca="false">IFERROR(__xludf.dummyfunction("IF(I3144="""", """", REGEXEXTRACT(I3144, ""Padrao/([^/]+)""))"),"Ipiranga")</f>
        <v>Ipiranga</v>
      </c>
    </row>
    <row r="3111" customFormat="false" ht="15.75" hidden="false" customHeight="false" outlineLevel="0" collapsed="false">
      <c r="A3111" s="2" t="n">
        <v>191756</v>
      </c>
      <c r="B3111" s="2" t="s">
        <v>2518</v>
      </c>
      <c r="C3111" s="2" t="n">
        <v>2</v>
      </c>
      <c r="D3111" s="2" t="n">
        <v>2</v>
      </c>
      <c r="E3111" s="2" t="n">
        <v>1</v>
      </c>
      <c r="F3111" s="2" t="n">
        <v>66</v>
      </c>
      <c r="G3111" s="2" t="s">
        <v>566</v>
      </c>
      <c r="H3111" s="2" t="str">
        <f aca="false">IFERROR(__xludf.dummyfunction("IF(I3145="""", """", REGEXEXTRACT(I3145, ""Padrao/([^/]+)""))"),"Jardim Paulista")</f>
        <v>Jardim Paulista</v>
      </c>
    </row>
    <row r="3112" customFormat="false" ht="15.75" hidden="false" customHeight="false" outlineLevel="0" collapsed="false">
      <c r="A3112" s="2" t="n">
        <v>170258</v>
      </c>
      <c r="B3112" s="2" t="s">
        <v>2519</v>
      </c>
      <c r="C3112" s="2" t="n">
        <v>2</v>
      </c>
      <c r="D3112" s="2" t="n">
        <v>2</v>
      </c>
      <c r="E3112" s="2" t="n">
        <v>1</v>
      </c>
      <c r="F3112" s="2" t="n">
        <v>61</v>
      </c>
      <c r="G3112" s="2" t="s">
        <v>573</v>
      </c>
      <c r="H3112" s="2" t="str">
        <f aca="false">IFERROR(__xludf.dummyfunction("IF(I3146="""", """", REGEXEXTRACT(I3146, ""Padrao/([^/]+)""))"),"Vila Monte Alegre")</f>
        <v>Vila Monte Alegre</v>
      </c>
    </row>
    <row r="3113" customFormat="false" ht="15.75" hidden="false" customHeight="false" outlineLevel="0" collapsed="false">
      <c r="A3113" s="2" t="n">
        <v>170255</v>
      </c>
      <c r="B3113" s="2" t="s">
        <v>2519</v>
      </c>
      <c r="C3113" s="2" t="n">
        <v>2</v>
      </c>
      <c r="D3113" s="2" t="n">
        <v>2</v>
      </c>
      <c r="E3113" s="2" t="n">
        <v>1</v>
      </c>
      <c r="F3113" s="2" t="n">
        <v>61</v>
      </c>
      <c r="G3113" s="2" t="s">
        <v>573</v>
      </c>
      <c r="H3113" s="2" t="str">
        <f aca="false">IFERROR(__xludf.dummyfunction("IF(I3147="""", """", REGEXEXTRACT(I3147, ""Padrao/([^/]+)""))"),"Vila Monte Alegre")</f>
        <v>Vila Monte Alegre</v>
      </c>
    </row>
    <row r="3114" customFormat="false" ht="15.75" hidden="false" customHeight="false" outlineLevel="0" collapsed="false">
      <c r="A3114" s="2" t="n">
        <v>229583</v>
      </c>
      <c r="B3114" s="2" t="s">
        <v>2520</v>
      </c>
      <c r="C3114" s="2" t="n">
        <v>2</v>
      </c>
      <c r="D3114" s="2" t="n">
        <v>1</v>
      </c>
      <c r="E3114" s="2" t="n">
        <v>1</v>
      </c>
      <c r="F3114" s="2" t="n">
        <v>75</v>
      </c>
      <c r="G3114" s="2" t="s">
        <v>1479</v>
      </c>
      <c r="H3114" s="2" t="str">
        <f aca="false">IFERROR(__xludf.dummyfunction("IF(I3148="""", """", REGEXEXTRACT(I3148, ""Padrao/([^/]+)""))"),"Campos Eliseos")</f>
        <v>Campos Eliseos</v>
      </c>
    </row>
    <row r="3115" customFormat="false" ht="15.75" hidden="false" customHeight="false" outlineLevel="0" collapsed="false">
      <c r="A3115" s="2" t="n">
        <v>244844</v>
      </c>
      <c r="B3115" s="2" t="s">
        <v>2521</v>
      </c>
      <c r="C3115" s="2" t="n">
        <v>3</v>
      </c>
      <c r="D3115" s="2" t="n">
        <v>1</v>
      </c>
      <c r="E3115" s="2" t="n">
        <v>1</v>
      </c>
      <c r="F3115" s="2" t="n">
        <v>71</v>
      </c>
      <c r="G3115" s="2" t="s">
        <v>575</v>
      </c>
      <c r="H3115" s="2" t="str">
        <f aca="false">IFERROR(__xludf.dummyfunction("IF(I3149="""", """", REGEXEXTRACT(I3149, ""Padrao/([^/]+)""))"),"Iguatemi")</f>
        <v>Iguatemi</v>
      </c>
    </row>
    <row r="3116" customFormat="false" ht="15.75" hidden="false" customHeight="false" outlineLevel="0" collapsed="false">
      <c r="A3116" s="2" t="n">
        <v>244199</v>
      </c>
      <c r="B3116" s="2" t="s">
        <v>2521</v>
      </c>
      <c r="C3116" s="2" t="n">
        <v>3</v>
      </c>
      <c r="D3116" s="2" t="n">
        <v>2</v>
      </c>
      <c r="E3116" s="2" t="n">
        <v>1</v>
      </c>
      <c r="F3116" s="2" t="n">
        <v>71</v>
      </c>
      <c r="G3116" s="2" t="s">
        <v>575</v>
      </c>
      <c r="H3116" s="2" t="str">
        <f aca="false">IFERROR(__xludf.dummyfunction("IF(I3150="""", """", REGEXEXTRACT(I3150, ""Padrao/([^/]+)""))"),"Iguatemi")</f>
        <v>Iguatemi</v>
      </c>
    </row>
    <row r="3117" customFormat="false" ht="15.75" hidden="false" customHeight="false" outlineLevel="0" collapsed="false">
      <c r="A3117" s="2" t="n">
        <v>242660</v>
      </c>
      <c r="B3117" s="2" t="s">
        <v>2522</v>
      </c>
      <c r="C3117" s="2" t="n">
        <v>2</v>
      </c>
      <c r="D3117" s="2" t="n">
        <v>1</v>
      </c>
      <c r="E3117" s="2" t="n">
        <v>1</v>
      </c>
      <c r="F3117" s="2" t="n">
        <v>56</v>
      </c>
      <c r="G3117" s="2" t="s">
        <v>575</v>
      </c>
      <c r="H3117" s="2" t="str">
        <f aca="false">IFERROR(__xludf.dummyfunction("IF(I3151="""", """", REGEXEXTRACT(I3151, ""Padrao/([^/]+)""))"),"Planalto Verde")</f>
        <v>Planalto Verde</v>
      </c>
    </row>
    <row r="3118" customFormat="false" ht="15.75" hidden="false" customHeight="false" outlineLevel="0" collapsed="false">
      <c r="A3118" s="2" t="n">
        <v>240854</v>
      </c>
      <c r="B3118" s="2" t="s">
        <v>2521</v>
      </c>
      <c r="C3118" s="2" t="n">
        <v>3</v>
      </c>
      <c r="D3118" s="2" t="n">
        <v>2</v>
      </c>
      <c r="E3118" s="2" t="n">
        <v>1</v>
      </c>
      <c r="F3118" s="2" t="n">
        <v>71</v>
      </c>
      <c r="G3118" s="2" t="s">
        <v>575</v>
      </c>
      <c r="H3118" s="2" t="str">
        <f aca="false">IFERROR(__xludf.dummyfunction("IF(I3152="""", """", REGEXEXTRACT(I3152, ""Padrao/([^/]+)""))"),"Iguatemi")</f>
        <v>Iguatemi</v>
      </c>
    </row>
    <row r="3119" customFormat="false" ht="15.75" hidden="false" customHeight="false" outlineLevel="0" collapsed="false">
      <c r="A3119" s="2" t="n">
        <v>238073</v>
      </c>
      <c r="B3119" s="2" t="s">
        <v>2523</v>
      </c>
      <c r="C3119" s="2" t="n">
        <v>2</v>
      </c>
      <c r="D3119" s="2" t="n">
        <v>1</v>
      </c>
      <c r="E3119" s="2" t="n">
        <v>1</v>
      </c>
      <c r="F3119" s="2" t="n">
        <v>75</v>
      </c>
      <c r="G3119" s="2" t="s">
        <v>575</v>
      </c>
      <c r="H3119" s="2" t="str">
        <f aca="false">IFERROR(__xludf.dummyfunction("IF(I3153="""", """", REGEXEXTRACT(I3153, ""Padrao/([^/]+)""))"),"Presidente Medici")</f>
        <v>Presidente Medici</v>
      </c>
    </row>
    <row r="3120" customFormat="false" ht="15.75" hidden="false" customHeight="false" outlineLevel="0" collapsed="false">
      <c r="A3120" s="2" t="n">
        <v>237899</v>
      </c>
      <c r="B3120" s="2" t="s">
        <v>2524</v>
      </c>
      <c r="C3120" s="2" t="n">
        <v>3</v>
      </c>
      <c r="D3120" s="2" t="n">
        <v>2</v>
      </c>
      <c r="E3120" s="2" t="n">
        <v>1</v>
      </c>
      <c r="F3120" s="2" t="n">
        <v>134</v>
      </c>
      <c r="G3120" s="2" t="s">
        <v>575</v>
      </c>
      <c r="H3120" s="2" t="str">
        <f aca="false">IFERROR(__xludf.dummyfunction("IF(I3154="""", """", REGEXEXTRACT(I3154, ""Padrao/([^/]+)""))"),"Jardim Sumare")</f>
        <v>Jardim Sumare</v>
      </c>
    </row>
    <row r="3121" customFormat="false" ht="15.75" hidden="false" customHeight="false" outlineLevel="0" collapsed="false">
      <c r="A3121" s="2" t="n">
        <v>229895</v>
      </c>
      <c r="B3121" s="2" t="s">
        <v>2525</v>
      </c>
      <c r="C3121" s="2" t="n">
        <v>2</v>
      </c>
      <c r="D3121" s="2" t="n">
        <v>1</v>
      </c>
      <c r="E3121" s="2" t="n">
        <v>1</v>
      </c>
      <c r="F3121" s="2" t="n">
        <v>61</v>
      </c>
      <c r="G3121" s="2" t="s">
        <v>575</v>
      </c>
      <c r="H3121" s="2" t="str">
        <f aca="false">IFERROR(__xludf.dummyfunction("IF(I3155="""", """", REGEXEXTRACT(I3155, ""Padrao/([^/]+)""))"),"Jardim Palma Travassos")</f>
        <v>Jardim Palma Travassos</v>
      </c>
    </row>
    <row r="3122" customFormat="false" ht="15.75" hidden="false" customHeight="false" outlineLevel="0" collapsed="false">
      <c r="A3122" s="2" t="n">
        <v>229406</v>
      </c>
      <c r="B3122" s="2" t="s">
        <v>2526</v>
      </c>
      <c r="C3122" s="2" t="n">
        <v>3</v>
      </c>
      <c r="D3122" s="2" t="n">
        <v>2</v>
      </c>
      <c r="E3122" s="2" t="n">
        <v>1</v>
      </c>
      <c r="F3122" s="2" t="n">
        <v>72</v>
      </c>
      <c r="G3122" s="2" t="s">
        <v>575</v>
      </c>
      <c r="H3122" s="2" t="str">
        <f aca="false">IFERROR(__xludf.dummyfunction("IF(I3156="""", """", REGEXEXTRACT(I3156, ""Padrao/([^/]+)""))"),"Presidente Medici")</f>
        <v>Presidente Medici</v>
      </c>
    </row>
    <row r="3123" customFormat="false" ht="15.75" hidden="false" customHeight="false" outlineLevel="0" collapsed="false">
      <c r="A3123" s="2" t="n">
        <v>225734</v>
      </c>
      <c r="B3123" s="2" t="s">
        <v>1819</v>
      </c>
      <c r="C3123" s="2" t="n">
        <v>2</v>
      </c>
      <c r="D3123" s="2" t="n">
        <v>1</v>
      </c>
      <c r="E3123" s="2" t="n">
        <v>1</v>
      </c>
      <c r="F3123" s="2" t="n">
        <v>48</v>
      </c>
      <c r="G3123" s="2" t="s">
        <v>575</v>
      </c>
      <c r="H3123" s="2" t="str">
        <f aca="false">IFERROR(__xludf.dummyfunction("IF(I3157="""", """", REGEXEXTRACT(I3157, ""Padrao/([^/]+)""))"),"Jardim Sao Fernando")</f>
        <v>Jardim Sao Fernando</v>
      </c>
    </row>
    <row r="3124" customFormat="false" ht="15.75" hidden="false" customHeight="false" outlineLevel="0" collapsed="false">
      <c r="A3124" s="2" t="n">
        <v>223499</v>
      </c>
      <c r="B3124" s="2" t="s">
        <v>1819</v>
      </c>
      <c r="C3124" s="2" t="n">
        <v>2</v>
      </c>
      <c r="D3124" s="2" t="n">
        <v>1</v>
      </c>
      <c r="E3124" s="2" t="n">
        <v>1</v>
      </c>
      <c r="F3124" s="2" t="n">
        <v>48</v>
      </c>
      <c r="G3124" s="2" t="s">
        <v>575</v>
      </c>
      <c r="H3124" s="2" t="str">
        <f aca="false">IFERROR(__xludf.dummyfunction("IF(I3158="""", """", REGEXEXTRACT(I3158, ""Padrao/([^/]+)""))"),"Jardim Sao Fernando")</f>
        <v>Jardim Sao Fernando</v>
      </c>
    </row>
    <row r="3125" customFormat="false" ht="15.75" hidden="false" customHeight="false" outlineLevel="0" collapsed="false">
      <c r="A3125" s="2" t="n">
        <v>213938</v>
      </c>
      <c r="B3125" s="2" t="s">
        <v>2527</v>
      </c>
      <c r="C3125" s="2" t="n">
        <v>2</v>
      </c>
      <c r="D3125" s="2" t="n">
        <v>1</v>
      </c>
      <c r="E3125" s="2" t="n">
        <v>1</v>
      </c>
      <c r="F3125" s="2" t="n">
        <v>48</v>
      </c>
      <c r="G3125" s="2" t="s">
        <v>575</v>
      </c>
      <c r="H3125" s="2" t="str">
        <f aca="false">IFERROR(__xludf.dummyfunction("IF(I3159="""", """", REGEXEXTRACT(I3159, ""Padrao/([^/]+)""))"),"Parque das Oliveiras")</f>
        <v>Parque das Oliveiras</v>
      </c>
    </row>
    <row r="3126" customFormat="false" ht="15.75" hidden="false" customHeight="false" outlineLevel="0" collapsed="false">
      <c r="A3126" s="2" t="n">
        <v>209180</v>
      </c>
      <c r="B3126" s="2" t="s">
        <v>2528</v>
      </c>
      <c r="C3126" s="2" t="n">
        <v>1</v>
      </c>
      <c r="D3126" s="2" t="n">
        <v>1</v>
      </c>
      <c r="E3126" s="2" t="n">
        <v>1</v>
      </c>
      <c r="F3126" s="2" t="n">
        <v>42</v>
      </c>
      <c r="G3126" s="2" t="s">
        <v>575</v>
      </c>
      <c r="H3126" s="2" t="str">
        <f aca="false">IFERROR(__xludf.dummyfunction("IF(I3160="""", """", REGEXEXTRACT(I3160, ""Padrao/([^/]+)""))"),"Jardim Iraja")</f>
        <v>Jardim Iraja</v>
      </c>
    </row>
    <row r="3127" customFormat="false" ht="15.75" hidden="false" customHeight="false" outlineLevel="0" collapsed="false">
      <c r="A3127" s="2" t="n">
        <v>206939</v>
      </c>
      <c r="B3127" s="2" t="s">
        <v>2529</v>
      </c>
      <c r="C3127" s="2" t="n">
        <v>2</v>
      </c>
      <c r="D3127" s="2" t="n">
        <v>1</v>
      </c>
      <c r="E3127" s="2" t="n">
        <v>1</v>
      </c>
      <c r="F3127" s="2" t="n">
        <v>44</v>
      </c>
      <c r="G3127" s="2" t="s">
        <v>575</v>
      </c>
      <c r="H3127" s="2" t="str">
        <f aca="false">IFERROR(__xludf.dummyfunction("IF(I3161="""", """", REGEXEXTRACT(I3161, ""Padrao/([^/]+)""))"),"Quintas de Sao Jose")</f>
        <v>Quintas de Sao Jose</v>
      </c>
    </row>
    <row r="3128" customFormat="false" ht="15.75" hidden="false" customHeight="false" outlineLevel="0" collapsed="false">
      <c r="A3128" s="2" t="n">
        <v>201746</v>
      </c>
      <c r="B3128" s="2" t="s">
        <v>2530</v>
      </c>
      <c r="C3128" s="2" t="n">
        <v>1</v>
      </c>
      <c r="D3128" s="2" t="n">
        <v>1</v>
      </c>
      <c r="E3128" s="2" t="n">
        <v>1</v>
      </c>
      <c r="F3128" s="2" t="n">
        <v>25</v>
      </c>
      <c r="G3128" s="2" t="s">
        <v>575</v>
      </c>
      <c r="H3128" s="2" t="str">
        <f aca="false">IFERROR(__xludf.dummyfunction("IF(I3162="""", """", REGEXEXTRACT(I3162, ""Padrao/([^/]+)""))"),"Jardim California")</f>
        <v>Jardim California</v>
      </c>
    </row>
    <row r="3129" customFormat="false" ht="15.75" hidden="false" customHeight="false" outlineLevel="0" collapsed="false">
      <c r="A3129" s="2" t="n">
        <v>200795</v>
      </c>
      <c r="B3129" s="2" t="s">
        <v>2531</v>
      </c>
      <c r="C3129" s="2" t="n">
        <v>2</v>
      </c>
      <c r="D3129" s="2" t="n">
        <v>2</v>
      </c>
      <c r="E3129" s="2" t="n">
        <v>1</v>
      </c>
      <c r="F3129" s="2" t="n">
        <v>52</v>
      </c>
      <c r="G3129" s="2" t="s">
        <v>575</v>
      </c>
      <c r="H3129" s="2" t="str">
        <f aca="false">IFERROR(__xludf.dummyfunction("IF(I3163="""", """", REGEXEXTRACT(I3163, ""Padrao/([^/]+)""))"),"Quintas de Sao Jose")</f>
        <v>Quintas de Sao Jose</v>
      </c>
    </row>
    <row r="3130" customFormat="false" ht="15.75" hidden="false" customHeight="false" outlineLevel="0" collapsed="false">
      <c r="A3130" s="2" t="n">
        <v>198314</v>
      </c>
      <c r="B3130" s="2" t="s">
        <v>2532</v>
      </c>
      <c r="C3130" s="2" t="n">
        <v>2</v>
      </c>
      <c r="D3130" s="2" t="n">
        <v>1</v>
      </c>
      <c r="E3130" s="2" t="n">
        <v>1</v>
      </c>
      <c r="F3130" s="2" t="n">
        <v>49</v>
      </c>
      <c r="G3130" s="2" t="s">
        <v>575</v>
      </c>
      <c r="H3130" s="2" t="str">
        <f aca="false">IFERROR(__xludf.dummyfunction("IF(I3164="""", """", REGEXEXTRACT(I3164, ""Padrao/([^/]+)""))"),"Residencial Jequitiba")</f>
        <v>Residencial Jequitiba</v>
      </c>
    </row>
    <row r="3131" customFormat="false" ht="15.75" hidden="false" customHeight="false" outlineLevel="0" collapsed="false">
      <c r="A3131" s="2" t="n">
        <v>194702</v>
      </c>
      <c r="B3131" s="2" t="s">
        <v>2533</v>
      </c>
      <c r="C3131" s="2" t="n">
        <v>2</v>
      </c>
      <c r="D3131" s="2" t="n">
        <v>2</v>
      </c>
      <c r="E3131" s="2" t="n">
        <v>1</v>
      </c>
      <c r="F3131" s="2" t="n">
        <v>121</v>
      </c>
      <c r="G3131" s="2" t="s">
        <v>575</v>
      </c>
      <c r="H3131" s="2" t="str">
        <f aca="false">IFERROR(__xludf.dummyfunction("IF(I3165="""", """", REGEXEXTRACT(I3165, ""Padrao/([^/]+)""))"),"Centro")</f>
        <v>Centro</v>
      </c>
    </row>
    <row r="3132" customFormat="false" ht="15.75" hidden="false" customHeight="false" outlineLevel="0" collapsed="false">
      <c r="A3132" s="2" t="n">
        <v>191456</v>
      </c>
      <c r="B3132" s="2" t="s">
        <v>2534</v>
      </c>
      <c r="C3132" s="2" t="n">
        <v>2</v>
      </c>
      <c r="D3132" s="2" t="n">
        <v>1</v>
      </c>
      <c r="E3132" s="2" t="n">
        <v>1</v>
      </c>
      <c r="F3132" s="2" t="n">
        <v>46</v>
      </c>
      <c r="G3132" s="2" t="s">
        <v>575</v>
      </c>
      <c r="H3132" s="2" t="str">
        <f aca="false">IFERROR(__xludf.dummyfunction("IF(I3166="""", """", REGEXEXTRACT(I3166, ""Padrao/([^/]+)""))"),"Jardim Antartica")</f>
        <v>Jardim Antartica</v>
      </c>
    </row>
    <row r="3133" customFormat="false" ht="15.75" hidden="false" customHeight="false" outlineLevel="0" collapsed="false">
      <c r="A3133" s="2" t="n">
        <v>191429</v>
      </c>
      <c r="B3133" s="2" t="s">
        <v>2535</v>
      </c>
      <c r="C3133" s="2" t="n">
        <v>2</v>
      </c>
      <c r="D3133" s="2" t="n">
        <v>1</v>
      </c>
      <c r="E3133" s="2" t="n">
        <v>1</v>
      </c>
      <c r="F3133" s="2" t="n">
        <v>60</v>
      </c>
      <c r="G3133" s="2" t="s">
        <v>575</v>
      </c>
      <c r="H3133" s="2" t="str">
        <f aca="false">IFERROR(__xludf.dummyfunction("IF(I3167="""", """", REGEXEXTRACT(I3167, ""Padrao/([^/]+)""))"),"Vila Monte Alegre")</f>
        <v>Vila Monte Alegre</v>
      </c>
    </row>
    <row r="3134" customFormat="false" ht="15.75" hidden="false" customHeight="false" outlineLevel="0" collapsed="false">
      <c r="A3134" s="2" t="n">
        <v>185282</v>
      </c>
      <c r="B3134" s="2" t="s">
        <v>162</v>
      </c>
      <c r="C3134" s="2" t="n">
        <v>2</v>
      </c>
      <c r="D3134" s="2" t="n">
        <v>2</v>
      </c>
      <c r="E3134" s="2" t="n">
        <v>1</v>
      </c>
      <c r="F3134" s="2" t="n">
        <v>72</v>
      </c>
      <c r="G3134" s="2" t="s">
        <v>575</v>
      </c>
      <c r="H3134" s="2" t="str">
        <f aca="false">IFERROR(__xludf.dummyfunction("IF(I3168="""", """", REGEXEXTRACT(I3168, ""Padrao/([^/]+)""))"),"Centro")</f>
        <v>Centro</v>
      </c>
    </row>
    <row r="3135" customFormat="false" ht="15.75" hidden="false" customHeight="false" outlineLevel="0" collapsed="false">
      <c r="A3135" s="2" t="n">
        <v>174974</v>
      </c>
      <c r="B3135" s="2" t="s">
        <v>1067</v>
      </c>
      <c r="C3135" s="2" t="n">
        <v>3</v>
      </c>
      <c r="D3135" s="2" t="n">
        <v>2</v>
      </c>
      <c r="E3135" s="2" t="n">
        <v>2</v>
      </c>
      <c r="F3135" s="2" t="n">
        <v>83</v>
      </c>
      <c r="G3135" s="2" t="s">
        <v>575</v>
      </c>
      <c r="H3135" s="2" t="str">
        <f aca="false">IFERROR(__xludf.dummyfunction("IF(I3169="""", """", REGEXEXTRACT(I3169, ""Padrao/([^/]+)""))"),"Jardim Castelo Branco")</f>
        <v>Jardim Castelo Branco</v>
      </c>
    </row>
    <row r="3136" customFormat="false" ht="15.75" hidden="false" customHeight="false" outlineLevel="0" collapsed="false">
      <c r="A3136" s="2" t="n">
        <v>172946</v>
      </c>
      <c r="B3136" s="2" t="s">
        <v>2536</v>
      </c>
      <c r="C3136" s="2" t="n">
        <v>1</v>
      </c>
      <c r="D3136" s="2" t="n">
        <v>1</v>
      </c>
      <c r="E3136" s="2" t="n">
        <v>1</v>
      </c>
      <c r="F3136" s="2" t="n">
        <v>35</v>
      </c>
      <c r="G3136" s="2" t="s">
        <v>575</v>
      </c>
      <c r="H3136" s="2" t="str">
        <f aca="false">IFERROR(__xludf.dummyfunction("IF(I3170="""", """", REGEXEXTRACT(I3170, ""Padrao/([^/]+)""))"),"Vila Seixas")</f>
        <v>Vila Seixas</v>
      </c>
    </row>
    <row r="3137" customFormat="false" ht="15.75" hidden="false" customHeight="false" outlineLevel="0" collapsed="false">
      <c r="A3137" s="2" t="n">
        <v>171266</v>
      </c>
      <c r="B3137" s="2" t="s">
        <v>1761</v>
      </c>
      <c r="C3137" s="2" t="n">
        <v>2</v>
      </c>
      <c r="D3137" s="2" t="n">
        <v>1</v>
      </c>
      <c r="E3137" s="2" t="n">
        <v>1</v>
      </c>
      <c r="F3137" s="2" t="n">
        <v>53</v>
      </c>
      <c r="G3137" s="2" t="s">
        <v>575</v>
      </c>
      <c r="H3137" s="2" t="str">
        <f aca="false">IFERROR(__xludf.dummyfunction("IF(I3171="""", """", REGEXEXTRACT(I3171, ""Padrao/([^/]+)""))"),"Jardim Zara")</f>
        <v>Jardim Zara</v>
      </c>
    </row>
    <row r="3138" customFormat="false" ht="15.75" hidden="false" customHeight="false" outlineLevel="0" collapsed="false">
      <c r="A3138" s="2" t="n">
        <v>163979</v>
      </c>
      <c r="B3138" s="2" t="s">
        <v>2537</v>
      </c>
      <c r="C3138" s="2" t="n">
        <v>2</v>
      </c>
      <c r="D3138" s="2" t="n">
        <v>1</v>
      </c>
      <c r="E3138" s="2" t="n">
        <v>1</v>
      </c>
      <c r="F3138" s="2" t="n">
        <v>41</v>
      </c>
      <c r="G3138" s="2" t="s">
        <v>575</v>
      </c>
      <c r="H3138" s="2" t="str">
        <f aca="false">IFERROR(__xludf.dummyfunction("IF(I3172="""", """", REGEXEXTRACT(I3172, ""Padrao/([^/]+)""))"),"Jardim Jose Sampaio Junior")</f>
        <v>Jardim Jose Sampaio Junior</v>
      </c>
    </row>
    <row r="3139" customFormat="false" ht="15.75" hidden="false" customHeight="false" outlineLevel="0" collapsed="false">
      <c r="A3139" s="2" t="n">
        <v>162788</v>
      </c>
      <c r="B3139" s="2" t="s">
        <v>2538</v>
      </c>
      <c r="C3139" s="2" t="n">
        <v>1</v>
      </c>
      <c r="D3139" s="2" t="n">
        <v>1</v>
      </c>
      <c r="E3139" s="2" t="n">
        <v>1</v>
      </c>
      <c r="F3139" s="2" t="n">
        <v>48</v>
      </c>
      <c r="G3139" s="2" t="s">
        <v>575</v>
      </c>
      <c r="H3139" s="2" t="str">
        <f aca="false">IFERROR(__xludf.dummyfunction("IF(I3173="""", """", REGEXEXTRACT(I3173, ""Padrao/([^/]+)""))"),"Vila Seixas")</f>
        <v>Vila Seixas</v>
      </c>
    </row>
    <row r="3140" customFormat="false" ht="15.75" hidden="false" customHeight="false" outlineLevel="0" collapsed="false">
      <c r="A3140" s="2" t="n">
        <v>159824</v>
      </c>
      <c r="B3140" s="2" t="s">
        <v>2539</v>
      </c>
      <c r="C3140" s="2" t="n">
        <v>2</v>
      </c>
      <c r="D3140" s="2" t="n">
        <v>1</v>
      </c>
      <c r="E3140" s="2" t="n">
        <v>1</v>
      </c>
      <c r="F3140" s="2" t="n">
        <v>40</v>
      </c>
      <c r="G3140" s="2" t="s">
        <v>575</v>
      </c>
      <c r="H3140" s="2" t="str">
        <f aca="false">IFERROR(__xludf.dummyfunction("IF(I3174="""", """", REGEXEXTRACT(I3174, ""Padrao/([^/]+)""))"),"Ipiranga")</f>
        <v>Ipiranga</v>
      </c>
    </row>
    <row r="3141" customFormat="false" ht="15.75" hidden="false" customHeight="false" outlineLevel="0" collapsed="false">
      <c r="A3141" s="2" t="n">
        <v>152213</v>
      </c>
      <c r="B3141" s="2" t="s">
        <v>2540</v>
      </c>
      <c r="C3141" s="2" t="n">
        <v>3</v>
      </c>
      <c r="D3141" s="2" t="n">
        <v>2</v>
      </c>
      <c r="E3141" s="2" t="n">
        <v>1</v>
      </c>
      <c r="F3141" s="2" t="n">
        <v>120</v>
      </c>
      <c r="G3141" s="2" t="s">
        <v>575</v>
      </c>
      <c r="H3141" s="2" t="str">
        <f aca="false">IFERROR(__xludf.dummyfunction("IF(I3175="""", """", REGEXEXTRACT(I3175, ""Padrao/([^/]+)""))"),"Centro")</f>
        <v>Centro</v>
      </c>
    </row>
    <row r="3142" customFormat="false" ht="15.75" hidden="false" customHeight="false" outlineLevel="0" collapsed="false">
      <c r="A3142" s="2" t="n">
        <v>150659</v>
      </c>
      <c r="B3142" s="2" t="s">
        <v>2541</v>
      </c>
      <c r="C3142" s="2" t="n">
        <v>1</v>
      </c>
      <c r="D3142" s="2" t="n">
        <v>1</v>
      </c>
      <c r="E3142" s="2" t="n">
        <v>1</v>
      </c>
      <c r="F3142" s="2" t="n">
        <v>45</v>
      </c>
      <c r="G3142" s="2" t="s">
        <v>575</v>
      </c>
      <c r="H3142" s="2" t="str">
        <f aca="false">IFERROR(__xludf.dummyfunction("IF(I3176="""", """", REGEXEXTRACT(I3176, ""Padrao/([^/]+)""))"),"Jardim Paulista")</f>
        <v>Jardim Paulista</v>
      </c>
    </row>
    <row r="3143" customFormat="false" ht="15.75" hidden="false" customHeight="false" outlineLevel="0" collapsed="false">
      <c r="A3143" s="2" t="n">
        <v>150119</v>
      </c>
      <c r="B3143" s="2" t="s">
        <v>2542</v>
      </c>
      <c r="C3143" s="2" t="n">
        <v>3</v>
      </c>
      <c r="D3143" s="2" t="n">
        <v>2</v>
      </c>
      <c r="E3143" s="2" t="n">
        <v>1</v>
      </c>
      <c r="F3143" s="2" t="n">
        <v>66</v>
      </c>
      <c r="G3143" s="2" t="s">
        <v>575</v>
      </c>
      <c r="H3143" s="2" t="str">
        <f aca="false">IFERROR(__xludf.dummyfunction("IF(I3177="""", """", REGEXEXTRACT(I3177, ""Padrao/([^/]+)""))"),"Parque Industrial Lagoinha")</f>
        <v>Parque Industrial Lagoinha</v>
      </c>
    </row>
    <row r="3144" customFormat="false" ht="15.75" hidden="false" customHeight="false" outlineLevel="0" collapsed="false">
      <c r="A3144" s="2" t="n">
        <v>148715</v>
      </c>
      <c r="B3144" s="2" t="s">
        <v>1926</v>
      </c>
      <c r="C3144" s="2" t="n">
        <v>2</v>
      </c>
      <c r="D3144" s="2" t="n">
        <v>2</v>
      </c>
      <c r="E3144" s="2" t="n">
        <v>1</v>
      </c>
      <c r="F3144" s="2" t="n">
        <v>73</v>
      </c>
      <c r="G3144" s="2" t="s">
        <v>575</v>
      </c>
      <c r="H3144" s="2" t="str">
        <f aca="false">IFERROR(__xludf.dummyfunction("IF(I3178="""", """", REGEXEXTRACT(I3178, ""Padrao/([^/]+)""))"),"Jardim Palma Travassos")</f>
        <v>Jardim Palma Travassos</v>
      </c>
    </row>
    <row r="3145" customFormat="false" ht="15.75" hidden="false" customHeight="false" outlineLevel="0" collapsed="false">
      <c r="A3145" s="2" t="n">
        <v>148340</v>
      </c>
      <c r="B3145" s="2" t="s">
        <v>2543</v>
      </c>
      <c r="C3145" s="2" t="n">
        <v>3</v>
      </c>
      <c r="D3145" s="2" t="n">
        <v>2</v>
      </c>
      <c r="E3145" s="2" t="n">
        <v>1</v>
      </c>
      <c r="F3145" s="2" t="n">
        <v>96</v>
      </c>
      <c r="G3145" s="2" t="s">
        <v>575</v>
      </c>
      <c r="H3145" s="2" t="str">
        <f aca="false">IFERROR(__xludf.dummyfunction("IF(I3179="""", """", REGEXEXTRACT(I3179, ""Padrao/([^/]+)""))"),"Jardim Paulistano")</f>
        <v>Jardim Paulistano</v>
      </c>
    </row>
    <row r="3146" customFormat="false" ht="15.75" hidden="false" customHeight="false" outlineLevel="0" collapsed="false">
      <c r="A3146" s="2" t="n">
        <v>148052</v>
      </c>
      <c r="B3146" s="2" t="s">
        <v>440</v>
      </c>
      <c r="C3146" s="2" t="n">
        <v>1</v>
      </c>
      <c r="D3146" s="2" t="n">
        <v>1</v>
      </c>
      <c r="E3146" s="2" t="n">
        <v>1</v>
      </c>
      <c r="F3146" s="2" t="n">
        <v>36</v>
      </c>
      <c r="G3146" s="2" t="s">
        <v>575</v>
      </c>
      <c r="H3146" s="2" t="str">
        <f aca="false">IFERROR(__xludf.dummyfunction("IF(I3180="""", """", REGEXEXTRACT(I3180, ""Padrao/([^/]+)""))"),"Residencial Florida")</f>
        <v>Residencial Florida</v>
      </c>
    </row>
    <row r="3147" customFormat="false" ht="15.75" hidden="false" customHeight="false" outlineLevel="0" collapsed="false">
      <c r="A3147" s="2" t="n">
        <v>147536</v>
      </c>
      <c r="B3147" s="2" t="s">
        <v>2544</v>
      </c>
      <c r="C3147" s="2" t="n">
        <v>2</v>
      </c>
      <c r="D3147" s="2" t="n">
        <v>2</v>
      </c>
      <c r="E3147" s="2" t="n">
        <v>1</v>
      </c>
      <c r="F3147" s="2" t="n">
        <v>89</v>
      </c>
      <c r="G3147" s="2" t="s">
        <v>575</v>
      </c>
      <c r="H3147" s="2" t="str">
        <f aca="false">IFERROR(__xludf.dummyfunction("IF(I3181="""", """", REGEXEXTRACT(I3181, ""Padrao/([^/]+)""))"),"Centro")</f>
        <v>Centro</v>
      </c>
    </row>
    <row r="3148" customFormat="false" ht="15.75" hidden="false" customHeight="false" outlineLevel="0" collapsed="false">
      <c r="A3148" s="2" t="n">
        <v>143675</v>
      </c>
      <c r="B3148" s="2" t="s">
        <v>1139</v>
      </c>
      <c r="C3148" s="2" t="n">
        <v>2</v>
      </c>
      <c r="D3148" s="2" t="n">
        <v>2</v>
      </c>
      <c r="E3148" s="2" t="n">
        <v>1</v>
      </c>
      <c r="F3148" s="2" t="n">
        <v>69</v>
      </c>
      <c r="G3148" s="2" t="s">
        <v>575</v>
      </c>
      <c r="H3148" s="2" t="str">
        <f aca="false">IFERROR(__xludf.dummyfunction("IF(I3182="""", """", REGEXEXTRACT(I3182, ""Padrao/([^/]+)""))"),"Jardim Anhanguera")</f>
        <v>Jardim Anhanguera</v>
      </c>
    </row>
    <row r="3149" customFormat="false" ht="15.75" hidden="false" customHeight="false" outlineLevel="0" collapsed="false">
      <c r="A3149" s="2" t="n">
        <v>135785</v>
      </c>
      <c r="B3149" s="2" t="s">
        <v>2545</v>
      </c>
      <c r="C3149" s="2" t="n">
        <v>1</v>
      </c>
      <c r="D3149" s="2" t="n">
        <v>1</v>
      </c>
      <c r="E3149" s="2" t="n">
        <v>1</v>
      </c>
      <c r="F3149" s="2" t="n">
        <v>49</v>
      </c>
      <c r="G3149" s="2" t="s">
        <v>575</v>
      </c>
      <c r="H3149" s="2" t="str">
        <f aca="false">IFERROR(__xludf.dummyfunction("IF(I3183="""", """", REGEXEXTRACT(I3183, ""Padrao/([^/]+)""))"),"Centro")</f>
        <v>Centro</v>
      </c>
    </row>
    <row r="3150" customFormat="false" ht="15.75" hidden="false" customHeight="false" outlineLevel="0" collapsed="false">
      <c r="A3150" s="2" t="n">
        <v>128825</v>
      </c>
      <c r="B3150" s="2" t="s">
        <v>162</v>
      </c>
      <c r="C3150" s="2" t="n">
        <v>3</v>
      </c>
      <c r="D3150" s="2" t="n">
        <v>2</v>
      </c>
      <c r="E3150" s="2" t="n">
        <v>1</v>
      </c>
      <c r="F3150" s="2" t="n">
        <v>83</v>
      </c>
      <c r="G3150" s="2" t="s">
        <v>575</v>
      </c>
      <c r="H3150" s="2" t="str">
        <f aca="false">IFERROR(__xludf.dummyfunction("IF(I3184="""", """", REGEXEXTRACT(I3184, ""Padrao/([^/]+)""))"),"Jardim Zara")</f>
        <v>Jardim Zara</v>
      </c>
    </row>
    <row r="3151" customFormat="false" ht="15.75" hidden="false" customHeight="false" outlineLevel="0" collapsed="false">
      <c r="A3151" s="2" t="n">
        <v>127211</v>
      </c>
      <c r="B3151" s="2" t="s">
        <v>1871</v>
      </c>
      <c r="C3151" s="2" t="n">
        <v>1</v>
      </c>
      <c r="D3151" s="2" t="n">
        <v>1</v>
      </c>
      <c r="E3151" s="2" t="n">
        <v>1</v>
      </c>
      <c r="F3151" s="2" t="n">
        <v>40</v>
      </c>
      <c r="G3151" s="2" t="s">
        <v>575</v>
      </c>
      <c r="H3151" s="2" t="str">
        <f aca="false">IFERROR(__xludf.dummyfunction("IF(I3185="""", """", REGEXEXTRACT(I3185, ""Padrao/([^/]+)""))"),"Nova Alianca")</f>
        <v>Nova Alianca</v>
      </c>
    </row>
    <row r="3152" customFormat="false" ht="15.75" hidden="false" customHeight="false" outlineLevel="0" collapsed="false">
      <c r="A3152" s="2" t="n">
        <v>125828</v>
      </c>
      <c r="B3152" s="2" t="s">
        <v>2546</v>
      </c>
      <c r="C3152" s="2" t="n">
        <v>2</v>
      </c>
      <c r="D3152" s="2" t="n">
        <v>1</v>
      </c>
      <c r="E3152" s="2" t="n">
        <v>1</v>
      </c>
      <c r="F3152" s="2" t="n">
        <v>65</v>
      </c>
      <c r="G3152" s="2" t="s">
        <v>575</v>
      </c>
      <c r="H3152" s="2" t="str">
        <f aca="false">IFERROR(__xludf.dummyfunction("IF(I3186="""", """", REGEXEXTRACT(I3186, ""Padrao/([^/]+)""))"),"Centro")</f>
        <v>Centro</v>
      </c>
    </row>
    <row r="3153" customFormat="false" ht="15.75" hidden="false" customHeight="false" outlineLevel="0" collapsed="false">
      <c r="A3153" s="2" t="n">
        <v>121874</v>
      </c>
      <c r="B3153" s="2" t="s">
        <v>2547</v>
      </c>
      <c r="C3153" s="2" t="n">
        <v>1</v>
      </c>
      <c r="D3153" s="2" t="n">
        <v>1</v>
      </c>
      <c r="E3153" s="2" t="n">
        <v>1</v>
      </c>
      <c r="F3153" s="2" t="n">
        <v>46</v>
      </c>
      <c r="G3153" s="2" t="s">
        <v>575</v>
      </c>
      <c r="H3153" s="2" t="str">
        <f aca="false">IFERROR(__xludf.dummyfunction("IF(I3187="""", """", REGEXEXTRACT(I3187, ""Padrao/([^/]+)""))"),"Jardim Botanico")</f>
        <v>Jardim Botanico</v>
      </c>
    </row>
    <row r="3154" customFormat="false" ht="15.75" hidden="false" customHeight="false" outlineLevel="0" collapsed="false">
      <c r="A3154" s="2" t="n">
        <v>117617</v>
      </c>
      <c r="B3154" s="2" t="s">
        <v>162</v>
      </c>
      <c r="C3154" s="2" t="n">
        <v>2</v>
      </c>
      <c r="D3154" s="2" t="n">
        <v>1</v>
      </c>
      <c r="E3154" s="2" t="n">
        <v>1</v>
      </c>
      <c r="F3154" s="2" t="n">
        <v>86</v>
      </c>
      <c r="G3154" s="2" t="s">
        <v>575</v>
      </c>
      <c r="H3154" s="2" t="str">
        <f aca="false">IFERROR(__xludf.dummyfunction("IF(I3188="""", """", REGEXEXTRACT(I3188, ""Padrao/([^/]+)""))"),"Jardim Iraja")</f>
        <v>Jardim Iraja</v>
      </c>
    </row>
    <row r="3155" customFormat="false" ht="15.75" hidden="false" customHeight="false" outlineLevel="0" collapsed="false">
      <c r="A3155" s="2" t="n">
        <v>116975</v>
      </c>
      <c r="B3155" s="2" t="s">
        <v>2548</v>
      </c>
      <c r="C3155" s="2" t="n">
        <v>2</v>
      </c>
      <c r="D3155" s="2" t="n">
        <v>2</v>
      </c>
      <c r="E3155" s="2" t="n">
        <v>1</v>
      </c>
      <c r="F3155" s="2" t="n">
        <v>62</v>
      </c>
      <c r="G3155" s="2" t="s">
        <v>575</v>
      </c>
      <c r="H3155" s="2" t="str">
        <f aca="false">IFERROR(__xludf.dummyfunction("IF(I3189="""", """", REGEXEXTRACT(I3189, ""Padrao/([^/]+)""))"),"Vila Maria Luiza")</f>
        <v>Vila Maria Luiza</v>
      </c>
    </row>
    <row r="3156" customFormat="false" ht="15.75" hidden="false" customHeight="false" outlineLevel="0" collapsed="false">
      <c r="A3156" s="2" t="n">
        <v>115733</v>
      </c>
      <c r="B3156" s="2" t="s">
        <v>2549</v>
      </c>
      <c r="C3156" s="2" t="n">
        <v>2</v>
      </c>
      <c r="D3156" s="2" t="n">
        <v>1</v>
      </c>
      <c r="E3156" s="2" t="n">
        <v>1</v>
      </c>
      <c r="F3156" s="2" t="n">
        <v>46</v>
      </c>
      <c r="G3156" s="2" t="s">
        <v>575</v>
      </c>
      <c r="H3156" s="2" t="str">
        <f aca="false">IFERROR(__xludf.dummyfunction("IF(I3190="""", """", REGEXEXTRACT(I3190, ""Padrao/([^/]+)""))"),"Jardim Marchesi")</f>
        <v>Jardim Marchesi</v>
      </c>
    </row>
    <row r="3157" customFormat="false" ht="15.75" hidden="false" customHeight="false" outlineLevel="0" collapsed="false">
      <c r="A3157" s="2" t="n">
        <v>107849</v>
      </c>
      <c r="B3157" s="2" t="s">
        <v>2550</v>
      </c>
      <c r="C3157" s="2" t="n">
        <v>3</v>
      </c>
      <c r="D3157" s="2" t="n">
        <v>2</v>
      </c>
      <c r="E3157" s="2" t="n">
        <v>2</v>
      </c>
      <c r="F3157" s="2" t="n">
        <v>172</v>
      </c>
      <c r="G3157" s="2" t="s">
        <v>575</v>
      </c>
      <c r="H3157" s="2" t="str">
        <f aca="false">IFERROR(__xludf.dummyfunction("IF(I3191="""", """", REGEXEXTRACT(I3191, ""Padrao/([^/]+)""))"),"Residencial e Comercial Palmares")</f>
        <v>Residencial e Comercial Palmares</v>
      </c>
    </row>
    <row r="3158" customFormat="false" ht="15.75" hidden="false" customHeight="false" outlineLevel="0" collapsed="false">
      <c r="A3158" s="2" t="n">
        <v>101573</v>
      </c>
      <c r="B3158" s="2" t="s">
        <v>162</v>
      </c>
      <c r="C3158" s="2" t="n">
        <v>1</v>
      </c>
      <c r="D3158" s="2" t="n">
        <v>1</v>
      </c>
      <c r="E3158" s="2" t="n">
        <v>1</v>
      </c>
      <c r="F3158" s="2" t="n">
        <v>63</v>
      </c>
      <c r="G3158" s="2" t="s">
        <v>575</v>
      </c>
      <c r="H3158" s="2" t="str">
        <f aca="false">IFERROR(__xludf.dummyfunction("IF(I3192="""", """", REGEXEXTRACT(I3192, ""Padrao/([^/]+)""))"),"Centro")</f>
        <v>Centro</v>
      </c>
    </row>
    <row r="3159" customFormat="false" ht="15.75" hidden="false" customHeight="false" outlineLevel="0" collapsed="false">
      <c r="A3159" s="2" t="n">
        <v>100373</v>
      </c>
      <c r="B3159" s="2" t="s">
        <v>162</v>
      </c>
      <c r="C3159" s="2" t="n">
        <v>2</v>
      </c>
      <c r="D3159" s="2" t="n">
        <v>1</v>
      </c>
      <c r="E3159" s="2" t="n">
        <v>1</v>
      </c>
      <c r="F3159" s="2" t="n">
        <v>66</v>
      </c>
      <c r="G3159" s="2" t="s">
        <v>575</v>
      </c>
      <c r="H3159" s="2" t="str">
        <f aca="false">IFERROR(__xludf.dummyfunction("IF(I3193="""", """", REGEXEXTRACT(I3193, ""Padrao/([^/]+)""))"),"Sumarezinho")</f>
        <v>Sumarezinho</v>
      </c>
    </row>
    <row r="3160" customFormat="false" ht="15.75" hidden="false" customHeight="false" outlineLevel="0" collapsed="false">
      <c r="A3160" s="2" t="n">
        <v>98642</v>
      </c>
      <c r="B3160" s="2" t="s">
        <v>1746</v>
      </c>
      <c r="C3160" s="2" t="n">
        <v>1</v>
      </c>
      <c r="D3160" s="2" t="n">
        <v>1</v>
      </c>
      <c r="E3160" s="2" t="n">
        <v>1</v>
      </c>
      <c r="F3160" s="2" t="n">
        <v>55</v>
      </c>
      <c r="G3160" s="2" t="s">
        <v>575</v>
      </c>
      <c r="H3160" s="2" t="str">
        <f aca="false">IFERROR(__xludf.dummyfunction("IF(I3194="""", """", REGEXEXTRACT(I3194, ""Padrao/([^/]+)""))"),"Nova Alianca")</f>
        <v>Nova Alianca</v>
      </c>
    </row>
    <row r="3161" customFormat="false" ht="15.75" hidden="false" customHeight="false" outlineLevel="0" collapsed="false">
      <c r="A3161" s="2" t="n">
        <v>94394</v>
      </c>
      <c r="B3161" s="2" t="s">
        <v>551</v>
      </c>
      <c r="C3161" s="2" t="n">
        <v>1</v>
      </c>
      <c r="D3161" s="2" t="n">
        <v>1</v>
      </c>
      <c r="E3161" s="2" t="n">
        <v>1</v>
      </c>
      <c r="F3161" s="2" t="n">
        <v>69</v>
      </c>
      <c r="G3161" s="2" t="s">
        <v>575</v>
      </c>
      <c r="H3161" s="2" t="str">
        <f aca="false">IFERROR(__xludf.dummyfunction("IF(I3195="""", """", REGEXEXTRACT(I3195, ""Padrao/([^/]+)""))"),"Higienopolis")</f>
        <v>Higienopolis</v>
      </c>
    </row>
    <row r="3162" customFormat="false" ht="15.75" hidden="false" customHeight="false" outlineLevel="0" collapsed="false">
      <c r="A3162" s="2" t="n">
        <v>93101</v>
      </c>
      <c r="B3162" s="2" t="s">
        <v>2551</v>
      </c>
      <c r="C3162" s="2" t="n">
        <v>2</v>
      </c>
      <c r="D3162" s="2" t="n">
        <v>1</v>
      </c>
      <c r="E3162" s="2" t="n">
        <v>1</v>
      </c>
      <c r="F3162" s="2" t="n">
        <v>71</v>
      </c>
      <c r="G3162" s="2" t="s">
        <v>575</v>
      </c>
      <c r="H3162" s="2" t="str">
        <f aca="false">IFERROR(__xludf.dummyfunction("IF(I3196="""", """", REGEXEXTRACT(I3196, ""Padrao/([^/]+)""))"),"Jardim Paulista")</f>
        <v>Jardim Paulista</v>
      </c>
    </row>
    <row r="3163" customFormat="false" ht="15.75" hidden="false" customHeight="false" outlineLevel="0" collapsed="false">
      <c r="A3163" s="2" t="n">
        <v>92876</v>
      </c>
      <c r="B3163" s="2" t="s">
        <v>1941</v>
      </c>
      <c r="C3163" s="2" t="n">
        <v>2</v>
      </c>
      <c r="D3163" s="2" t="n">
        <v>1</v>
      </c>
      <c r="E3163" s="2" t="n">
        <v>1</v>
      </c>
      <c r="F3163" s="2" t="n">
        <v>65</v>
      </c>
      <c r="G3163" s="2" t="s">
        <v>575</v>
      </c>
      <c r="H3163" s="2" t="str">
        <f aca="false">IFERROR(__xludf.dummyfunction("IF(I3197="""", """", REGEXEXTRACT(I3197, ""Padrao/([^/]+)""))"),"Centro")</f>
        <v>Centro</v>
      </c>
    </row>
    <row r="3164" customFormat="false" ht="15.75" hidden="false" customHeight="false" outlineLevel="0" collapsed="false">
      <c r="A3164" s="2" t="n">
        <v>85481</v>
      </c>
      <c r="B3164" s="2" t="s">
        <v>2552</v>
      </c>
      <c r="C3164" s="2" t="n">
        <v>2</v>
      </c>
      <c r="D3164" s="2" t="n">
        <v>2</v>
      </c>
      <c r="E3164" s="2" t="n">
        <v>1</v>
      </c>
      <c r="F3164" s="2" t="n">
        <v>65</v>
      </c>
      <c r="G3164" s="2" t="s">
        <v>575</v>
      </c>
      <c r="H3164" s="2" t="str">
        <f aca="false">IFERROR(__xludf.dummyfunction("IF(I3198="""", """", REGEXEXTRACT(I3198, ""Padrao/([^/]+)""))"),"Centro")</f>
        <v>Centro</v>
      </c>
    </row>
    <row r="3165" customFormat="false" ht="15.75" hidden="false" customHeight="false" outlineLevel="0" collapsed="false">
      <c r="A3165" s="2" t="n">
        <v>83804</v>
      </c>
      <c r="B3165" s="2" t="s">
        <v>162</v>
      </c>
      <c r="C3165" s="2" t="n">
        <v>3</v>
      </c>
      <c r="D3165" s="2" t="n">
        <v>2</v>
      </c>
      <c r="E3165" s="2" t="n">
        <v>1</v>
      </c>
      <c r="F3165" s="2" t="n">
        <v>73</v>
      </c>
      <c r="G3165" s="2" t="s">
        <v>575</v>
      </c>
      <c r="H3165" s="2" t="str">
        <f aca="false">IFERROR(__xludf.dummyfunction("IF(I3199="""", """", REGEXEXTRACT(I3199, ""Padrao/([^/]+)""))"),"Parque Industrial Lagoinha")</f>
        <v>Parque Industrial Lagoinha</v>
      </c>
    </row>
    <row r="3166" customFormat="false" ht="15.75" hidden="false" customHeight="false" outlineLevel="0" collapsed="false">
      <c r="A3166" s="2" t="n">
        <v>79601</v>
      </c>
      <c r="B3166" s="2" t="s">
        <v>162</v>
      </c>
      <c r="C3166" s="2" t="n">
        <v>2</v>
      </c>
      <c r="D3166" s="2" t="n">
        <v>2</v>
      </c>
      <c r="E3166" s="2" t="n">
        <v>1</v>
      </c>
      <c r="F3166" s="2" t="n">
        <v>78</v>
      </c>
      <c r="G3166" s="2" t="s">
        <v>575</v>
      </c>
      <c r="H3166" s="2" t="str">
        <f aca="false">IFERROR(__xludf.dummyfunction("IF(I3200="""", """", REGEXEXTRACT(I3200, ""Padrao/([^/]+)""))"),"Centro")</f>
        <v>Centro</v>
      </c>
    </row>
    <row r="3167" customFormat="false" ht="15.75" hidden="false" customHeight="false" outlineLevel="0" collapsed="false">
      <c r="A3167" s="2" t="n">
        <v>77732</v>
      </c>
      <c r="B3167" s="2" t="s">
        <v>2553</v>
      </c>
      <c r="C3167" s="2" t="n">
        <v>2</v>
      </c>
      <c r="D3167" s="2" t="n">
        <v>1</v>
      </c>
      <c r="E3167" s="2" t="n">
        <v>1</v>
      </c>
      <c r="F3167" s="2" t="n">
        <v>59</v>
      </c>
      <c r="G3167" s="2" t="s">
        <v>575</v>
      </c>
      <c r="H3167" s="2" t="str">
        <f aca="false">IFERROR(__xludf.dummyfunction("IF(I3201="""", """", REGEXEXTRACT(I3201, ""Padrao/([^/]+)""))"),"Parque Industrial Lagoinha")</f>
        <v>Parque Industrial Lagoinha</v>
      </c>
    </row>
    <row r="3168" customFormat="false" ht="15.75" hidden="false" customHeight="false" outlineLevel="0" collapsed="false">
      <c r="A3168" s="2" t="n">
        <v>68102</v>
      </c>
      <c r="B3168" s="2" t="s">
        <v>162</v>
      </c>
      <c r="C3168" s="2" t="n">
        <v>1</v>
      </c>
      <c r="D3168" s="2" t="n">
        <v>1</v>
      </c>
      <c r="E3168" s="2" t="n">
        <v>1</v>
      </c>
      <c r="F3168" s="2" t="n">
        <v>40</v>
      </c>
      <c r="G3168" s="2" t="s">
        <v>575</v>
      </c>
      <c r="H3168" s="2" t="str">
        <f aca="false">IFERROR(__xludf.dummyfunction("IF(I3202="""", """", REGEXEXTRACT(I3202, ""Padrao/([^/]+)""))"),"Jardim America")</f>
        <v>Jardim America</v>
      </c>
    </row>
    <row r="3169" customFormat="false" ht="15.75" hidden="false" customHeight="false" outlineLevel="0" collapsed="false">
      <c r="A3169" s="2" t="n">
        <v>67538</v>
      </c>
      <c r="B3169" s="2" t="s">
        <v>2154</v>
      </c>
      <c r="C3169" s="2" t="n">
        <v>1</v>
      </c>
      <c r="D3169" s="2" t="n">
        <v>1</v>
      </c>
      <c r="E3169" s="2" t="n">
        <v>1</v>
      </c>
      <c r="F3169" s="2" t="n">
        <v>44</v>
      </c>
      <c r="G3169" s="2" t="s">
        <v>575</v>
      </c>
      <c r="H3169" s="2" t="str">
        <f aca="false">IFERROR(__xludf.dummyfunction("IF(I3203="""", """", REGEXEXTRACT(I3203, ""Padrao/([^/]+)""))"),"Jardim Sumare")</f>
        <v>Jardim Sumare</v>
      </c>
    </row>
    <row r="3170" customFormat="false" ht="15.75" hidden="false" customHeight="false" outlineLevel="0" collapsed="false">
      <c r="A3170" s="2" t="n">
        <v>54965</v>
      </c>
      <c r="B3170" s="2" t="s">
        <v>1955</v>
      </c>
      <c r="C3170" s="2" t="n">
        <v>3</v>
      </c>
      <c r="D3170" s="2" t="n">
        <v>1</v>
      </c>
      <c r="E3170" s="2" t="n">
        <v>1</v>
      </c>
      <c r="F3170" s="2" t="n">
        <v>69</v>
      </c>
      <c r="G3170" s="2" t="s">
        <v>575</v>
      </c>
      <c r="H3170" s="2" t="str">
        <f aca="false">IFERROR(__xludf.dummyfunction("IF(I3204="""", """", REGEXEXTRACT(I3204, ""Padrao/([^/]+)""))"),"Jardim Paulista")</f>
        <v>Jardim Paulista</v>
      </c>
    </row>
    <row r="3171" customFormat="false" ht="15.75" hidden="false" customHeight="false" outlineLevel="0" collapsed="false">
      <c r="A3171" s="2" t="n">
        <v>48944</v>
      </c>
      <c r="B3171" s="2" t="s">
        <v>2554</v>
      </c>
      <c r="C3171" s="2" t="n">
        <v>3</v>
      </c>
      <c r="D3171" s="2" t="n">
        <v>2</v>
      </c>
      <c r="E3171" s="2" t="n">
        <v>1</v>
      </c>
      <c r="F3171" s="2" t="n">
        <v>66</v>
      </c>
      <c r="G3171" s="2" t="s">
        <v>575</v>
      </c>
      <c r="H3171" s="2" t="str">
        <f aca="false">IFERROR(__xludf.dummyfunction("IF(I3205="""", """", REGEXEXTRACT(I3205, ""Padrao/([^/]+)""))"),"Parque Industrial Lagoinha")</f>
        <v>Parque Industrial Lagoinha</v>
      </c>
    </row>
    <row r="3172" customFormat="false" ht="15.75" hidden="false" customHeight="false" outlineLevel="0" collapsed="false">
      <c r="A3172" s="2" t="n">
        <v>32882</v>
      </c>
      <c r="B3172" s="2" t="s">
        <v>1429</v>
      </c>
      <c r="C3172" s="2" t="n">
        <v>3</v>
      </c>
      <c r="D3172" s="2" t="n">
        <v>2</v>
      </c>
      <c r="E3172" s="2" t="n">
        <v>2</v>
      </c>
      <c r="F3172" s="2" t="n">
        <v>75</v>
      </c>
      <c r="G3172" s="2" t="s">
        <v>575</v>
      </c>
      <c r="H3172" s="2" t="str">
        <f aca="false">IFERROR(__xludf.dummyfunction("IF(I3206="""", """", REGEXEXTRACT(I3206, ""Padrao/([^/]+)""))"),"Jardim Iraja")</f>
        <v>Jardim Iraja</v>
      </c>
    </row>
    <row r="3173" customFormat="false" ht="15.75" hidden="false" customHeight="false" outlineLevel="0" collapsed="false">
      <c r="A3173" s="2" t="n">
        <v>6605</v>
      </c>
      <c r="B3173" s="2" t="s">
        <v>2445</v>
      </c>
      <c r="C3173" s="2" t="n">
        <v>1</v>
      </c>
      <c r="D3173" s="2" t="n">
        <v>1</v>
      </c>
      <c r="E3173" s="2" t="n">
        <v>1</v>
      </c>
      <c r="F3173" s="2" t="n">
        <v>46</v>
      </c>
      <c r="G3173" s="2" t="s">
        <v>575</v>
      </c>
      <c r="H3173" s="2" t="str">
        <f aca="false">IFERROR(__xludf.dummyfunction("IF(I3207="""", """", REGEXEXTRACT(I3207, ""Padrao/([^/]+)""))"),"Jardim Botanico")</f>
        <v>Jardim Botanico</v>
      </c>
    </row>
    <row r="3174" customFormat="false" ht="15.75" hidden="false" customHeight="false" outlineLevel="0" collapsed="false">
      <c r="A3174" s="2" t="n">
        <v>195608</v>
      </c>
      <c r="B3174" s="2" t="s">
        <v>753</v>
      </c>
      <c r="C3174" s="2" t="n">
        <v>2</v>
      </c>
      <c r="D3174" s="2" t="n">
        <v>1</v>
      </c>
      <c r="E3174" s="2" t="n">
        <v>1</v>
      </c>
      <c r="F3174" s="2" t="n">
        <v>53</v>
      </c>
      <c r="G3174" s="2" t="s">
        <v>2555</v>
      </c>
      <c r="H3174" s="2" t="str">
        <f aca="false">IFERROR(__xludf.dummyfunction("IF(I3208="""", """", REGEXEXTRACT(I3208, ""Padrao/([^/]+)""))"),"Parque dos Lagos")</f>
        <v>Parque dos Lagos</v>
      </c>
    </row>
    <row r="3175" customFormat="false" ht="15.75" hidden="false" customHeight="false" outlineLevel="0" collapsed="false">
      <c r="A3175" s="2" t="n">
        <v>175325</v>
      </c>
      <c r="B3175" s="2" t="s">
        <v>958</v>
      </c>
      <c r="C3175" s="2" t="n">
        <v>3</v>
      </c>
      <c r="D3175" s="2" t="n">
        <v>2</v>
      </c>
      <c r="E3175" s="2" t="n">
        <v>1</v>
      </c>
      <c r="F3175" s="2" t="n">
        <v>66</v>
      </c>
      <c r="G3175" s="2" t="s">
        <v>2555</v>
      </c>
      <c r="H3175" s="2" t="str">
        <f aca="false">IFERROR(__xludf.dummyfunction("IF(I3209="""", """", REGEXEXTRACT(I3209, ""Padrao/([^/]+)""))"),"Parque Industrial Lagoinha")</f>
        <v>Parque Industrial Lagoinha</v>
      </c>
    </row>
    <row r="3176" customFormat="false" ht="15.75" hidden="false" customHeight="false" outlineLevel="0" collapsed="false">
      <c r="A3176" s="2" t="n">
        <v>126332</v>
      </c>
      <c r="B3176" s="2" t="s">
        <v>1649</v>
      </c>
      <c r="C3176" s="2" t="n">
        <v>1</v>
      </c>
      <c r="D3176" s="2" t="n">
        <v>1</v>
      </c>
      <c r="E3176" s="2" t="n">
        <v>1</v>
      </c>
      <c r="F3176" s="2" t="n">
        <v>44</v>
      </c>
      <c r="G3176" s="2" t="s">
        <v>2555</v>
      </c>
      <c r="H3176" s="2" t="str">
        <f aca="false">IFERROR(__xludf.dummyfunction("IF(I3210="""", """", REGEXEXTRACT(I3210, ""Padrao/([^/]+)""))"),"Jardim Sumare")</f>
        <v>Jardim Sumare</v>
      </c>
    </row>
    <row r="3177" customFormat="false" ht="15.75" hidden="false" customHeight="false" outlineLevel="0" collapsed="false">
      <c r="A3177" s="2" t="n">
        <v>167708</v>
      </c>
      <c r="B3177" s="2" t="s">
        <v>2556</v>
      </c>
      <c r="C3177" s="2" t="n">
        <v>3</v>
      </c>
      <c r="D3177" s="2" t="n">
        <v>2</v>
      </c>
      <c r="E3177" s="2" t="n">
        <v>1</v>
      </c>
      <c r="F3177" s="2" t="n">
        <v>62</v>
      </c>
      <c r="G3177" s="2" t="s">
        <v>2557</v>
      </c>
      <c r="H3177" s="2" t="str">
        <f aca="false">IFERROR(__xludf.dummyfunction("IF(I3211="""", """", REGEXEXTRACT(I3211, ""Padrao/([^/]+)""))"),"Alto do Ipiranga")</f>
        <v>Alto do Ipiranga</v>
      </c>
    </row>
    <row r="3178" customFormat="false" ht="15.75" hidden="false" customHeight="false" outlineLevel="0" collapsed="false">
      <c r="A3178" s="2" t="n">
        <v>214040</v>
      </c>
      <c r="B3178" s="2" t="s">
        <v>2558</v>
      </c>
      <c r="C3178" s="2" t="n">
        <v>1</v>
      </c>
      <c r="D3178" s="2" t="n">
        <v>1</v>
      </c>
      <c r="E3178" s="2" t="n">
        <v>1</v>
      </c>
      <c r="F3178" s="2" t="n">
        <v>38</v>
      </c>
      <c r="G3178" s="2" t="s">
        <v>2559</v>
      </c>
      <c r="H3178" s="2" t="str">
        <f aca="false">IFERROR(__xludf.dummyfunction("IF(I3212="""", """", REGEXEXTRACT(I3212, ""Padrao/([^/]+)""))"),"Santa Cruz do Jose Jacques")</f>
        <v>Santa Cruz do Jose Jacques</v>
      </c>
    </row>
    <row r="3179" customFormat="false" ht="15.75" hidden="false" customHeight="false" outlineLevel="0" collapsed="false">
      <c r="A3179" s="2" t="n">
        <v>209885</v>
      </c>
      <c r="B3179" s="2" t="s">
        <v>2560</v>
      </c>
      <c r="C3179" s="2" t="n">
        <v>2</v>
      </c>
      <c r="D3179" s="2" t="n">
        <v>2</v>
      </c>
      <c r="E3179" s="2" t="n">
        <v>1</v>
      </c>
      <c r="F3179" s="2" t="n">
        <v>55</v>
      </c>
      <c r="G3179" s="2" t="s">
        <v>2561</v>
      </c>
      <c r="H3179" s="2" t="str">
        <f aca="false">IFERROR(__xludf.dummyfunction("IF(I3213="""", """", REGEXEXTRACT(I3213, ""Padrao/([^/]+)""))"),"Campos Eliseos")</f>
        <v>Campos Eliseos</v>
      </c>
    </row>
    <row r="3180" customFormat="false" ht="15.75" hidden="false" customHeight="false" outlineLevel="0" collapsed="false">
      <c r="A3180" s="2" t="n">
        <v>180392</v>
      </c>
      <c r="B3180" s="2" t="s">
        <v>2562</v>
      </c>
      <c r="C3180" s="2" t="n">
        <v>2</v>
      </c>
      <c r="D3180" s="2" t="n">
        <v>2</v>
      </c>
      <c r="E3180" s="2" t="n">
        <v>1</v>
      </c>
      <c r="F3180" s="2" t="n">
        <v>53</v>
      </c>
      <c r="G3180" s="2" t="s">
        <v>533</v>
      </c>
      <c r="H3180" s="2" t="str">
        <f aca="false">IFERROR(__xludf.dummyfunction("IF(I3214="""", """", REGEXEXTRACT(I3214, ""Padrao/([^/]+)""))"),"Parque dos Lagos")</f>
        <v>Parque dos Lagos</v>
      </c>
    </row>
    <row r="3181" customFormat="false" ht="15.75" hidden="false" customHeight="false" outlineLevel="0" collapsed="false">
      <c r="A3181" s="2" t="n">
        <v>236723</v>
      </c>
      <c r="B3181" s="2" t="s">
        <v>2019</v>
      </c>
      <c r="C3181" s="2" t="n">
        <v>2</v>
      </c>
      <c r="D3181" s="2" t="n">
        <v>1</v>
      </c>
      <c r="E3181" s="2" t="n">
        <v>1</v>
      </c>
      <c r="F3181" s="2" t="n">
        <v>44</v>
      </c>
      <c r="G3181" s="2" t="s">
        <v>573</v>
      </c>
      <c r="H3181" s="2" t="str">
        <f aca="false">IFERROR(__xludf.dummyfunction("IF(I3215="""", """", REGEXEXTRACT(I3215, ""Padrao/([^/]+)""))"),"Recreio das Acacias")</f>
        <v>Recreio das Acacias</v>
      </c>
    </row>
    <row r="3182" customFormat="false" ht="15.75" hidden="false" customHeight="false" outlineLevel="0" collapsed="false">
      <c r="A3182" s="2" t="n">
        <v>235931</v>
      </c>
      <c r="B3182" s="2" t="s">
        <v>2563</v>
      </c>
      <c r="C3182" s="2" t="n">
        <v>2</v>
      </c>
      <c r="D3182" s="2" t="n">
        <v>1</v>
      </c>
      <c r="E3182" s="2" t="n">
        <v>1</v>
      </c>
      <c r="F3182" s="2" t="n">
        <v>47</v>
      </c>
      <c r="G3182" s="2" t="s">
        <v>1451</v>
      </c>
      <c r="H3182" s="2" t="str">
        <f aca="false">IFERROR(__xludf.dummyfunction("IF(I3216="""", """", REGEXEXTRACT(I3216, ""Padrao/([^/]+)""))"),"Quinta da Primavera")</f>
        <v>Quinta da Primavera</v>
      </c>
    </row>
    <row r="3183" customFormat="false" ht="15.75" hidden="false" customHeight="false" outlineLevel="0" collapsed="false">
      <c r="A3183" s="2" t="n">
        <v>241220</v>
      </c>
      <c r="B3183" s="2" t="s">
        <v>2564</v>
      </c>
      <c r="C3183" s="2" t="n">
        <v>2</v>
      </c>
      <c r="D3183" s="2" t="n">
        <v>2</v>
      </c>
      <c r="E3183" s="2" t="n">
        <v>1</v>
      </c>
      <c r="F3183" s="2" t="n">
        <v>49</v>
      </c>
      <c r="G3183" s="2" t="s">
        <v>2565</v>
      </c>
      <c r="H3183" s="2" t="str">
        <f aca="false">IFERROR(__xludf.dummyfunction("IF(I3217="""", """", REGEXEXTRACT(I3217, ""Padrao/([^/]+)""))"),"Residencial Greenville")</f>
        <v>Residencial Greenville</v>
      </c>
    </row>
    <row r="3184" customFormat="false" ht="15.75" hidden="false" customHeight="false" outlineLevel="0" collapsed="false">
      <c r="A3184" s="2" t="n">
        <v>234257</v>
      </c>
      <c r="B3184" s="2" t="s">
        <v>2566</v>
      </c>
      <c r="C3184" s="2" t="n">
        <v>2</v>
      </c>
      <c r="D3184" s="2" t="n">
        <v>2</v>
      </c>
      <c r="E3184" s="2" t="n">
        <v>1</v>
      </c>
      <c r="F3184" s="2" t="n">
        <v>59</v>
      </c>
      <c r="G3184" s="2" t="s">
        <v>2565</v>
      </c>
      <c r="H3184" s="2" t="str">
        <f aca="false">IFERROR(__xludf.dummyfunction("IF(I3218="""", """", REGEXEXTRACT(I3218, ""Padrao/([^/]+)""))"),"Residencial Greenville")</f>
        <v>Residencial Greenville</v>
      </c>
    </row>
    <row r="3185" customFormat="false" ht="15.75" hidden="false" customHeight="false" outlineLevel="0" collapsed="false">
      <c r="A3185" s="2" t="n">
        <v>189350</v>
      </c>
      <c r="B3185" s="2" t="s">
        <v>2567</v>
      </c>
      <c r="C3185" s="2" t="n">
        <v>2</v>
      </c>
      <c r="D3185" s="2" t="n">
        <v>1</v>
      </c>
      <c r="E3185" s="2" t="n">
        <v>1</v>
      </c>
      <c r="F3185" s="2" t="n">
        <v>54</v>
      </c>
      <c r="G3185" s="2" t="s">
        <v>2565</v>
      </c>
      <c r="H3185" s="2" t="str">
        <f aca="false">IFERROR(__xludf.dummyfunction("IF(I3219="""", """", REGEXEXTRACT(I3219, ""Padrao/([^/]+)""))"),"Jardim Zara")</f>
        <v>Jardim Zara</v>
      </c>
    </row>
    <row r="3186" customFormat="false" ht="15.75" hidden="false" customHeight="false" outlineLevel="0" collapsed="false">
      <c r="A3186" s="2" t="n">
        <v>186806</v>
      </c>
      <c r="B3186" s="2" t="s">
        <v>605</v>
      </c>
      <c r="C3186" s="2" t="n">
        <v>2</v>
      </c>
      <c r="D3186" s="2" t="n">
        <v>2</v>
      </c>
      <c r="E3186" s="2" t="n">
        <v>1</v>
      </c>
      <c r="F3186" s="2" t="n">
        <v>60</v>
      </c>
      <c r="G3186" s="2" t="s">
        <v>2565</v>
      </c>
      <c r="H3186" s="2" t="str">
        <f aca="false">IFERROR(__xludf.dummyfunction("IF(I3220="""", """", REGEXEXTRACT(I3220, ""Padrao/([^/]+)""))"),"Campos Eliseos")</f>
        <v>Campos Eliseos</v>
      </c>
    </row>
    <row r="3187" customFormat="false" ht="15.75" hidden="false" customHeight="false" outlineLevel="0" collapsed="false">
      <c r="A3187" s="2" t="n">
        <v>157532</v>
      </c>
      <c r="B3187" s="2" t="s">
        <v>2568</v>
      </c>
      <c r="C3187" s="2" t="n">
        <v>2</v>
      </c>
      <c r="D3187" s="2" t="n">
        <v>2</v>
      </c>
      <c r="E3187" s="2" t="n">
        <v>1</v>
      </c>
      <c r="F3187" s="2" t="n">
        <v>64</v>
      </c>
      <c r="G3187" s="2" t="s">
        <v>2565</v>
      </c>
      <c r="H3187" s="2" t="str">
        <f aca="false">IFERROR(__xludf.dummyfunction("IF(I3221="""", """", REGEXEXTRACT(I3221, ""Padrao/([^/]+)""))"),"Jardim Palma Travassos")</f>
        <v>Jardim Palma Travassos</v>
      </c>
    </row>
    <row r="3188" customFormat="false" ht="15.75" hidden="false" customHeight="false" outlineLevel="0" collapsed="false">
      <c r="A3188" s="2" t="n">
        <v>100568</v>
      </c>
      <c r="B3188" s="2" t="s">
        <v>162</v>
      </c>
      <c r="C3188" s="2" t="n">
        <v>3</v>
      </c>
      <c r="D3188" s="2" t="n">
        <v>2</v>
      </c>
      <c r="E3188" s="2" t="n">
        <v>1</v>
      </c>
      <c r="F3188" s="2" t="n">
        <v>68</v>
      </c>
      <c r="G3188" s="2" t="s">
        <v>2565</v>
      </c>
      <c r="H3188" s="2" t="str">
        <f aca="false">IFERROR(__xludf.dummyfunction("IF(I3222="""", """", REGEXEXTRACT(I3222, ""Padrao/([^/]+)""))"),"Jardim Palma Travassos")</f>
        <v>Jardim Palma Travassos</v>
      </c>
    </row>
    <row r="3189" customFormat="false" ht="15.75" hidden="false" customHeight="false" outlineLevel="0" collapsed="false">
      <c r="A3189" s="2" t="n">
        <v>68573</v>
      </c>
      <c r="B3189" s="2" t="s">
        <v>2569</v>
      </c>
      <c r="C3189" s="2" t="n">
        <v>1</v>
      </c>
      <c r="D3189" s="2" t="n">
        <v>1</v>
      </c>
      <c r="E3189" s="2" t="n">
        <v>1</v>
      </c>
      <c r="F3189" s="2" t="n">
        <v>44</v>
      </c>
      <c r="G3189" s="2" t="s">
        <v>2565</v>
      </c>
      <c r="H3189" s="2" t="str">
        <f aca="false">IFERROR(__xludf.dummyfunction("IF(I3223="""", """", REGEXEXTRACT(I3223, ""Padrao/([^/]+)""))"),"Jardim Paulista")</f>
        <v>Jardim Paulista</v>
      </c>
    </row>
    <row r="3190" customFormat="false" ht="15.75" hidden="false" customHeight="false" outlineLevel="0" collapsed="false">
      <c r="A3190" s="2" t="n">
        <v>12719</v>
      </c>
      <c r="B3190" s="2" t="s">
        <v>2570</v>
      </c>
      <c r="C3190" s="2" t="n">
        <v>3</v>
      </c>
      <c r="D3190" s="2" t="n">
        <v>2</v>
      </c>
      <c r="E3190" s="2" t="n">
        <v>1</v>
      </c>
      <c r="F3190" s="2" t="n">
        <v>86</v>
      </c>
      <c r="G3190" s="2" t="s">
        <v>2565</v>
      </c>
      <c r="H3190" s="2" t="str">
        <f aca="false">IFERROR(__xludf.dummyfunction("IF(I3224="""", """", REGEXEXTRACT(I3224, ""Padrao/([^/]+)""))"),"Vila Virginia")</f>
        <v>Vila Virginia</v>
      </c>
    </row>
    <row r="3191" customFormat="false" ht="15.75" hidden="false" customHeight="false" outlineLevel="0" collapsed="false">
      <c r="A3191" s="2" t="n">
        <v>212720</v>
      </c>
      <c r="B3191" s="2" t="s">
        <v>2571</v>
      </c>
      <c r="C3191" s="2" t="n">
        <v>2</v>
      </c>
      <c r="D3191" s="2" t="n">
        <v>1</v>
      </c>
      <c r="E3191" s="2" t="n">
        <v>1</v>
      </c>
      <c r="F3191" s="2" t="n">
        <v>57</v>
      </c>
      <c r="G3191" s="2" t="s">
        <v>2572</v>
      </c>
      <c r="H3191" s="2" t="str">
        <f aca="false">IFERROR(__xludf.dummyfunction("IF(I3225="""", """", REGEXEXTRACT(I3225, ""Padrao/([^/]+)""))"),"Ipiranga")</f>
        <v>Ipiranga</v>
      </c>
    </row>
    <row r="3192" customFormat="false" ht="15.75" hidden="false" customHeight="false" outlineLevel="0" collapsed="false">
      <c r="A3192" s="2" t="n">
        <v>139316</v>
      </c>
      <c r="B3192" s="2" t="s">
        <v>1305</v>
      </c>
      <c r="C3192" s="2" t="n">
        <v>3</v>
      </c>
      <c r="D3192" s="2" t="n">
        <v>1</v>
      </c>
      <c r="E3192" s="2" t="n">
        <v>1</v>
      </c>
      <c r="F3192" s="2" t="n">
        <v>103</v>
      </c>
      <c r="G3192" s="2" t="s">
        <v>2572</v>
      </c>
      <c r="H3192" s="2" t="str">
        <f aca="false">IFERROR(__xludf.dummyfunction("IF(I3226="""", """", REGEXEXTRACT(I3226, ""Padrao/([^/]+)""))"),"Sumarezinho")</f>
        <v>Sumarezinho</v>
      </c>
    </row>
    <row r="3193" customFormat="false" ht="15.75" hidden="false" customHeight="false" outlineLevel="0" collapsed="false">
      <c r="A3193" s="2" t="n">
        <v>243539</v>
      </c>
      <c r="B3193" s="2" t="s">
        <v>2573</v>
      </c>
      <c r="C3193" s="2" t="n">
        <v>1</v>
      </c>
      <c r="D3193" s="2" t="n">
        <v>1</v>
      </c>
      <c r="E3193" s="2" t="n">
        <v>1</v>
      </c>
      <c r="F3193" s="2" t="n">
        <v>31</v>
      </c>
      <c r="G3193" s="2" t="s">
        <v>2574</v>
      </c>
      <c r="H3193" s="2" t="str">
        <f aca="false">IFERROR(__xludf.dummyfunction("IF(I3227="""", """", REGEXEXTRACT(I3227, ""Padrao/([^/]+)""))"),"Ribeirania")</f>
        <v>Ribeirania</v>
      </c>
    </row>
    <row r="3194" customFormat="false" ht="15.75" hidden="false" customHeight="false" outlineLevel="0" collapsed="false">
      <c r="A3194" s="2" t="n">
        <v>214793</v>
      </c>
      <c r="B3194" s="2" t="s">
        <v>2575</v>
      </c>
      <c r="C3194" s="2" t="n">
        <v>1</v>
      </c>
      <c r="D3194" s="2" t="n">
        <v>1</v>
      </c>
      <c r="E3194" s="2" t="n">
        <v>1</v>
      </c>
      <c r="F3194" s="2" t="n">
        <v>56</v>
      </c>
      <c r="G3194" s="2" t="s">
        <v>2574</v>
      </c>
      <c r="H3194" s="2" t="str">
        <f aca="false">IFERROR(__xludf.dummyfunction("IF(I3228="""", """", REGEXEXTRACT(I3228, ""Padrao/([^/]+)""))"),"Centro")</f>
        <v>Centro</v>
      </c>
    </row>
    <row r="3195" customFormat="false" ht="15.75" hidden="false" customHeight="false" outlineLevel="0" collapsed="false">
      <c r="A3195" s="2" t="n">
        <v>203984</v>
      </c>
      <c r="B3195" s="2" t="s">
        <v>2576</v>
      </c>
      <c r="C3195" s="2" t="n">
        <v>2</v>
      </c>
      <c r="D3195" s="2" t="n">
        <v>1</v>
      </c>
      <c r="E3195" s="2" t="n">
        <v>1</v>
      </c>
      <c r="F3195" s="2" t="n">
        <v>46</v>
      </c>
      <c r="G3195" s="2" t="s">
        <v>2574</v>
      </c>
      <c r="H3195" s="2" t="str">
        <f aca="false">IFERROR(__xludf.dummyfunction("IF(I3229="""", """", REGEXEXTRACT(I3229, ""Padrao/([^/]+)""))"),"Jardim Manoel Penna")</f>
        <v>Jardim Manoel Penna</v>
      </c>
    </row>
    <row r="3196" customFormat="false" ht="15.75" hidden="false" customHeight="false" outlineLevel="0" collapsed="false">
      <c r="A3196" s="2" t="n">
        <v>197435</v>
      </c>
      <c r="B3196" s="2" t="s">
        <v>2577</v>
      </c>
      <c r="C3196" s="2" t="n">
        <v>1</v>
      </c>
      <c r="D3196" s="2" t="n">
        <v>1</v>
      </c>
      <c r="E3196" s="2" t="n">
        <v>1</v>
      </c>
      <c r="F3196" s="2" t="n">
        <v>46</v>
      </c>
      <c r="G3196" s="2" t="s">
        <v>2574</v>
      </c>
      <c r="H3196" s="2" t="str">
        <f aca="false">IFERROR(__xludf.dummyfunction("IF(I3230="""", """", REGEXEXTRACT(I3230, ""Padrao/([^/]+)""))"),"Jardim Botanico")</f>
        <v>Jardim Botanico</v>
      </c>
    </row>
    <row r="3197" customFormat="false" ht="15.75" hidden="false" customHeight="false" outlineLevel="0" collapsed="false">
      <c r="A3197" s="2" t="n">
        <v>163043</v>
      </c>
      <c r="B3197" s="2" t="s">
        <v>1009</v>
      </c>
      <c r="C3197" s="2" t="n">
        <v>1</v>
      </c>
      <c r="D3197" s="2" t="n">
        <v>1</v>
      </c>
      <c r="E3197" s="2" t="n">
        <v>1</v>
      </c>
      <c r="F3197" s="2" t="n">
        <v>55</v>
      </c>
      <c r="G3197" s="2" t="s">
        <v>2574</v>
      </c>
      <c r="H3197" s="2" t="str">
        <f aca="false">IFERROR(__xludf.dummyfunction("IF(I3231="""", """", REGEXEXTRACT(I3231, ""Padrao/([^/]+)""))"),"Centro")</f>
        <v>Centro</v>
      </c>
    </row>
    <row r="3198" customFormat="false" ht="15.75" hidden="false" customHeight="false" outlineLevel="0" collapsed="false">
      <c r="A3198" s="2" t="n">
        <v>159953</v>
      </c>
      <c r="B3198" s="2" t="s">
        <v>2578</v>
      </c>
      <c r="C3198" s="2" t="n">
        <v>2</v>
      </c>
      <c r="D3198" s="2" t="n">
        <v>2</v>
      </c>
      <c r="E3198" s="2" t="n">
        <v>1</v>
      </c>
      <c r="F3198" s="2" t="n">
        <v>52</v>
      </c>
      <c r="G3198" s="2" t="s">
        <v>2574</v>
      </c>
      <c r="H3198" s="2" t="str">
        <f aca="false">IFERROR(__xludf.dummyfunction("IF(I3232="""", """", REGEXEXTRACT(I3232, ""Padrao/([^/]+)""))"),"City Ribeirao")</f>
        <v>City Ribeirao</v>
      </c>
    </row>
    <row r="3199" customFormat="false" ht="15.75" hidden="false" customHeight="false" outlineLevel="0" collapsed="false">
      <c r="A3199" s="2" t="n">
        <v>99806</v>
      </c>
      <c r="B3199" s="2" t="s">
        <v>2579</v>
      </c>
      <c r="C3199" s="2" t="n">
        <v>1</v>
      </c>
      <c r="D3199" s="2" t="n">
        <v>1</v>
      </c>
      <c r="E3199" s="2" t="n">
        <v>1</v>
      </c>
      <c r="F3199" s="2" t="n">
        <v>48</v>
      </c>
      <c r="G3199" s="2" t="s">
        <v>2574</v>
      </c>
      <c r="H3199" s="2" t="str">
        <f aca="false">IFERROR(__xludf.dummyfunction("IF(I3233="""", """", REGEXEXTRACT(I3233, ""Padrao/([^/]+)""))"),"Jardim Botanico")</f>
        <v>Jardim Botanico</v>
      </c>
    </row>
    <row r="3200" customFormat="false" ht="15.75" hidden="false" customHeight="false" outlineLevel="0" collapsed="false">
      <c r="A3200" s="2" t="n">
        <v>231317</v>
      </c>
      <c r="B3200" s="2" t="s">
        <v>2580</v>
      </c>
      <c r="C3200" s="2" t="n">
        <v>2</v>
      </c>
      <c r="D3200" s="2" t="n">
        <v>2</v>
      </c>
      <c r="E3200" s="2" t="n">
        <v>1</v>
      </c>
      <c r="F3200" s="2" t="n">
        <v>77</v>
      </c>
      <c r="G3200" s="2" t="s">
        <v>2581</v>
      </c>
      <c r="H3200" s="2" t="str">
        <f aca="false">IFERROR(__xludf.dummyfunction("IF(I3234="""", """", REGEXEXTRACT(I3234, ""Padrao/([^/]+)""))"),"Jardim Paulista")</f>
        <v>Jardim Paulista</v>
      </c>
    </row>
    <row r="3201" customFormat="false" ht="15.75" hidden="false" customHeight="false" outlineLevel="0" collapsed="false">
      <c r="A3201" s="2" t="n">
        <v>159944</v>
      </c>
      <c r="B3201" s="2" t="s">
        <v>162</v>
      </c>
      <c r="C3201" s="2" t="n">
        <v>2</v>
      </c>
      <c r="D3201" s="2" t="n">
        <v>1</v>
      </c>
      <c r="E3201" s="2" t="n">
        <v>1</v>
      </c>
      <c r="F3201" s="2" t="n">
        <v>56</v>
      </c>
      <c r="G3201" s="2" t="s">
        <v>2581</v>
      </c>
      <c r="H3201" s="2" t="str">
        <f aca="false">IFERROR(__xludf.dummyfunction("IF(I3235="""", """", REGEXEXTRACT(I3235, ""Padrao/([^/]+)""))"),"Parque Sao Sebastiao")</f>
        <v>Parque Sao Sebastiao</v>
      </c>
    </row>
    <row r="3202" customFormat="false" ht="15.75" hidden="false" customHeight="false" outlineLevel="0" collapsed="false">
      <c r="A3202" s="2" t="n">
        <v>156251</v>
      </c>
      <c r="B3202" s="2" t="s">
        <v>2582</v>
      </c>
      <c r="C3202" s="2" t="n">
        <v>2</v>
      </c>
      <c r="D3202" s="2" t="n">
        <v>1</v>
      </c>
      <c r="E3202" s="2" t="n">
        <v>1</v>
      </c>
      <c r="F3202" s="2" t="n">
        <v>47</v>
      </c>
      <c r="G3202" s="2" t="s">
        <v>2581</v>
      </c>
      <c r="H3202" s="2" t="str">
        <f aca="false">IFERROR(__xludf.dummyfunction("IF(I3236="""", """", REGEXEXTRACT(I3236, ""Padrao/([^/]+)""))"),"Condominio Mirante Sul")</f>
        <v>Condominio Mirante Sul</v>
      </c>
    </row>
    <row r="3203" customFormat="false" ht="15.75" hidden="false" customHeight="false" outlineLevel="0" collapsed="false">
      <c r="A3203" s="2" t="n">
        <v>72602</v>
      </c>
      <c r="B3203" s="2" t="s">
        <v>2583</v>
      </c>
      <c r="C3203" s="2" t="n">
        <v>1</v>
      </c>
      <c r="D3203" s="2" t="n">
        <v>1</v>
      </c>
      <c r="E3203" s="2" t="n">
        <v>1</v>
      </c>
      <c r="F3203" s="2" t="n">
        <v>46</v>
      </c>
      <c r="G3203" s="2" t="s">
        <v>2581</v>
      </c>
      <c r="H3203" s="2" t="str">
        <f aca="false">IFERROR(__xludf.dummyfunction("IF(I3237="""", """", REGEXEXTRACT(I3237, ""Padrao/([^/]+)""))"),"Jardim Botanico")</f>
        <v>Jardim Botanico</v>
      </c>
    </row>
    <row r="3204" customFormat="false" ht="15.75" hidden="false" customHeight="false" outlineLevel="0" collapsed="false">
      <c r="A3204" s="2" t="n">
        <v>120938</v>
      </c>
      <c r="B3204" s="2" t="s">
        <v>2584</v>
      </c>
      <c r="C3204" s="2" t="n">
        <v>1</v>
      </c>
      <c r="D3204" s="2" t="n">
        <v>1</v>
      </c>
      <c r="E3204" s="2" t="n">
        <v>1</v>
      </c>
      <c r="F3204" s="2" t="n">
        <v>40</v>
      </c>
      <c r="G3204" s="2" t="s">
        <v>554</v>
      </c>
      <c r="H3204" s="2" t="str">
        <f aca="false">IFERROR(__xludf.dummyfunction("IF(I3238="""", """", REGEXEXTRACT(I3238, ""Padrao/([^/]+)""))"),"Jardim Palma Travassos")</f>
        <v>Jardim Palma Travassos</v>
      </c>
    </row>
    <row r="3205" customFormat="false" ht="15.75" hidden="false" customHeight="false" outlineLevel="0" collapsed="false">
      <c r="A3205" s="2" t="n">
        <v>109340</v>
      </c>
      <c r="B3205" s="2" t="s">
        <v>2584</v>
      </c>
      <c r="C3205" s="2" t="n">
        <v>1</v>
      </c>
      <c r="D3205" s="2" t="n">
        <v>1</v>
      </c>
      <c r="E3205" s="2" t="n">
        <v>1</v>
      </c>
      <c r="F3205" s="2" t="n">
        <v>40</v>
      </c>
      <c r="G3205" s="2" t="s">
        <v>554</v>
      </c>
      <c r="H3205" s="2" t="str">
        <f aca="false">IFERROR(__xludf.dummyfunction("IF(I3239="""", """", REGEXEXTRACT(I3239, ""Padrao/([^/]+)""))"),"Jardim Palma Travassos")</f>
        <v>Jardim Palma Travassos</v>
      </c>
    </row>
    <row r="3206" customFormat="false" ht="15.75" hidden="false" customHeight="false" outlineLevel="0" collapsed="false">
      <c r="A3206" s="2" t="n">
        <v>91022</v>
      </c>
      <c r="B3206" s="2" t="s">
        <v>2278</v>
      </c>
      <c r="C3206" s="2" t="n">
        <v>1</v>
      </c>
      <c r="D3206" s="2" t="n">
        <v>1</v>
      </c>
      <c r="E3206" s="2" t="n">
        <v>1</v>
      </c>
      <c r="F3206" s="2" t="n">
        <v>48</v>
      </c>
      <c r="G3206" s="2" t="s">
        <v>554</v>
      </c>
      <c r="H3206" s="2" t="str">
        <f aca="false">IFERROR(__xludf.dummyfunction("IF(I3240="""", """", REGEXEXTRACT(I3240, ""Padrao/([^/]+)""))"),"Centro")</f>
        <v>Centro</v>
      </c>
    </row>
    <row r="3207" customFormat="false" ht="15.75" hidden="false" customHeight="false" outlineLevel="0" collapsed="false">
      <c r="A3207" s="2" t="n">
        <v>196220</v>
      </c>
      <c r="B3207" s="2" t="s">
        <v>2585</v>
      </c>
      <c r="C3207" s="2" t="n">
        <v>2</v>
      </c>
      <c r="D3207" s="2" t="n">
        <v>1</v>
      </c>
      <c r="E3207" s="2" t="n">
        <v>1</v>
      </c>
      <c r="F3207" s="2" t="n">
        <v>44</v>
      </c>
      <c r="G3207" s="2" t="s">
        <v>2265</v>
      </c>
      <c r="H3207" s="2" t="str">
        <f aca="false">IFERROR(__xludf.dummyfunction("IF(I3241="""", """", REGEXEXTRACT(I3241, ""Padrao/([^/]+)""))"),"Quintas de Sao Jose")</f>
        <v>Quintas de Sao Jose</v>
      </c>
    </row>
    <row r="3208" customFormat="false" ht="15.75" hidden="false" customHeight="false" outlineLevel="0" collapsed="false">
      <c r="A3208" s="2" t="n">
        <v>153536</v>
      </c>
      <c r="B3208" s="2" t="s">
        <v>2586</v>
      </c>
      <c r="C3208" s="2" t="n">
        <v>2</v>
      </c>
      <c r="D3208" s="2" t="n">
        <v>2</v>
      </c>
      <c r="E3208" s="2" t="n">
        <v>1</v>
      </c>
      <c r="F3208" s="2" t="n">
        <v>64</v>
      </c>
      <c r="G3208" s="2" t="s">
        <v>564</v>
      </c>
      <c r="H3208" s="2" t="str">
        <f aca="false">IFERROR(__xludf.dummyfunction("IF(I3242="""", """", REGEXEXTRACT(I3242, ""Padrao/([^/]+)""))"),"Sumarezinho")</f>
        <v>Sumarezinho</v>
      </c>
    </row>
    <row r="3209" customFormat="false" ht="15.75" hidden="false" customHeight="false" outlineLevel="0" collapsed="false">
      <c r="A3209" s="2" t="n">
        <v>90089</v>
      </c>
      <c r="B3209" s="2" t="s">
        <v>2587</v>
      </c>
      <c r="C3209" s="2" t="n">
        <v>3</v>
      </c>
      <c r="D3209" s="2" t="n">
        <v>2</v>
      </c>
      <c r="E3209" s="2" t="n">
        <v>1</v>
      </c>
      <c r="F3209" s="2" t="n">
        <v>80</v>
      </c>
      <c r="G3209" s="2" t="s">
        <v>564</v>
      </c>
      <c r="H3209" s="2" t="str">
        <f aca="false">IFERROR(__xludf.dummyfunction("IF(I3243="""", """", REGEXEXTRACT(I3243, ""Padrao/([^/]+)""))"),"Vila Seixas")</f>
        <v>Vila Seixas</v>
      </c>
    </row>
    <row r="3210" customFormat="false" ht="15.75" hidden="false" customHeight="false" outlineLevel="0" collapsed="false">
      <c r="A3210" s="2" t="n">
        <v>121259</v>
      </c>
      <c r="B3210" s="2" t="s">
        <v>162</v>
      </c>
      <c r="C3210" s="2" t="n">
        <v>2</v>
      </c>
      <c r="D3210" s="2" t="n">
        <v>2</v>
      </c>
      <c r="E3210" s="2" t="n">
        <v>1</v>
      </c>
      <c r="F3210" s="2" t="n">
        <v>70</v>
      </c>
      <c r="G3210" s="2" t="s">
        <v>566</v>
      </c>
      <c r="H3210" s="2" t="str">
        <f aca="false">IFERROR(__xludf.dummyfunction("IF(I3244="""", """", REGEXEXTRACT(I3244, ""Padrao/([^/]+)""))"),"Jardim Zara")</f>
        <v>Jardim Zara</v>
      </c>
    </row>
    <row r="3211" customFormat="false" ht="15.75" hidden="false" customHeight="false" outlineLevel="0" collapsed="false">
      <c r="A3211" s="2" t="n">
        <v>204833</v>
      </c>
      <c r="B3211" s="2" t="s">
        <v>1109</v>
      </c>
      <c r="C3211" s="2" t="n">
        <v>2</v>
      </c>
      <c r="D3211" s="2" t="n">
        <v>1</v>
      </c>
      <c r="E3211" s="2" t="n">
        <v>1</v>
      </c>
      <c r="F3211" s="2" t="n">
        <v>47</v>
      </c>
      <c r="G3211" s="2" t="s">
        <v>573</v>
      </c>
      <c r="H3211" s="2" t="str">
        <f aca="false">IFERROR(__xludf.dummyfunction("IF(I3245="""", """", REGEXEXTRACT(I3245, ""Padrao/([^/]+)""))"),"Jardim Paulistano")</f>
        <v>Jardim Paulistano</v>
      </c>
    </row>
    <row r="3212" customFormat="false" ht="15.75" hidden="false" customHeight="false" outlineLevel="0" collapsed="false">
      <c r="A3212" s="2" t="n">
        <v>82118</v>
      </c>
      <c r="B3212" s="2" t="s">
        <v>2588</v>
      </c>
      <c r="C3212" s="2" t="n">
        <v>2</v>
      </c>
      <c r="D3212" s="2" t="n">
        <v>2</v>
      </c>
      <c r="E3212" s="2" t="n">
        <v>1</v>
      </c>
      <c r="F3212" s="2" t="n">
        <v>73</v>
      </c>
      <c r="G3212" s="2" t="s">
        <v>573</v>
      </c>
      <c r="H3212" s="2" t="str">
        <f aca="false">IFERROR(__xludf.dummyfunction("IF(I3246="""", """", REGEXEXTRACT(I3246, ""Padrao/([^/]+)""))"),"Centro")</f>
        <v>Centro</v>
      </c>
    </row>
    <row r="3213" customFormat="false" ht="15.75" hidden="false" customHeight="false" outlineLevel="0" collapsed="false">
      <c r="A3213" s="2" t="n">
        <v>242561</v>
      </c>
      <c r="B3213" s="2" t="s">
        <v>2589</v>
      </c>
      <c r="C3213" s="2" t="n">
        <v>2</v>
      </c>
      <c r="D3213" s="2" t="n">
        <v>2</v>
      </c>
      <c r="E3213" s="2" t="n">
        <v>2</v>
      </c>
      <c r="F3213" s="2" t="n">
        <v>62</v>
      </c>
      <c r="G3213" s="2" t="s">
        <v>575</v>
      </c>
      <c r="H3213" s="2" t="str">
        <f aca="false">IFERROR(__xludf.dummyfunction("IF(I3247="""", """", REGEXEXTRACT(I3247, ""Padrao/([^/]+)""))"),"Parque Industrial Lagoinha")</f>
        <v>Parque Industrial Lagoinha</v>
      </c>
    </row>
    <row r="3214" customFormat="false" ht="15.75" hidden="false" customHeight="false" outlineLevel="0" collapsed="false">
      <c r="A3214" s="2" t="n">
        <v>216779</v>
      </c>
      <c r="B3214" s="2" t="s">
        <v>2590</v>
      </c>
      <c r="C3214" s="2" t="n">
        <v>3</v>
      </c>
      <c r="D3214" s="2" t="n">
        <v>3</v>
      </c>
      <c r="E3214" s="2" t="n">
        <v>1</v>
      </c>
      <c r="F3214" s="2" t="n">
        <v>107</v>
      </c>
      <c r="G3214" s="2" t="s">
        <v>2565</v>
      </c>
      <c r="H3214" s="2" t="str">
        <f aca="false">IFERROR(__xludf.dummyfunction("IF(I3248="""", """", REGEXEXTRACT(I3248, ""Padrao/([^/]+)""))"),"Centro")</f>
        <v>Centro</v>
      </c>
    </row>
    <row r="3215" customFormat="false" ht="15.75" hidden="false" customHeight="false" outlineLevel="0" collapsed="false">
      <c r="A3215" s="2" t="n">
        <v>245345</v>
      </c>
      <c r="B3215" s="2" t="s">
        <v>2591</v>
      </c>
      <c r="C3215" s="2" t="n">
        <v>2</v>
      </c>
      <c r="D3215" s="2" t="n">
        <v>1</v>
      </c>
      <c r="E3215" s="2" t="n">
        <v>1</v>
      </c>
      <c r="F3215" s="2" t="n">
        <v>49</v>
      </c>
      <c r="G3215" s="2" t="s">
        <v>588</v>
      </c>
      <c r="H3215" s="2" t="str">
        <f aca="false">IFERROR(__xludf.dummyfunction("IF(I3249="""", """", REGEXEXTRACT(I3249, ""Padrao/([^/]+)""))"),"Condominio Mirante Sul")</f>
        <v>Condominio Mirante Sul</v>
      </c>
    </row>
    <row r="3216" customFormat="false" ht="15.75" hidden="false" customHeight="false" outlineLevel="0" collapsed="false">
      <c r="A3216" s="2" t="n">
        <v>245330</v>
      </c>
      <c r="B3216" s="2" t="s">
        <v>2592</v>
      </c>
      <c r="C3216" s="2" t="n">
        <v>2</v>
      </c>
      <c r="D3216" s="2" t="n">
        <v>1</v>
      </c>
      <c r="E3216" s="2" t="n">
        <v>1</v>
      </c>
      <c r="F3216" s="2" t="n">
        <v>48</v>
      </c>
      <c r="G3216" s="2" t="s">
        <v>588</v>
      </c>
      <c r="H3216" s="2" t="str">
        <f aca="false">IFERROR(__xludf.dummyfunction("IF(I3250="""", """", REGEXEXTRACT(I3250, ""Padrao/([^/]+)""))"),"Vila Virginia")</f>
        <v>Vila Virginia</v>
      </c>
    </row>
    <row r="3217" customFormat="false" ht="15.75" hidden="false" customHeight="false" outlineLevel="0" collapsed="false">
      <c r="A3217" s="2" t="n">
        <v>229445</v>
      </c>
      <c r="B3217" s="2" t="s">
        <v>1915</v>
      </c>
      <c r="C3217" s="2" t="n">
        <v>1</v>
      </c>
      <c r="D3217" s="2" t="n">
        <v>1</v>
      </c>
      <c r="E3217" s="2" t="n">
        <v>1</v>
      </c>
      <c r="F3217" s="2" t="n">
        <v>45</v>
      </c>
      <c r="G3217" s="2" t="s">
        <v>588</v>
      </c>
      <c r="H3217" s="2" t="str">
        <f aca="false">IFERROR(__xludf.dummyfunction("IF(I3251="""", """", REGEXEXTRACT(I3251, ""Padrao/([^/]+)""))"),"Nova Alianca")</f>
        <v>Nova Alianca</v>
      </c>
    </row>
    <row r="3218" customFormat="false" ht="15.75" hidden="false" customHeight="false" outlineLevel="0" collapsed="false">
      <c r="A3218" s="2" t="n">
        <v>226964</v>
      </c>
      <c r="B3218" s="2" t="s">
        <v>2593</v>
      </c>
      <c r="C3218" s="2" t="n">
        <v>2</v>
      </c>
      <c r="D3218" s="2" t="n">
        <v>2</v>
      </c>
      <c r="E3218" s="2" t="n">
        <v>2</v>
      </c>
      <c r="F3218" s="2" t="n">
        <v>67</v>
      </c>
      <c r="G3218" s="2" t="s">
        <v>588</v>
      </c>
      <c r="H3218" s="2" t="str">
        <f aca="false">IFERROR(__xludf.dummyfunction("IF(I3252="""", """", REGEXEXTRACT(I3252, ""Padrao/([^/]+)""))"),"Parque dos Bandeirantes")</f>
        <v>Parque dos Bandeirantes</v>
      </c>
    </row>
    <row r="3219" customFormat="false" ht="15.75" hidden="false" customHeight="false" outlineLevel="0" collapsed="false">
      <c r="A3219" s="2" t="n">
        <v>223811</v>
      </c>
      <c r="B3219" s="2" t="s">
        <v>2594</v>
      </c>
      <c r="C3219" s="2" t="n">
        <v>2</v>
      </c>
      <c r="D3219" s="2" t="n">
        <v>1</v>
      </c>
      <c r="E3219" s="2" t="n">
        <v>1</v>
      </c>
      <c r="F3219" s="2" t="n">
        <v>46</v>
      </c>
      <c r="G3219" s="2" t="s">
        <v>588</v>
      </c>
      <c r="H3219" s="2" t="str">
        <f aca="false">IFERROR(__xludf.dummyfunction("IF(I3253="""", """", REGEXEXTRACT(I3253, ""Padrao/([^/]+)""))"),"Recreio das Acacias")</f>
        <v>Recreio das Acacias</v>
      </c>
    </row>
    <row r="3220" customFormat="false" ht="15.75" hidden="false" customHeight="false" outlineLevel="0" collapsed="false">
      <c r="A3220" s="2" t="n">
        <v>221336</v>
      </c>
      <c r="B3220" s="2" t="s">
        <v>2595</v>
      </c>
      <c r="C3220" s="2" t="n">
        <v>2</v>
      </c>
      <c r="D3220" s="2" t="n">
        <v>2</v>
      </c>
      <c r="E3220" s="2" t="n">
        <v>1</v>
      </c>
      <c r="F3220" s="2" t="n">
        <v>53</v>
      </c>
      <c r="G3220" s="2" t="s">
        <v>588</v>
      </c>
      <c r="H3220" s="2" t="str">
        <f aca="false">IFERROR(__xludf.dummyfunction("IF(I3254="""", """", REGEXEXTRACT(I3254, ""Padrao/([^/]+)""))"),"Reserva Sul Condominio")</f>
        <v>Reserva Sul Condominio</v>
      </c>
    </row>
    <row r="3221" customFormat="false" ht="15.75" hidden="false" customHeight="false" outlineLevel="0" collapsed="false">
      <c r="A3221" s="2" t="n">
        <v>220088</v>
      </c>
      <c r="B3221" s="2" t="s">
        <v>1158</v>
      </c>
      <c r="C3221" s="2" t="n">
        <v>2</v>
      </c>
      <c r="D3221" s="2" t="n">
        <v>1</v>
      </c>
      <c r="E3221" s="2" t="n">
        <v>1</v>
      </c>
      <c r="F3221" s="2" t="n">
        <v>40</v>
      </c>
      <c r="G3221" s="2" t="s">
        <v>588</v>
      </c>
      <c r="H3221" s="2" t="str">
        <f aca="false">IFERROR(__xludf.dummyfunction("IF(I3255="""", """", REGEXEXTRACT(I3255, ""Padrao/([^/]+)""))"),"Recreio das Acacias")</f>
        <v>Recreio das Acacias</v>
      </c>
    </row>
    <row r="3222" customFormat="false" ht="15.75" hidden="false" customHeight="false" outlineLevel="0" collapsed="false">
      <c r="A3222" s="2" t="n">
        <v>217091</v>
      </c>
      <c r="B3222" s="2" t="s">
        <v>2308</v>
      </c>
      <c r="C3222" s="2" t="n">
        <v>2</v>
      </c>
      <c r="D3222" s="2" t="n">
        <v>1</v>
      </c>
      <c r="E3222" s="2" t="n">
        <v>1</v>
      </c>
      <c r="F3222" s="2" t="n">
        <v>47</v>
      </c>
      <c r="G3222" s="2" t="s">
        <v>588</v>
      </c>
      <c r="H3222" s="2" t="str">
        <f aca="false">IFERROR(__xludf.dummyfunction("IF(I3256="""", """", REGEXEXTRACT(I3256, ""Padrao/([^/]+)""))"),"Ipiranga")</f>
        <v>Ipiranga</v>
      </c>
    </row>
    <row r="3223" customFormat="false" ht="15.75" hidden="false" customHeight="false" outlineLevel="0" collapsed="false">
      <c r="A3223" s="2" t="n">
        <v>215450</v>
      </c>
      <c r="B3223" s="2" t="s">
        <v>2596</v>
      </c>
      <c r="C3223" s="2" t="n">
        <v>2</v>
      </c>
      <c r="D3223" s="2" t="n">
        <v>1</v>
      </c>
      <c r="E3223" s="2" t="n">
        <v>1</v>
      </c>
      <c r="F3223" s="2" t="n">
        <v>53</v>
      </c>
      <c r="G3223" s="2" t="s">
        <v>588</v>
      </c>
      <c r="H3223" s="2" t="str">
        <f aca="false">IFERROR(__xludf.dummyfunction("IF(I3257="""", """", REGEXEXTRACT(I3257, ""Padrao/([^/]+)""))"),"Jardim Zara")</f>
        <v>Jardim Zara</v>
      </c>
    </row>
    <row r="3224" customFormat="false" ht="15.75" hidden="false" customHeight="false" outlineLevel="0" collapsed="false">
      <c r="A3224" s="2" t="n">
        <v>208448</v>
      </c>
      <c r="B3224" s="2" t="s">
        <v>463</v>
      </c>
      <c r="C3224" s="2" t="n">
        <v>2</v>
      </c>
      <c r="D3224" s="2" t="n">
        <v>1</v>
      </c>
      <c r="E3224" s="2" t="n">
        <v>1</v>
      </c>
      <c r="F3224" s="2" t="n">
        <v>43</v>
      </c>
      <c r="G3224" s="2" t="s">
        <v>588</v>
      </c>
      <c r="H3224" s="2" t="str">
        <f aca="false">IFERROR(__xludf.dummyfunction("IF(I3258="""", """", REGEXEXTRACT(I3258, ""Padrao/([^/]+)""))"),"Reserva Macauba")</f>
        <v>Reserva Macauba</v>
      </c>
    </row>
    <row r="3225" customFormat="false" ht="15.75" hidden="false" customHeight="false" outlineLevel="0" collapsed="false">
      <c r="A3225" s="2" t="n">
        <v>203696</v>
      </c>
      <c r="B3225" s="2" t="s">
        <v>2597</v>
      </c>
      <c r="C3225" s="2" t="n">
        <v>2</v>
      </c>
      <c r="D3225" s="2" t="n">
        <v>2</v>
      </c>
      <c r="E3225" s="2" t="n">
        <v>1</v>
      </c>
      <c r="F3225" s="2" t="n">
        <v>74</v>
      </c>
      <c r="G3225" s="2" t="s">
        <v>588</v>
      </c>
      <c r="H3225" s="2" t="str">
        <f aca="false">IFERROR(__xludf.dummyfunction("IF(I3259="""", """", REGEXEXTRACT(I3259, ""Padrao/([^/]+)""))"),"Residencial Florida")</f>
        <v>Residencial Florida</v>
      </c>
    </row>
    <row r="3226" customFormat="false" ht="15.75" hidden="false" customHeight="false" outlineLevel="0" collapsed="false">
      <c r="A3226" s="2" t="n">
        <v>203165</v>
      </c>
      <c r="B3226" s="2" t="s">
        <v>2598</v>
      </c>
      <c r="C3226" s="2" t="n">
        <v>2</v>
      </c>
      <c r="D3226" s="2" t="n">
        <v>1</v>
      </c>
      <c r="E3226" s="2" t="n">
        <v>1</v>
      </c>
      <c r="F3226" s="2" t="n">
        <v>55</v>
      </c>
      <c r="G3226" s="2" t="s">
        <v>588</v>
      </c>
      <c r="H3226" s="2" t="str">
        <f aca="false">IFERROR(__xludf.dummyfunction("IF(I3260="""", """", REGEXEXTRACT(I3260, ""Padrao/([^/]+)""))"),"Vila Maria Luiza")</f>
        <v>Vila Maria Luiza</v>
      </c>
    </row>
    <row r="3227" customFormat="false" ht="15.75" hidden="false" customHeight="false" outlineLevel="0" collapsed="false">
      <c r="A3227" s="2" t="n">
        <v>198602</v>
      </c>
      <c r="B3227" s="2" t="s">
        <v>847</v>
      </c>
      <c r="C3227" s="2" t="n">
        <v>2</v>
      </c>
      <c r="D3227" s="2" t="n">
        <v>1</v>
      </c>
      <c r="E3227" s="2" t="n">
        <v>1</v>
      </c>
      <c r="F3227" s="2" t="n">
        <v>74</v>
      </c>
      <c r="G3227" s="2" t="s">
        <v>588</v>
      </c>
      <c r="H3227" s="2" t="str">
        <f aca="false">IFERROR(__xludf.dummyfunction("IF(I3261="""", """", REGEXEXTRACT(I3261, ""Padrao/([^/]+)""))"),"Jardim Paulista")</f>
        <v>Jardim Paulista</v>
      </c>
    </row>
    <row r="3228" customFormat="false" ht="15.75" hidden="false" customHeight="false" outlineLevel="0" collapsed="false">
      <c r="A3228" s="2" t="n">
        <v>195833</v>
      </c>
      <c r="B3228" s="2" t="s">
        <v>1967</v>
      </c>
      <c r="C3228" s="2" t="n">
        <v>2</v>
      </c>
      <c r="D3228" s="2" t="n">
        <v>1</v>
      </c>
      <c r="E3228" s="2" t="n">
        <v>1</v>
      </c>
      <c r="F3228" s="2" t="n">
        <v>40</v>
      </c>
      <c r="G3228" s="2" t="s">
        <v>588</v>
      </c>
      <c r="H3228" s="2" t="str">
        <f aca="false">IFERROR(__xludf.dummyfunction("IF(I3262="""", """", REGEXEXTRACT(I3262, ""Padrao/([^/]+)""))"),"Recreio das Acacias")</f>
        <v>Recreio das Acacias</v>
      </c>
    </row>
    <row r="3229" customFormat="false" ht="15.75" hidden="false" customHeight="false" outlineLevel="0" collapsed="false">
      <c r="A3229" s="2" t="n">
        <v>195224</v>
      </c>
      <c r="B3229" s="2" t="s">
        <v>2599</v>
      </c>
      <c r="C3229" s="2" t="n">
        <v>2</v>
      </c>
      <c r="D3229" s="2" t="n">
        <v>2</v>
      </c>
      <c r="E3229" s="2" t="n">
        <v>1</v>
      </c>
      <c r="F3229" s="2" t="n">
        <v>53</v>
      </c>
      <c r="G3229" s="2" t="s">
        <v>588</v>
      </c>
      <c r="H3229" s="2" t="str">
        <f aca="false">IFERROR(__xludf.dummyfunction("IF(I3263="""", """", REGEXEXTRACT(I3263, ""Padrao/([^/]+)""))"),"Reserva Sul Condominio")</f>
        <v>Reserva Sul Condominio</v>
      </c>
    </row>
    <row r="3230" customFormat="false" ht="15.75" hidden="false" customHeight="false" outlineLevel="0" collapsed="false">
      <c r="A3230" s="2" t="n">
        <v>194993</v>
      </c>
      <c r="B3230" s="2" t="s">
        <v>2600</v>
      </c>
      <c r="C3230" s="2" t="n">
        <v>2</v>
      </c>
      <c r="D3230" s="2" t="n">
        <v>2</v>
      </c>
      <c r="E3230" s="2" t="n">
        <v>1</v>
      </c>
      <c r="F3230" s="2" t="n">
        <v>66</v>
      </c>
      <c r="G3230" s="2" t="s">
        <v>588</v>
      </c>
      <c r="H3230" s="2" t="str">
        <f aca="false">IFERROR(__xludf.dummyfunction("IF(I3264="""", """", REGEXEXTRACT(I3264, ""Padrao/([^/]+)""))"),"Residencial e Comercial Palmares")</f>
        <v>Residencial e Comercial Palmares</v>
      </c>
    </row>
    <row r="3231" customFormat="false" ht="15.75" hidden="false" customHeight="false" outlineLevel="0" collapsed="false">
      <c r="A3231" s="2" t="n">
        <v>189368</v>
      </c>
      <c r="B3231" s="2" t="s">
        <v>2601</v>
      </c>
      <c r="C3231" s="2" t="n">
        <v>3</v>
      </c>
      <c r="D3231" s="2" t="n">
        <v>2</v>
      </c>
      <c r="E3231" s="2" t="n">
        <v>1</v>
      </c>
      <c r="F3231" s="2" t="n">
        <v>92</v>
      </c>
      <c r="G3231" s="2" t="s">
        <v>588</v>
      </c>
      <c r="H3231" s="2" t="str">
        <f aca="false">IFERROR(__xludf.dummyfunction("IF(I3265="""", """", REGEXEXTRACT(I3265, ""Padrao/([^/]+)""))"),"Vila Recreio")</f>
        <v>Vila Recreio</v>
      </c>
    </row>
    <row r="3232" customFormat="false" ht="15.75" hidden="false" customHeight="false" outlineLevel="0" collapsed="false">
      <c r="A3232" s="2" t="n">
        <v>182927</v>
      </c>
      <c r="B3232" s="2" t="s">
        <v>2602</v>
      </c>
      <c r="C3232" s="2" t="n">
        <v>2</v>
      </c>
      <c r="D3232" s="2" t="n">
        <v>2</v>
      </c>
      <c r="E3232" s="2" t="n">
        <v>1</v>
      </c>
      <c r="F3232" s="2" t="n">
        <v>49</v>
      </c>
      <c r="G3232" s="2" t="s">
        <v>588</v>
      </c>
      <c r="H3232" s="2" t="str">
        <f aca="false">IFERROR(__xludf.dummyfunction("IF(I3266="""", """", REGEXEXTRACT(I3266, ""Padrao/([^/]+)""))"),"Loteamento Santa Marta")</f>
        <v>Loteamento Santa Marta</v>
      </c>
    </row>
    <row r="3233" customFormat="false" ht="15.75" hidden="false" customHeight="false" outlineLevel="0" collapsed="false">
      <c r="A3233" s="2" t="n">
        <v>176690</v>
      </c>
      <c r="B3233" s="2" t="s">
        <v>2603</v>
      </c>
      <c r="C3233" s="2" t="n">
        <v>3</v>
      </c>
      <c r="D3233" s="2" t="n">
        <v>2</v>
      </c>
      <c r="E3233" s="2" t="n">
        <v>1</v>
      </c>
      <c r="F3233" s="2" t="n">
        <v>66</v>
      </c>
      <c r="G3233" s="2" t="s">
        <v>588</v>
      </c>
      <c r="H3233" s="2" t="str">
        <f aca="false">IFERROR(__xludf.dummyfunction("IF(I3267="""", """", REGEXEXTRACT(I3267, ""Padrao/([^/]+)""))"),"Jardim Paulista")</f>
        <v>Jardim Paulista</v>
      </c>
    </row>
    <row r="3234" customFormat="false" ht="15.75" hidden="false" customHeight="false" outlineLevel="0" collapsed="false">
      <c r="A3234" s="2" t="n">
        <v>174935</v>
      </c>
      <c r="B3234" s="2" t="s">
        <v>1109</v>
      </c>
      <c r="C3234" s="2" t="n">
        <v>2</v>
      </c>
      <c r="D3234" s="2" t="n">
        <v>1</v>
      </c>
      <c r="E3234" s="2" t="n">
        <v>1</v>
      </c>
      <c r="F3234" s="2" t="n">
        <v>47</v>
      </c>
      <c r="G3234" s="2" t="s">
        <v>588</v>
      </c>
      <c r="H3234" s="2" t="str">
        <f aca="false">IFERROR(__xludf.dummyfunction("IF(I3268="""", """", REGEXEXTRACT(I3268, ""Padrao/([^/]+)""))"),"Jardim Paulistano")</f>
        <v>Jardim Paulistano</v>
      </c>
    </row>
    <row r="3235" customFormat="false" ht="15.75" hidden="false" customHeight="false" outlineLevel="0" collapsed="false">
      <c r="A3235" s="2" t="n">
        <v>174488</v>
      </c>
      <c r="B3235" s="2" t="s">
        <v>2466</v>
      </c>
      <c r="C3235" s="2" t="n">
        <v>2</v>
      </c>
      <c r="D3235" s="2" t="n">
        <v>2</v>
      </c>
      <c r="E3235" s="2" t="n">
        <v>2</v>
      </c>
      <c r="F3235" s="2" t="n">
        <v>74</v>
      </c>
      <c r="G3235" s="2" t="s">
        <v>588</v>
      </c>
      <c r="H3235" s="2" t="str">
        <f aca="false">IFERROR(__xludf.dummyfunction("IF(I3269="""", """", REGEXEXTRACT(I3269, ""Padrao/([^/]+)""))"),"Jardim Paulistano")</f>
        <v>Jardim Paulistano</v>
      </c>
    </row>
    <row r="3236" customFormat="false" ht="15.75" hidden="false" customHeight="false" outlineLevel="0" collapsed="false">
      <c r="A3236" s="2" t="n">
        <v>169157</v>
      </c>
      <c r="B3236" s="2" t="s">
        <v>2604</v>
      </c>
      <c r="C3236" s="2" t="n">
        <v>2</v>
      </c>
      <c r="D3236" s="2" t="n">
        <v>1</v>
      </c>
      <c r="E3236" s="2" t="n">
        <v>1</v>
      </c>
      <c r="F3236" s="2" t="n">
        <v>50</v>
      </c>
      <c r="G3236" s="2" t="s">
        <v>588</v>
      </c>
      <c r="H3236" s="2" t="str">
        <f aca="false">IFERROR(__xludf.dummyfunction("IF(I3270="""", """", REGEXEXTRACT(I3270, ""Padrao/([^/]+)""))"),"Jardim Anhanguera")</f>
        <v>Jardim Anhanguera</v>
      </c>
    </row>
    <row r="3237" customFormat="false" ht="15.75" hidden="false" customHeight="false" outlineLevel="0" collapsed="false">
      <c r="A3237" s="2" t="n">
        <v>168893</v>
      </c>
      <c r="B3237" s="2" t="s">
        <v>2605</v>
      </c>
      <c r="C3237" s="2" t="n">
        <v>2</v>
      </c>
      <c r="D3237" s="2" t="n">
        <v>2</v>
      </c>
      <c r="E3237" s="2" t="n">
        <v>1</v>
      </c>
      <c r="F3237" s="2" t="n">
        <v>58</v>
      </c>
      <c r="G3237" s="2" t="s">
        <v>588</v>
      </c>
      <c r="H3237" s="2" t="str">
        <f aca="false">IFERROR(__xludf.dummyfunction("IF(I3271="""", """", REGEXEXTRACT(I3271, ""Padrao/([^/]+)""))"),"Vila Monte Alegre")</f>
        <v>Vila Monte Alegre</v>
      </c>
    </row>
    <row r="3238" customFormat="false" ht="15.75" hidden="false" customHeight="false" outlineLevel="0" collapsed="false">
      <c r="A3238" s="2" t="n">
        <v>163541</v>
      </c>
      <c r="B3238" s="2" t="s">
        <v>2606</v>
      </c>
      <c r="C3238" s="2" t="n">
        <v>2</v>
      </c>
      <c r="D3238" s="2" t="n">
        <v>2</v>
      </c>
      <c r="E3238" s="2" t="n">
        <v>1</v>
      </c>
      <c r="F3238" s="2" t="n">
        <v>75</v>
      </c>
      <c r="G3238" s="2" t="s">
        <v>588</v>
      </c>
      <c r="H3238" s="2" t="str">
        <f aca="false">IFERROR(__xludf.dummyfunction("IF(I3272="""", """", REGEXEXTRACT(I3272, ""Padrao/([^/]+)""))"),"Alto da Boa Vista")</f>
        <v>Alto da Boa Vista</v>
      </c>
    </row>
    <row r="3239" customFormat="false" ht="15.75" hidden="false" customHeight="false" outlineLevel="0" collapsed="false">
      <c r="A3239" s="2" t="n">
        <v>163403</v>
      </c>
      <c r="B3239" s="2" t="s">
        <v>2607</v>
      </c>
      <c r="C3239" s="2" t="n">
        <v>2</v>
      </c>
      <c r="D3239" s="2" t="n">
        <v>1</v>
      </c>
      <c r="E3239" s="2" t="n">
        <v>1</v>
      </c>
      <c r="F3239" s="2" t="n">
        <v>46</v>
      </c>
      <c r="G3239" s="2" t="s">
        <v>588</v>
      </c>
      <c r="H3239" s="2" t="str">
        <f aca="false">IFERROR(__xludf.dummyfunction("IF(I3273="""", """", REGEXEXTRACT(I3273, ""Padrao/([^/]+)""))"),"Reserva Sul Condominio")</f>
        <v>Reserva Sul Condominio</v>
      </c>
    </row>
    <row r="3240" customFormat="false" ht="15.75" hidden="false" customHeight="false" outlineLevel="0" collapsed="false">
      <c r="A3240" s="2" t="n">
        <v>162701</v>
      </c>
      <c r="B3240" s="2" t="s">
        <v>2608</v>
      </c>
      <c r="C3240" s="2" t="n">
        <v>3</v>
      </c>
      <c r="D3240" s="2" t="n">
        <v>2</v>
      </c>
      <c r="E3240" s="2" t="n">
        <v>1</v>
      </c>
      <c r="F3240" s="2" t="n">
        <v>96</v>
      </c>
      <c r="G3240" s="2" t="s">
        <v>588</v>
      </c>
      <c r="H3240" s="2" t="str">
        <f aca="false">IFERROR(__xludf.dummyfunction("IF(I3274="""", """", REGEXEXTRACT(I3274, ""Padrao/([^/]+)""))"),"Jardim Paulista")</f>
        <v>Jardim Paulista</v>
      </c>
    </row>
    <row r="3241" customFormat="false" ht="15.75" hidden="false" customHeight="false" outlineLevel="0" collapsed="false">
      <c r="A3241" s="2" t="n">
        <v>159353</v>
      </c>
      <c r="B3241" s="2" t="s">
        <v>440</v>
      </c>
      <c r="C3241" s="2" t="n">
        <v>1</v>
      </c>
      <c r="D3241" s="2" t="n">
        <v>2</v>
      </c>
      <c r="E3241" s="2" t="n">
        <v>1</v>
      </c>
      <c r="F3241" s="2" t="n">
        <v>73</v>
      </c>
      <c r="G3241" s="2" t="s">
        <v>588</v>
      </c>
      <c r="H3241" s="2" t="str">
        <f aca="false">IFERROR(__xludf.dummyfunction("IF(I3275="""", """", REGEXEXTRACT(I3275, ""Padrao/([^/]+)""))"),"Alto da Boa Vista")</f>
        <v>Alto da Boa Vista</v>
      </c>
    </row>
    <row r="3242" customFormat="false" ht="15.75" hidden="false" customHeight="false" outlineLevel="0" collapsed="false">
      <c r="A3242" s="2" t="n">
        <v>156578</v>
      </c>
      <c r="B3242" s="2" t="s">
        <v>162</v>
      </c>
      <c r="C3242" s="2" t="n">
        <v>2</v>
      </c>
      <c r="D3242" s="2" t="n">
        <v>1</v>
      </c>
      <c r="E3242" s="2" t="n">
        <v>1</v>
      </c>
      <c r="F3242" s="2" t="n">
        <v>52</v>
      </c>
      <c r="G3242" s="2" t="s">
        <v>588</v>
      </c>
      <c r="H3242" s="2" t="str">
        <f aca="false">IFERROR(__xludf.dummyfunction("IF(I3276="""", """", REGEXEXTRACT(I3276, ""Padrao/([^/]+)""))"),"Jardim Anhanguera")</f>
        <v>Jardim Anhanguera</v>
      </c>
    </row>
    <row r="3243" customFormat="false" ht="15.75" hidden="false" customHeight="false" outlineLevel="0" collapsed="false">
      <c r="A3243" s="2" t="n">
        <v>156548</v>
      </c>
      <c r="B3243" s="2" t="s">
        <v>2609</v>
      </c>
      <c r="C3243" s="2" t="n">
        <v>1</v>
      </c>
      <c r="D3243" s="2" t="n">
        <v>1</v>
      </c>
      <c r="E3243" s="2" t="n">
        <v>1</v>
      </c>
      <c r="F3243" s="2" t="n">
        <v>50</v>
      </c>
      <c r="G3243" s="2" t="s">
        <v>588</v>
      </c>
      <c r="H3243" s="2" t="str">
        <f aca="false">IFERROR(__xludf.dummyfunction("IF(I3277="""", """", REGEXEXTRACT(I3277, ""Padrao/([^/]+)""))"),"Jardim Anhanguera")</f>
        <v>Jardim Anhanguera</v>
      </c>
    </row>
    <row r="3244" customFormat="false" ht="15.75" hidden="false" customHeight="false" outlineLevel="0" collapsed="false">
      <c r="A3244" s="2" t="n">
        <v>150851</v>
      </c>
      <c r="B3244" s="2" t="s">
        <v>2610</v>
      </c>
      <c r="C3244" s="2" t="n">
        <v>2</v>
      </c>
      <c r="D3244" s="2" t="n">
        <v>3</v>
      </c>
      <c r="E3244" s="2" t="n">
        <v>1</v>
      </c>
      <c r="F3244" s="2" t="n">
        <v>99</v>
      </c>
      <c r="G3244" s="2" t="s">
        <v>588</v>
      </c>
      <c r="H3244" s="2" t="str">
        <f aca="false">IFERROR(__xludf.dummyfunction("IF(I3278="""", """", REGEXEXTRACT(I3278, ""Padrao/([^/]+)""))"),"Centro")</f>
        <v>Centro</v>
      </c>
    </row>
    <row r="3245" customFormat="false" ht="15.75" hidden="false" customHeight="false" outlineLevel="0" collapsed="false">
      <c r="A3245" s="2" t="n">
        <v>147116</v>
      </c>
      <c r="B3245" s="2" t="s">
        <v>2611</v>
      </c>
      <c r="C3245" s="2" t="n">
        <v>3</v>
      </c>
      <c r="D3245" s="2" t="n">
        <v>1</v>
      </c>
      <c r="E3245" s="2" t="n">
        <v>1</v>
      </c>
      <c r="F3245" s="2" t="n">
        <v>76</v>
      </c>
      <c r="G3245" s="2" t="s">
        <v>588</v>
      </c>
      <c r="H3245" s="2" t="str">
        <f aca="false">IFERROR(__xludf.dummyfunction("IF(I3279="""", """", REGEXEXTRACT(I3279, ""Padrao/([^/]+)""))"),"Presidente Medici")</f>
        <v>Presidente Medici</v>
      </c>
    </row>
    <row r="3246" customFormat="false" ht="15.75" hidden="false" customHeight="false" outlineLevel="0" collapsed="false">
      <c r="A3246" s="2" t="n">
        <v>144926</v>
      </c>
      <c r="B3246" s="2" t="s">
        <v>2612</v>
      </c>
      <c r="C3246" s="2" t="n">
        <v>2</v>
      </c>
      <c r="D3246" s="2" t="n">
        <v>2</v>
      </c>
      <c r="E3246" s="2" t="n">
        <v>1</v>
      </c>
      <c r="F3246" s="2" t="n">
        <v>96</v>
      </c>
      <c r="G3246" s="2" t="s">
        <v>588</v>
      </c>
      <c r="H3246" s="2" t="str">
        <f aca="false">IFERROR(__xludf.dummyfunction("IF(I3280="""", """", REGEXEXTRACT(I3280, ""Padrao/([^/]+)""))"),"Residencial Florida")</f>
        <v>Residencial Florida</v>
      </c>
    </row>
    <row r="3247" customFormat="false" ht="15.75" hidden="false" customHeight="false" outlineLevel="0" collapsed="false">
      <c r="A3247" s="2" t="n">
        <v>142154</v>
      </c>
      <c r="B3247" s="2" t="s">
        <v>806</v>
      </c>
      <c r="C3247" s="2" t="n">
        <v>3</v>
      </c>
      <c r="D3247" s="2" t="n">
        <v>2</v>
      </c>
      <c r="E3247" s="2" t="n">
        <v>1</v>
      </c>
      <c r="F3247" s="2" t="n">
        <v>96</v>
      </c>
      <c r="G3247" s="2" t="s">
        <v>588</v>
      </c>
      <c r="H3247" s="2" t="str">
        <f aca="false">IFERROR(__xludf.dummyfunction("IF(I3281="""", """", REGEXEXTRACT(I3281, ""Padrao/([^/]+)""))"),"Jardim Paulista")</f>
        <v>Jardim Paulista</v>
      </c>
    </row>
    <row r="3248" customFormat="false" ht="15.75" hidden="false" customHeight="false" outlineLevel="0" collapsed="false">
      <c r="A3248" s="2" t="n">
        <v>124469</v>
      </c>
      <c r="B3248" s="2" t="s">
        <v>2613</v>
      </c>
      <c r="C3248" s="2" t="n">
        <v>3</v>
      </c>
      <c r="D3248" s="2" t="n">
        <v>2</v>
      </c>
      <c r="E3248" s="2" t="n">
        <v>1</v>
      </c>
      <c r="F3248" s="2" t="n">
        <v>66</v>
      </c>
      <c r="G3248" s="2" t="s">
        <v>588</v>
      </c>
      <c r="H3248" s="2" t="str">
        <f aca="false">IFERROR(__xludf.dummyfunction("IF(I3282="""", """", REGEXEXTRACT(I3282, ""Padrao/([^/]+)""))"),"Parque Industrial Lagoinha")</f>
        <v>Parque Industrial Lagoinha</v>
      </c>
    </row>
    <row r="3249" customFormat="false" ht="15.75" hidden="false" customHeight="false" outlineLevel="0" collapsed="false">
      <c r="A3249" s="2" t="n">
        <v>121262</v>
      </c>
      <c r="B3249" s="2" t="s">
        <v>2614</v>
      </c>
      <c r="C3249" s="2" t="n">
        <v>3</v>
      </c>
      <c r="D3249" s="2" t="n">
        <v>2</v>
      </c>
      <c r="E3249" s="2" t="n">
        <v>1</v>
      </c>
      <c r="F3249" s="2" t="n">
        <v>75</v>
      </c>
      <c r="G3249" s="2" t="s">
        <v>588</v>
      </c>
      <c r="H3249" s="2" t="str">
        <f aca="false">IFERROR(__xludf.dummyfunction("IF(I3283="""", """", REGEXEXTRACT(I3283, ""Padrao/([^/]+)""))"),"Jardim Zara")</f>
        <v>Jardim Zara</v>
      </c>
    </row>
    <row r="3250" customFormat="false" ht="15.75" hidden="false" customHeight="false" outlineLevel="0" collapsed="false">
      <c r="A3250" s="2" t="n">
        <v>117227</v>
      </c>
      <c r="B3250" s="2" t="s">
        <v>162</v>
      </c>
      <c r="C3250" s="2" t="n">
        <v>3</v>
      </c>
      <c r="D3250" s="2" t="n">
        <v>3</v>
      </c>
      <c r="E3250" s="2" t="n">
        <v>1</v>
      </c>
      <c r="F3250" s="2" t="n">
        <v>100</v>
      </c>
      <c r="G3250" s="2" t="s">
        <v>588</v>
      </c>
      <c r="H3250" s="2" t="str">
        <f aca="false">IFERROR(__xludf.dummyfunction("IF(I3284="""", """", REGEXEXTRACT(I3284, ""Padrao/([^/]+)""))"),"Condominio Itamaraty")</f>
        <v>Condominio Itamaraty</v>
      </c>
    </row>
    <row r="3251" customFormat="false" ht="15.75" hidden="false" customHeight="false" outlineLevel="0" collapsed="false">
      <c r="A3251" s="2" t="n">
        <v>115202</v>
      </c>
      <c r="B3251" s="2" t="s">
        <v>2615</v>
      </c>
      <c r="C3251" s="2" t="n">
        <v>3</v>
      </c>
      <c r="D3251" s="2" t="n">
        <v>2</v>
      </c>
      <c r="E3251" s="2" t="n">
        <v>1</v>
      </c>
      <c r="F3251" s="2" t="n">
        <v>68</v>
      </c>
      <c r="G3251" s="2" t="s">
        <v>588</v>
      </c>
      <c r="H3251" s="2" t="str">
        <f aca="false">IFERROR(__xludf.dummyfunction("IF(I3285="""", """", REGEXEXTRACT(I3285, ""Padrao/([^/]+)""))"),"Jardim Castelo Branco")</f>
        <v>Jardim Castelo Branco</v>
      </c>
    </row>
    <row r="3252" customFormat="false" ht="15.75" hidden="false" customHeight="false" outlineLevel="0" collapsed="false">
      <c r="A3252" s="2" t="n">
        <v>105092</v>
      </c>
      <c r="B3252" s="2" t="s">
        <v>162</v>
      </c>
      <c r="C3252" s="2" t="n">
        <v>3</v>
      </c>
      <c r="D3252" s="2" t="n">
        <v>2</v>
      </c>
      <c r="E3252" s="2" t="n">
        <v>1</v>
      </c>
      <c r="F3252" s="2" t="n">
        <v>98</v>
      </c>
      <c r="G3252" s="2" t="s">
        <v>588</v>
      </c>
      <c r="H3252" s="2" t="str">
        <f aca="false">IFERROR(__xludf.dummyfunction("IF(I3286="""", """", REGEXEXTRACT(I3286, ""Padrao/([^/]+)""))"),"Parque dos Bandeirantes")</f>
        <v>Parque dos Bandeirantes</v>
      </c>
    </row>
    <row r="3253" customFormat="false" ht="15.75" hidden="false" customHeight="false" outlineLevel="0" collapsed="false">
      <c r="A3253" s="2" t="n">
        <v>104606</v>
      </c>
      <c r="B3253" s="2" t="s">
        <v>162</v>
      </c>
      <c r="C3253" s="2" t="n">
        <v>2</v>
      </c>
      <c r="D3253" s="2" t="n">
        <v>2</v>
      </c>
      <c r="E3253" s="2" t="n">
        <v>1</v>
      </c>
      <c r="F3253" s="2" t="n">
        <v>80</v>
      </c>
      <c r="G3253" s="2" t="s">
        <v>588</v>
      </c>
      <c r="H3253" s="2" t="str">
        <f aca="false">IFERROR(__xludf.dummyfunction("IF(I3287="""", """", REGEXEXTRACT(I3287, ""Padrao/([^/]+)""))"),"Jardim Paulista")</f>
        <v>Jardim Paulista</v>
      </c>
    </row>
    <row r="3254" customFormat="false" ht="15.75" hidden="false" customHeight="false" outlineLevel="0" collapsed="false">
      <c r="A3254" s="2" t="n">
        <v>101267</v>
      </c>
      <c r="B3254" s="2" t="s">
        <v>2616</v>
      </c>
      <c r="C3254" s="2" t="n">
        <v>2</v>
      </c>
      <c r="D3254" s="2" t="n">
        <v>2</v>
      </c>
      <c r="E3254" s="2" t="n">
        <v>1</v>
      </c>
      <c r="F3254" s="2" t="n">
        <v>73</v>
      </c>
      <c r="G3254" s="2" t="s">
        <v>588</v>
      </c>
      <c r="H3254" s="2" t="str">
        <f aca="false">IFERROR(__xludf.dummyfunction("IF(I3288="""", """", REGEXEXTRACT(I3288, ""Padrao/([^/]+)""))"),"Residencial Florida")</f>
        <v>Residencial Florida</v>
      </c>
    </row>
    <row r="3255" customFormat="false" ht="15.75" hidden="false" customHeight="false" outlineLevel="0" collapsed="false">
      <c r="A3255" s="2" t="n">
        <v>101264</v>
      </c>
      <c r="B3255" s="2" t="s">
        <v>1261</v>
      </c>
      <c r="C3255" s="2" t="n">
        <v>2</v>
      </c>
      <c r="D3255" s="2" t="n">
        <v>2</v>
      </c>
      <c r="E3255" s="2" t="n">
        <v>1</v>
      </c>
      <c r="F3255" s="2" t="n">
        <v>65</v>
      </c>
      <c r="G3255" s="2" t="s">
        <v>588</v>
      </c>
      <c r="H3255" s="2" t="str">
        <f aca="false">IFERROR(__xludf.dummyfunction("IF(I3289="""", """", REGEXEXTRACT(I3289, ""Padrao/([^/]+)""))"),"Residencial Florida")</f>
        <v>Residencial Florida</v>
      </c>
    </row>
    <row r="3256" customFormat="false" ht="15.75" hidden="false" customHeight="false" outlineLevel="0" collapsed="false">
      <c r="A3256" s="2" t="n">
        <v>101132</v>
      </c>
      <c r="B3256" s="2" t="s">
        <v>162</v>
      </c>
      <c r="C3256" s="2" t="n">
        <v>3</v>
      </c>
      <c r="D3256" s="2" t="n">
        <v>2</v>
      </c>
      <c r="E3256" s="2" t="n">
        <v>1</v>
      </c>
      <c r="F3256" s="2" t="n">
        <v>90</v>
      </c>
      <c r="G3256" s="2" t="s">
        <v>588</v>
      </c>
      <c r="H3256" s="2" t="str">
        <f aca="false">IFERROR(__xludf.dummyfunction("IF(I3290="""", """", REGEXEXTRACT(I3290, ""Padrao/([^/]+)""))"),"Residencial e Comercial Palmares")</f>
        <v>Residencial e Comercial Palmares</v>
      </c>
    </row>
    <row r="3257" customFormat="false" ht="15.75" hidden="false" customHeight="false" outlineLevel="0" collapsed="false">
      <c r="A3257" s="2" t="n">
        <v>94250</v>
      </c>
      <c r="B3257" s="2" t="s">
        <v>2617</v>
      </c>
      <c r="C3257" s="2" t="n">
        <v>2</v>
      </c>
      <c r="D3257" s="2" t="n">
        <v>1</v>
      </c>
      <c r="E3257" s="2" t="n">
        <v>1</v>
      </c>
      <c r="F3257" s="2" t="n">
        <v>54</v>
      </c>
      <c r="G3257" s="2" t="s">
        <v>588</v>
      </c>
      <c r="H3257" s="2" t="str">
        <f aca="false">IFERROR(__xludf.dummyfunction("IF(I3291="""", """", REGEXEXTRACT(I3291, ""Padrao/([^/]+)""))"),"Jardim Sao Luiz")</f>
        <v>Jardim Sao Luiz</v>
      </c>
    </row>
    <row r="3258" customFormat="false" ht="15.75" hidden="false" customHeight="false" outlineLevel="0" collapsed="false">
      <c r="A3258" s="2" t="n">
        <v>85160</v>
      </c>
      <c r="B3258" s="2" t="s">
        <v>2618</v>
      </c>
      <c r="C3258" s="2" t="n">
        <v>1</v>
      </c>
      <c r="D3258" s="2" t="n">
        <v>1</v>
      </c>
      <c r="E3258" s="2" t="n">
        <v>1</v>
      </c>
      <c r="F3258" s="2" t="n">
        <v>41</v>
      </c>
      <c r="G3258" s="2" t="s">
        <v>588</v>
      </c>
      <c r="H3258" s="2" t="str">
        <f aca="false">IFERROR(__xludf.dummyfunction("IF(I3292="""", """", REGEXEXTRACT(I3292, ""Padrao/([^/]+)""))"),"Nova Alianca")</f>
        <v>Nova Alianca</v>
      </c>
    </row>
    <row r="3259" customFormat="false" ht="15.75" hidden="false" customHeight="false" outlineLevel="0" collapsed="false">
      <c r="A3259" s="2" t="n">
        <v>64559</v>
      </c>
      <c r="B3259" s="2" t="s">
        <v>2454</v>
      </c>
      <c r="C3259" s="2" t="n">
        <v>3</v>
      </c>
      <c r="D3259" s="2" t="n">
        <v>1</v>
      </c>
      <c r="E3259" s="2" t="n">
        <v>1</v>
      </c>
      <c r="F3259" s="2" t="n">
        <v>65</v>
      </c>
      <c r="G3259" s="2" t="s">
        <v>588</v>
      </c>
      <c r="H3259" s="2" t="str">
        <f aca="false">IFERROR(__xludf.dummyfunction("IF(I3293="""", """", REGEXEXTRACT(I3293, ""Padrao/([^/]+)""))"),"Residencial Florida")</f>
        <v>Residencial Florida</v>
      </c>
    </row>
    <row r="3260" customFormat="false" ht="15.75" hidden="false" customHeight="false" outlineLevel="0" collapsed="false">
      <c r="A3260" s="2" t="n">
        <v>64493</v>
      </c>
      <c r="B3260" s="2" t="s">
        <v>162</v>
      </c>
      <c r="C3260" s="2" t="n">
        <v>3</v>
      </c>
      <c r="D3260" s="2" t="n">
        <v>2</v>
      </c>
      <c r="E3260" s="2" t="n">
        <v>1</v>
      </c>
      <c r="F3260" s="2" t="n">
        <v>96</v>
      </c>
      <c r="G3260" s="2" t="s">
        <v>588</v>
      </c>
      <c r="H3260" s="2" t="str">
        <f aca="false">IFERROR(__xludf.dummyfunction("IF(I3294="""", """", REGEXEXTRACT(I3294, ""Padrao/([^/]+)""))"),"Jardim Paulistano")</f>
        <v>Jardim Paulistano</v>
      </c>
    </row>
    <row r="3261" customFormat="false" ht="15.75" hidden="false" customHeight="false" outlineLevel="0" collapsed="false">
      <c r="A3261" s="2" t="n">
        <v>18797</v>
      </c>
      <c r="B3261" s="2" t="s">
        <v>162</v>
      </c>
      <c r="C3261" s="2" t="n">
        <v>3</v>
      </c>
      <c r="D3261" s="2" t="n">
        <v>1</v>
      </c>
      <c r="E3261" s="2" t="n">
        <v>1</v>
      </c>
      <c r="F3261" s="2" t="n">
        <v>116</v>
      </c>
      <c r="G3261" s="2" t="s">
        <v>588</v>
      </c>
      <c r="H3261" s="2" t="str">
        <f aca="false">IFERROR(__xludf.dummyfunction("IF(I3295="""", """", REGEXEXTRACT(I3295, ""Padrao/([^/]+)""))"),"Vila Virginia")</f>
        <v>Vila Virginia</v>
      </c>
    </row>
    <row r="3262" customFormat="false" ht="15.75" hidden="false" customHeight="false" outlineLevel="0" collapsed="false">
      <c r="A3262" s="2" t="n">
        <v>104909</v>
      </c>
      <c r="B3262" s="2" t="s">
        <v>2619</v>
      </c>
      <c r="C3262" s="2" t="n">
        <v>2</v>
      </c>
      <c r="D3262" s="2" t="n">
        <v>1</v>
      </c>
      <c r="E3262" s="2" t="n">
        <v>2</v>
      </c>
      <c r="F3262" s="2" t="n">
        <v>63</v>
      </c>
      <c r="G3262" s="2" t="s">
        <v>614</v>
      </c>
      <c r="H3262" s="2" t="str">
        <f aca="false">IFERROR(__xludf.dummyfunction("IF(I3296="""", """", REGEXEXTRACT(I3296, ""Padrao/([^/]+)""))"),"Jardim Sao Jose")</f>
        <v>Jardim Sao Jose</v>
      </c>
    </row>
    <row r="3263" customFormat="false" ht="15.75" hidden="false" customHeight="false" outlineLevel="0" collapsed="false">
      <c r="A3263" s="2" t="n">
        <v>205598</v>
      </c>
      <c r="B3263" s="2" t="s">
        <v>2620</v>
      </c>
      <c r="C3263" s="2" t="n">
        <v>2</v>
      </c>
      <c r="D3263" s="2" t="n">
        <v>1</v>
      </c>
      <c r="E3263" s="2" t="n">
        <v>1</v>
      </c>
      <c r="F3263" s="2" t="n">
        <v>48</v>
      </c>
      <c r="G3263" s="2" t="s">
        <v>2621</v>
      </c>
      <c r="H3263" s="2" t="str">
        <f aca="false">IFERROR(__xludf.dummyfunction("IF(I3297="""", """", REGEXEXTRACT(I3297, ""Padrao/([^/]+)""))"),"Jardim Heitor Rigon")</f>
        <v>Jardim Heitor Rigon</v>
      </c>
    </row>
    <row r="3264" customFormat="false" ht="15.75" hidden="false" customHeight="false" outlineLevel="0" collapsed="false">
      <c r="A3264" s="2" t="n">
        <v>205568</v>
      </c>
      <c r="B3264" s="2" t="s">
        <v>429</v>
      </c>
      <c r="C3264" s="2" t="n">
        <v>2</v>
      </c>
      <c r="D3264" s="2" t="n">
        <v>1</v>
      </c>
      <c r="E3264" s="2" t="n">
        <v>1</v>
      </c>
      <c r="F3264" s="2" t="n">
        <v>43</v>
      </c>
      <c r="G3264" s="2" t="s">
        <v>2622</v>
      </c>
      <c r="H3264" s="2" t="str">
        <f aca="false">IFERROR(__xludf.dummyfunction("IF(I3298="""", """", REGEXEXTRACT(I3298, ""Padrao/([^/]+)""))"),"Reserva Macauba")</f>
        <v>Reserva Macauba</v>
      </c>
    </row>
    <row r="3265" customFormat="false" ht="15.75" hidden="false" customHeight="false" outlineLevel="0" collapsed="false">
      <c r="A3265" s="2" t="n">
        <v>137237</v>
      </c>
      <c r="B3265" s="2" t="s">
        <v>2623</v>
      </c>
      <c r="C3265" s="2" t="n">
        <v>2</v>
      </c>
      <c r="D3265" s="2" t="n">
        <v>1</v>
      </c>
      <c r="E3265" s="2" t="n">
        <v>1</v>
      </c>
      <c r="F3265" s="2" t="n">
        <v>43</v>
      </c>
      <c r="G3265" s="2" t="s">
        <v>513</v>
      </c>
      <c r="H3265" s="2" t="str">
        <f aca="false">IFERROR(__xludf.dummyfunction("IF(I3299="""", """", REGEXEXTRACT(I3299, ""Padrao/([^/]+)""))"),"Vila Guiomar")</f>
        <v>Vila Guiomar</v>
      </c>
    </row>
    <row r="3266" customFormat="false" ht="15.75" hidden="false" customHeight="false" outlineLevel="0" collapsed="false">
      <c r="A3266" s="2" t="n">
        <v>156458</v>
      </c>
      <c r="B3266" s="2" t="s">
        <v>2624</v>
      </c>
      <c r="C3266" s="2" t="n">
        <v>1</v>
      </c>
      <c r="D3266" s="2" t="n">
        <v>1</v>
      </c>
      <c r="E3266" s="2" t="n">
        <v>1</v>
      </c>
      <c r="F3266" s="2" t="n">
        <v>40</v>
      </c>
      <c r="G3266" s="2" t="s">
        <v>566</v>
      </c>
      <c r="H3266" s="2" t="str">
        <f aca="false">IFERROR(__xludf.dummyfunction("IF(I3300="""", """", REGEXEXTRACT(I3300, ""Padrao/([^/]+)""))"),"Jardim Palma Travassos")</f>
        <v>Jardim Palma Travassos</v>
      </c>
    </row>
    <row r="3267" customFormat="false" ht="15.75" hidden="false" customHeight="false" outlineLevel="0" collapsed="false">
      <c r="A3267" s="2" t="n">
        <v>110072</v>
      </c>
      <c r="B3267" s="2" t="s">
        <v>1848</v>
      </c>
      <c r="C3267" s="2" t="n">
        <v>2</v>
      </c>
      <c r="D3267" s="2" t="n">
        <v>1</v>
      </c>
      <c r="E3267" s="2" t="n">
        <v>1</v>
      </c>
      <c r="F3267" s="2" t="n">
        <v>49</v>
      </c>
      <c r="G3267" s="2" t="s">
        <v>575</v>
      </c>
      <c r="H3267" s="2" t="str">
        <f aca="false">IFERROR(__xludf.dummyfunction("IF(I3301="""", """", REGEXEXTRACT(I3301, ""Padrao/([^/]+)""))"),"Campos Eliseos")</f>
        <v>Campos Eliseos</v>
      </c>
    </row>
    <row r="3268" customFormat="false" ht="15.75" hidden="false" customHeight="false" outlineLevel="0" collapsed="false">
      <c r="A3268" s="2" t="n">
        <v>237884</v>
      </c>
      <c r="B3268" s="2" t="s">
        <v>2625</v>
      </c>
      <c r="C3268" s="2" t="n">
        <v>1</v>
      </c>
      <c r="D3268" s="2" t="n">
        <v>1</v>
      </c>
      <c r="E3268" s="2" t="n">
        <v>1</v>
      </c>
      <c r="F3268" s="2" t="n">
        <v>40</v>
      </c>
      <c r="G3268" s="2" t="s">
        <v>2565</v>
      </c>
      <c r="H3268" s="2" t="str">
        <f aca="false">IFERROR(__xludf.dummyfunction("IF(I3302="""", """", REGEXEXTRACT(I3302, ""Padrao/([^/]+)""))"),"Jardim Botanico")</f>
        <v>Jardim Botanico</v>
      </c>
    </row>
    <row r="3269" customFormat="false" ht="15.75" hidden="false" customHeight="false" outlineLevel="0" collapsed="false">
      <c r="A3269" s="2" t="n">
        <v>144713</v>
      </c>
      <c r="B3269" s="2" t="s">
        <v>2626</v>
      </c>
      <c r="C3269" s="2" t="n">
        <v>2</v>
      </c>
      <c r="D3269" s="2" t="n">
        <v>1</v>
      </c>
      <c r="E3269" s="2" t="n">
        <v>1</v>
      </c>
      <c r="F3269" s="2" t="n">
        <v>73</v>
      </c>
      <c r="G3269" s="2" t="s">
        <v>2565</v>
      </c>
      <c r="H3269" s="2" t="str">
        <f aca="false">IFERROR(__xludf.dummyfunction("IF(I3303="""", """", REGEXEXTRACT(I3303, ""Padrao/([^/]+)""))"),"Jardim Paulista")</f>
        <v>Jardim Paulista</v>
      </c>
    </row>
    <row r="3270" customFormat="false" ht="15.75" hidden="false" customHeight="false" outlineLevel="0" collapsed="false">
      <c r="A3270" s="2" t="n">
        <v>242936</v>
      </c>
      <c r="B3270" s="2" t="s">
        <v>2627</v>
      </c>
      <c r="C3270" s="2" t="n">
        <v>2</v>
      </c>
      <c r="D3270" s="2" t="n">
        <v>2</v>
      </c>
      <c r="E3270" s="2" t="n">
        <v>1</v>
      </c>
      <c r="F3270" s="2" t="n">
        <v>58</v>
      </c>
      <c r="G3270" s="2" t="s">
        <v>1516</v>
      </c>
      <c r="H3270" s="2" t="str">
        <f aca="false">IFERROR(__xludf.dummyfunction("IF(I3304="""", """", REGEXEXTRACT(I3304, ""Padrao/([^/]+)""))"),"Residencial Parque dos Servidores")</f>
        <v>Residencial Parque dos Servidores</v>
      </c>
    </row>
    <row r="3271" customFormat="false" ht="15.75" hidden="false" customHeight="false" outlineLevel="0" collapsed="false">
      <c r="A3271" s="2" t="n">
        <v>236462</v>
      </c>
      <c r="B3271" s="2" t="s">
        <v>2628</v>
      </c>
      <c r="C3271" s="2" t="n">
        <v>2</v>
      </c>
      <c r="D3271" s="2" t="n">
        <v>2</v>
      </c>
      <c r="E3271" s="2" t="n">
        <v>1</v>
      </c>
      <c r="F3271" s="2" t="n">
        <v>62</v>
      </c>
      <c r="G3271" s="2" t="s">
        <v>1516</v>
      </c>
      <c r="H3271" s="2" t="str">
        <f aca="false">IFERROR(__xludf.dummyfunction("IF(I3305="""", """", REGEXEXTRACT(I3305, ""Padrao/([^/]+)""))"),"Vila Maria Luiza")</f>
        <v>Vila Maria Luiza</v>
      </c>
    </row>
    <row r="3272" customFormat="false" ht="15.75" hidden="false" customHeight="false" outlineLevel="0" collapsed="false">
      <c r="A3272" s="2" t="n">
        <v>212390</v>
      </c>
      <c r="B3272" s="2" t="s">
        <v>2629</v>
      </c>
      <c r="C3272" s="2" t="n">
        <v>1</v>
      </c>
      <c r="D3272" s="2" t="n">
        <v>1</v>
      </c>
      <c r="E3272" s="2" t="n">
        <v>1</v>
      </c>
      <c r="F3272" s="2" t="n">
        <v>44</v>
      </c>
      <c r="G3272" s="2" t="s">
        <v>1516</v>
      </c>
      <c r="H3272" s="2" t="str">
        <f aca="false">IFERROR(__xludf.dummyfunction("IF(I3306="""", """", REGEXEXTRACT(I3306, ""Padrao/([^/]+)""))"),"Nova Ribeirania")</f>
        <v>Nova Ribeirania</v>
      </c>
    </row>
    <row r="3273" customFormat="false" ht="15.75" hidden="false" customHeight="false" outlineLevel="0" collapsed="false">
      <c r="A3273" s="2" t="n">
        <v>177791</v>
      </c>
      <c r="B3273" s="2" t="s">
        <v>1790</v>
      </c>
      <c r="C3273" s="2" t="n">
        <v>2</v>
      </c>
      <c r="D3273" s="2" t="n">
        <v>1</v>
      </c>
      <c r="E3273" s="2" t="n">
        <v>1</v>
      </c>
      <c r="F3273" s="2" t="n">
        <v>48</v>
      </c>
      <c r="G3273" s="2" t="s">
        <v>1516</v>
      </c>
      <c r="H3273" s="2" t="str">
        <f aca="false">IFERROR(__xludf.dummyfunction("IF(I3307="""", """", REGEXEXTRACT(I3307, ""Padrao/([^/]+)""))"),"Vila Maria Luiza")</f>
        <v>Vila Maria Luiza</v>
      </c>
    </row>
    <row r="3274" customFormat="false" ht="15.75" hidden="false" customHeight="false" outlineLevel="0" collapsed="false">
      <c r="A3274" s="2" t="n">
        <v>166385</v>
      </c>
      <c r="B3274" s="2" t="s">
        <v>753</v>
      </c>
      <c r="C3274" s="2" t="n">
        <v>2</v>
      </c>
      <c r="D3274" s="2" t="n">
        <v>2</v>
      </c>
      <c r="E3274" s="2" t="n">
        <v>2</v>
      </c>
      <c r="F3274" s="2" t="n">
        <v>53</v>
      </c>
      <c r="G3274" s="2" t="s">
        <v>1516</v>
      </c>
      <c r="H3274" s="2" t="str">
        <f aca="false">IFERROR(__xludf.dummyfunction("IF(I3308="""", """", REGEXEXTRACT(I3308, ""Padrao/([^/]+)""))"),"Parque dos Lagos")</f>
        <v>Parque dos Lagos</v>
      </c>
    </row>
    <row r="3275" customFormat="false" ht="15.75" hidden="false" customHeight="false" outlineLevel="0" collapsed="false">
      <c r="A3275" s="2" t="n">
        <v>106370</v>
      </c>
      <c r="B3275" s="2" t="s">
        <v>1743</v>
      </c>
      <c r="C3275" s="2" t="n">
        <v>1</v>
      </c>
      <c r="D3275" s="2" t="n">
        <v>2</v>
      </c>
      <c r="E3275" s="2" t="n">
        <v>1</v>
      </c>
      <c r="F3275" s="2" t="n">
        <v>60</v>
      </c>
      <c r="G3275" s="2" t="s">
        <v>1516</v>
      </c>
      <c r="H3275" s="2" t="str">
        <f aca="false">IFERROR(__xludf.dummyfunction("IF(I3309="""", """", REGEXEXTRACT(I3309, ""Padrao/([^/]+)""))"),"Jardim Palma Travassos")</f>
        <v>Jardim Palma Travassos</v>
      </c>
    </row>
    <row r="3276" customFormat="false" ht="15.75" hidden="false" customHeight="false" outlineLevel="0" collapsed="false">
      <c r="A3276" s="2" t="n">
        <v>193250</v>
      </c>
      <c r="B3276" s="2" t="s">
        <v>2630</v>
      </c>
      <c r="C3276" s="2" t="n">
        <v>2</v>
      </c>
      <c r="D3276" s="2" t="n">
        <v>1</v>
      </c>
      <c r="E3276" s="2" t="n">
        <v>1</v>
      </c>
      <c r="F3276" s="2" t="n">
        <v>48</v>
      </c>
      <c r="G3276" s="2" t="s">
        <v>2631</v>
      </c>
      <c r="H3276" s="2" t="str">
        <f aca="false">IFERROR(__xludf.dummyfunction("IF(I3310="""", """", REGEXEXTRACT(I3310, ""Padrao/([^/]+)""))"),"Quintas de Sao Jose")</f>
        <v>Quintas de Sao Jose</v>
      </c>
    </row>
    <row r="3277" customFormat="false" ht="15.75" hidden="false" customHeight="false" outlineLevel="0" collapsed="false">
      <c r="A3277" s="2" t="n">
        <v>157514</v>
      </c>
      <c r="B3277" s="2" t="s">
        <v>2632</v>
      </c>
      <c r="C3277" s="2" t="n">
        <v>2</v>
      </c>
      <c r="D3277" s="2" t="n">
        <v>2</v>
      </c>
      <c r="E3277" s="2" t="n">
        <v>1</v>
      </c>
      <c r="F3277" s="2" t="n">
        <v>63</v>
      </c>
      <c r="G3277" s="2" t="s">
        <v>2631</v>
      </c>
      <c r="H3277" s="2" t="str">
        <f aca="false">IFERROR(__xludf.dummyfunction("IF(I3311="""", """", REGEXEXTRACT(I3311, ""Padrao/([^/]+)""))"),"Ipiranga")</f>
        <v>Ipiranga</v>
      </c>
    </row>
    <row r="3278" customFormat="false" ht="15.75" hidden="false" customHeight="false" outlineLevel="0" collapsed="false">
      <c r="A3278" s="2" t="n">
        <v>118016</v>
      </c>
      <c r="B3278" s="2" t="s">
        <v>162</v>
      </c>
      <c r="C3278" s="2" t="n">
        <v>2</v>
      </c>
      <c r="D3278" s="2" t="n">
        <v>2</v>
      </c>
      <c r="E3278" s="2" t="n">
        <v>1</v>
      </c>
      <c r="F3278" s="2" t="n">
        <v>66</v>
      </c>
      <c r="G3278" s="2" t="s">
        <v>2631</v>
      </c>
      <c r="H3278" s="2" t="str">
        <f aca="false">IFERROR(__xludf.dummyfunction("IF(I3312="""", """", REGEXEXTRACT(I3312, ""Padrao/([^/]+)""))"),"Residencial e Comercial Palmares")</f>
        <v>Residencial e Comercial Palmares</v>
      </c>
    </row>
    <row r="3279" customFormat="false" ht="15.75" hidden="false" customHeight="false" outlineLevel="0" collapsed="false">
      <c r="A3279" s="2" t="n">
        <v>235991</v>
      </c>
      <c r="B3279" s="2" t="s">
        <v>1924</v>
      </c>
      <c r="C3279" s="2" t="n">
        <v>2</v>
      </c>
      <c r="D3279" s="2" t="n">
        <v>1</v>
      </c>
      <c r="E3279" s="2" t="n">
        <v>1</v>
      </c>
      <c r="F3279" s="2" t="n">
        <v>47</v>
      </c>
      <c r="G3279" s="2" t="s">
        <v>2572</v>
      </c>
      <c r="H3279" s="2" t="str">
        <f aca="false">IFERROR(__xludf.dummyfunction("IF(I3313="""", """", REGEXEXTRACT(I3313, ""Padrao/([^/]+)""))"),"Quinta da Primavera")</f>
        <v>Quinta da Primavera</v>
      </c>
    </row>
    <row r="3280" customFormat="false" ht="15.75" hidden="false" customHeight="false" outlineLevel="0" collapsed="false">
      <c r="A3280" s="2" t="n">
        <v>89549</v>
      </c>
      <c r="B3280" s="2" t="s">
        <v>2633</v>
      </c>
      <c r="C3280" s="2" t="n">
        <v>2</v>
      </c>
      <c r="D3280" s="2" t="n">
        <v>2</v>
      </c>
      <c r="E3280" s="2" t="n">
        <v>1</v>
      </c>
      <c r="F3280" s="2" t="n">
        <v>77</v>
      </c>
      <c r="G3280" s="2" t="s">
        <v>2634</v>
      </c>
      <c r="H3280" s="2" t="str">
        <f aca="false">IFERROR(__xludf.dummyfunction("IF(I3314="""", """", REGEXEXTRACT(I3314, ""Padrao/([^/]+)""))"),"Jardim Antartica")</f>
        <v>Jardim Antartica</v>
      </c>
    </row>
    <row r="3281" customFormat="false" ht="15.75" hidden="false" customHeight="false" outlineLevel="0" collapsed="false">
      <c r="A3281" s="2" t="n">
        <v>165665</v>
      </c>
      <c r="B3281" s="2" t="s">
        <v>2635</v>
      </c>
      <c r="C3281" s="2" t="n">
        <v>2</v>
      </c>
      <c r="D3281" s="2" t="n">
        <v>2</v>
      </c>
      <c r="E3281" s="2" t="n">
        <v>1</v>
      </c>
      <c r="F3281" s="2" t="n">
        <v>61</v>
      </c>
      <c r="G3281" s="2" t="s">
        <v>573</v>
      </c>
      <c r="H3281" s="2" t="str">
        <f aca="false">IFERROR(__xludf.dummyfunction("IF(I3315="""", """", REGEXEXTRACT(I3315, ""Padrao/([^/]+)""))"),"Residencial e Comercial Palmares")</f>
        <v>Residencial e Comercial Palmares</v>
      </c>
    </row>
    <row r="3282" customFormat="false" ht="15.75" hidden="false" customHeight="false" outlineLevel="0" collapsed="false">
      <c r="A3282" s="2" t="n">
        <v>157610</v>
      </c>
      <c r="B3282" s="2" t="s">
        <v>1406</v>
      </c>
      <c r="C3282" s="2" t="n">
        <v>3</v>
      </c>
      <c r="D3282" s="2" t="n">
        <v>3</v>
      </c>
      <c r="E3282" s="2" t="n">
        <v>1</v>
      </c>
      <c r="F3282" s="2" t="n">
        <v>111</v>
      </c>
      <c r="G3282" s="2" t="s">
        <v>2572</v>
      </c>
      <c r="H3282" s="2" t="str">
        <f aca="false">IFERROR(__xludf.dummyfunction("IF(I3316="""", """", REGEXEXTRACT(I3316, ""Padrao/([^/]+)""))"),"Centro")</f>
        <v>Centro</v>
      </c>
    </row>
    <row r="3283" customFormat="false" ht="15.75" hidden="false" customHeight="false" outlineLevel="0" collapsed="false">
      <c r="A3283" s="2" t="n">
        <v>239579</v>
      </c>
      <c r="B3283" s="2" t="s">
        <v>2636</v>
      </c>
      <c r="C3283" s="2" t="n">
        <v>2</v>
      </c>
      <c r="D3283" s="2" t="n">
        <v>1</v>
      </c>
      <c r="E3283" s="2" t="n">
        <v>1</v>
      </c>
      <c r="F3283" s="2" t="n">
        <v>48</v>
      </c>
      <c r="G3283" s="2" t="s">
        <v>2637</v>
      </c>
      <c r="H3283" s="2" t="str">
        <f aca="false">IFERROR(__xludf.dummyfunction("IF(I3317="""", """", REGEXEXTRACT(I3317, ""Padrao/([^/]+)""))"),"Bonfim Paulista")</f>
        <v>Bonfim Paulista</v>
      </c>
    </row>
    <row r="3284" customFormat="false" ht="15.75" hidden="false" customHeight="false" outlineLevel="0" collapsed="false">
      <c r="A3284" s="2" t="n">
        <v>218723</v>
      </c>
      <c r="B3284" s="2" t="s">
        <v>2638</v>
      </c>
      <c r="C3284" s="2" t="n">
        <v>1</v>
      </c>
      <c r="D3284" s="2" t="n">
        <v>1</v>
      </c>
      <c r="E3284" s="2" t="n">
        <v>1</v>
      </c>
      <c r="F3284" s="2" t="n">
        <v>44</v>
      </c>
      <c r="G3284" s="2" t="s">
        <v>2637</v>
      </c>
      <c r="H3284" s="2" t="str">
        <f aca="false">IFERROR(__xludf.dummyfunction("IF(I3318="""", """", REGEXEXTRACT(I3318, ""Padrao/([^/]+)""))"),"Nova Alianca")</f>
        <v>Nova Alianca</v>
      </c>
    </row>
    <row r="3285" customFormat="false" ht="15.75" hidden="false" customHeight="false" outlineLevel="0" collapsed="false">
      <c r="A3285" s="2" t="n">
        <v>203393</v>
      </c>
      <c r="B3285" s="2" t="s">
        <v>2065</v>
      </c>
      <c r="C3285" s="2" t="n">
        <v>2</v>
      </c>
      <c r="D3285" s="2" t="n">
        <v>1</v>
      </c>
      <c r="E3285" s="2" t="n">
        <v>1</v>
      </c>
      <c r="F3285" s="2" t="n">
        <v>50</v>
      </c>
      <c r="G3285" s="2" t="s">
        <v>2637</v>
      </c>
      <c r="H3285" s="2" t="str">
        <f aca="false">IFERROR(__xludf.dummyfunction("IF(I3319="""", """", REGEXEXTRACT(I3319, ""Padrao/([^/]+)""))"),"Jardim Novo Mundo")</f>
        <v>Jardim Novo Mundo</v>
      </c>
    </row>
    <row r="3286" customFormat="false" ht="15.75" hidden="false" customHeight="false" outlineLevel="0" collapsed="false">
      <c r="A3286" s="2" t="n">
        <v>163334</v>
      </c>
      <c r="B3286" s="2" t="s">
        <v>1082</v>
      </c>
      <c r="C3286" s="2" t="n">
        <v>2</v>
      </c>
      <c r="D3286" s="2" t="n">
        <v>1</v>
      </c>
      <c r="E3286" s="2" t="n">
        <v>1</v>
      </c>
      <c r="F3286" s="2" t="n">
        <v>46</v>
      </c>
      <c r="G3286" s="2" t="s">
        <v>2637</v>
      </c>
      <c r="H3286" s="2" t="str">
        <f aca="false">IFERROR(__xludf.dummyfunction("IF(I3320="""", """", REGEXEXTRACT(I3320, ""Padrao/([^/]+)""))"),"Reserva Sul Condominio")</f>
        <v>Reserva Sul Condominio</v>
      </c>
    </row>
    <row r="3287" customFormat="false" ht="15.75" hidden="false" customHeight="false" outlineLevel="0" collapsed="false">
      <c r="A3287" s="2" t="n">
        <v>162845</v>
      </c>
      <c r="B3287" s="2" t="s">
        <v>776</v>
      </c>
      <c r="C3287" s="2" t="n">
        <v>3</v>
      </c>
      <c r="D3287" s="2" t="n">
        <v>2</v>
      </c>
      <c r="E3287" s="2" t="n">
        <v>1</v>
      </c>
      <c r="F3287" s="2" t="n">
        <v>87</v>
      </c>
      <c r="G3287" s="2" t="s">
        <v>2637</v>
      </c>
      <c r="H3287" s="2" t="str">
        <f aca="false">IFERROR(__xludf.dummyfunction("IF(I3321="""", """", REGEXEXTRACT(I3321, ""Padrao/([^/]+)""))"),"Jardim Paulistano")</f>
        <v>Jardim Paulistano</v>
      </c>
    </row>
    <row r="3288" customFormat="false" ht="15.75" hidden="false" customHeight="false" outlineLevel="0" collapsed="false">
      <c r="A3288" s="2" t="n">
        <v>162338</v>
      </c>
      <c r="B3288" s="2" t="s">
        <v>2639</v>
      </c>
      <c r="C3288" s="2" t="n">
        <v>3</v>
      </c>
      <c r="D3288" s="2" t="n">
        <v>2</v>
      </c>
      <c r="E3288" s="2" t="n">
        <v>1</v>
      </c>
      <c r="F3288" s="2" t="n">
        <v>126</v>
      </c>
      <c r="G3288" s="2" t="s">
        <v>2637</v>
      </c>
      <c r="H3288" s="2" t="str">
        <f aca="false">IFERROR(__xludf.dummyfunction("IF(I3322="""", """", REGEXEXTRACT(I3322, ""Padrao/([^/]+)""))"),"Residencial e Comercial Palmares")</f>
        <v>Residencial e Comercial Palmares</v>
      </c>
    </row>
    <row r="3289" customFormat="false" ht="15.75" hidden="false" customHeight="false" outlineLevel="0" collapsed="false">
      <c r="A3289" s="2" t="n">
        <v>148415</v>
      </c>
      <c r="B3289" s="2" t="s">
        <v>2640</v>
      </c>
      <c r="C3289" s="2" t="n">
        <v>3</v>
      </c>
      <c r="D3289" s="2" t="n">
        <v>2</v>
      </c>
      <c r="E3289" s="2" t="n">
        <v>1</v>
      </c>
      <c r="F3289" s="2" t="n">
        <v>89</v>
      </c>
      <c r="G3289" s="2" t="s">
        <v>2637</v>
      </c>
      <c r="H3289" s="2" t="str">
        <f aca="false">IFERROR(__xludf.dummyfunction("IF(I3323="""", """", REGEXEXTRACT(I3323, ""Padrao/([^/]+)""))"),"Centro")</f>
        <v>Centro</v>
      </c>
    </row>
    <row r="3290" customFormat="false" ht="15.75" hidden="false" customHeight="false" outlineLevel="0" collapsed="false">
      <c r="A3290" s="2" t="n">
        <v>146186</v>
      </c>
      <c r="B3290" s="2" t="s">
        <v>2641</v>
      </c>
      <c r="C3290" s="2" t="n">
        <v>2</v>
      </c>
      <c r="D3290" s="2" t="n">
        <v>1</v>
      </c>
      <c r="E3290" s="2" t="n">
        <v>1</v>
      </c>
      <c r="F3290" s="2" t="n">
        <v>56</v>
      </c>
      <c r="G3290" s="2" t="s">
        <v>2637</v>
      </c>
      <c r="H3290" s="2" t="str">
        <f aca="false">IFERROR(__xludf.dummyfunction("IF(I3324="""", """", REGEXEXTRACT(I3324, ""Padrao/([^/]+)""))"),"Planalto Verde")</f>
        <v>Planalto Verde</v>
      </c>
    </row>
    <row r="3291" customFormat="false" ht="15.75" hidden="false" customHeight="false" outlineLevel="0" collapsed="false">
      <c r="A3291" s="2" t="n">
        <v>91307</v>
      </c>
      <c r="B3291" s="2" t="s">
        <v>1776</v>
      </c>
      <c r="C3291" s="2" t="n">
        <v>1</v>
      </c>
      <c r="D3291" s="2" t="n">
        <v>2</v>
      </c>
      <c r="E3291" s="2" t="n">
        <v>1</v>
      </c>
      <c r="F3291" s="2" t="n">
        <v>41</v>
      </c>
      <c r="G3291" s="2" t="s">
        <v>2637</v>
      </c>
      <c r="H3291" s="2" t="str">
        <f aca="false">IFERROR(__xludf.dummyfunction("IF(I3325="""", """", REGEXEXTRACT(I3325, ""Padrao/([^/]+)""))"),"Nova Alianca")</f>
        <v>Nova Alianca</v>
      </c>
    </row>
    <row r="3292" customFormat="false" ht="15.75" hidden="false" customHeight="false" outlineLevel="0" collapsed="false">
      <c r="A3292" s="2" t="n">
        <v>195551</v>
      </c>
      <c r="B3292" s="2" t="s">
        <v>2642</v>
      </c>
      <c r="C3292" s="2" t="n">
        <v>2</v>
      </c>
      <c r="D3292" s="2" t="n">
        <v>1</v>
      </c>
      <c r="E3292" s="2" t="n">
        <v>1</v>
      </c>
      <c r="F3292" s="2" t="n">
        <v>47</v>
      </c>
      <c r="G3292" s="2" t="s">
        <v>2643</v>
      </c>
      <c r="H3292" s="2" t="str">
        <f aca="false">IFERROR(__xludf.dummyfunction("IF(I3326="""", """", REGEXEXTRACT(I3326, ""Padrao/([^/]+)""))"),"Real Sul")</f>
        <v>Real Sul</v>
      </c>
    </row>
    <row r="3293" customFormat="false" ht="15.75" hidden="false" customHeight="false" outlineLevel="0" collapsed="false">
      <c r="A3293" s="2" t="n">
        <v>140588</v>
      </c>
      <c r="B3293" s="2" t="s">
        <v>1744</v>
      </c>
      <c r="C3293" s="2" t="n">
        <v>1</v>
      </c>
      <c r="D3293" s="2" t="n">
        <v>1</v>
      </c>
      <c r="E3293" s="2" t="n">
        <v>1</v>
      </c>
      <c r="F3293" s="2" t="n">
        <v>37</v>
      </c>
      <c r="G3293" s="2" t="s">
        <v>2644</v>
      </c>
      <c r="H3293" s="2" t="str">
        <f aca="false">IFERROR(__xludf.dummyfunction("IF(I3327="""", """", REGEXEXTRACT(I3327, ""Padrao/([^/]+)""))"),"Nova Alianca")</f>
        <v>Nova Alianca</v>
      </c>
    </row>
    <row r="3294" customFormat="false" ht="15.75" hidden="false" customHeight="false" outlineLevel="0" collapsed="false">
      <c r="A3294" s="2" t="n">
        <v>201695</v>
      </c>
      <c r="B3294" s="2" t="s">
        <v>2645</v>
      </c>
      <c r="C3294" s="2" t="n">
        <v>3</v>
      </c>
      <c r="D3294" s="2" t="n">
        <v>2</v>
      </c>
      <c r="E3294" s="2" t="n">
        <v>1</v>
      </c>
      <c r="F3294" s="2" t="n">
        <v>92</v>
      </c>
      <c r="G3294" s="2" t="s">
        <v>575</v>
      </c>
      <c r="H3294" s="2" t="str">
        <f aca="false">IFERROR(__xludf.dummyfunction("IF(I3328="""", """", REGEXEXTRACT(I3328, ""Padrao/([^/]+)""))"),"Vila Seixas")</f>
        <v>Vila Seixas</v>
      </c>
    </row>
    <row r="3295" customFormat="false" ht="15.75" hidden="false" customHeight="false" outlineLevel="0" collapsed="false">
      <c r="A3295" s="2" t="n">
        <v>220292</v>
      </c>
      <c r="B3295" s="2" t="s">
        <v>2423</v>
      </c>
      <c r="C3295" s="2" t="n">
        <v>2</v>
      </c>
      <c r="D3295" s="2" t="n">
        <v>2</v>
      </c>
      <c r="E3295" s="2" t="n">
        <v>1</v>
      </c>
      <c r="F3295" s="2" t="n">
        <v>95</v>
      </c>
      <c r="G3295" s="2" t="s">
        <v>2646</v>
      </c>
      <c r="H3295" s="2" t="str">
        <f aca="false">IFERROR(__xludf.dummyfunction("IF(I3329="""", """", REGEXEXTRACT(I3329, ""Padrao/([^/]+)""))"),"Vila Seixas")</f>
        <v>Vila Seixas</v>
      </c>
    </row>
    <row r="3296" customFormat="false" ht="15.75" hidden="false" customHeight="false" outlineLevel="0" collapsed="false">
      <c r="A3296" s="2" t="n">
        <v>214409</v>
      </c>
      <c r="B3296" s="2" t="s">
        <v>2647</v>
      </c>
      <c r="C3296" s="2" t="n">
        <v>3</v>
      </c>
      <c r="D3296" s="2" t="n">
        <v>2</v>
      </c>
      <c r="E3296" s="2" t="n">
        <v>1</v>
      </c>
      <c r="F3296" s="2" t="n">
        <v>84</v>
      </c>
      <c r="G3296" s="2" t="s">
        <v>2646</v>
      </c>
      <c r="H3296" s="2" t="str">
        <f aca="false">IFERROR(__xludf.dummyfunction("IF(I3330="""", """", REGEXEXTRACT(I3330, ""Padrao/([^/]+)""))"),"Residencial Greenville")</f>
        <v>Residencial Greenville</v>
      </c>
    </row>
    <row r="3297" customFormat="false" ht="15.75" hidden="false" customHeight="false" outlineLevel="0" collapsed="false">
      <c r="A3297" s="2" t="n">
        <v>135734</v>
      </c>
      <c r="B3297" s="2" t="s">
        <v>2648</v>
      </c>
      <c r="C3297" s="2" t="n">
        <v>2</v>
      </c>
      <c r="D3297" s="2" t="n">
        <v>2</v>
      </c>
      <c r="E3297" s="2" t="n">
        <v>1</v>
      </c>
      <c r="F3297" s="2" t="n">
        <v>60</v>
      </c>
      <c r="G3297" s="2" t="s">
        <v>2646</v>
      </c>
      <c r="H3297" s="2" t="str">
        <f aca="false">IFERROR(__xludf.dummyfunction("IF(I3331="""", """", REGEXEXTRACT(I3331, ""Padrao/([^/]+)""))"),"Jardim Botanico")</f>
        <v>Jardim Botanico</v>
      </c>
    </row>
    <row r="3298" customFormat="false" ht="15.75" hidden="false" customHeight="false" outlineLevel="0" collapsed="false">
      <c r="A3298" s="2" t="n">
        <v>100496</v>
      </c>
      <c r="B3298" s="2" t="s">
        <v>2649</v>
      </c>
      <c r="C3298" s="2" t="n">
        <v>1</v>
      </c>
      <c r="D3298" s="2" t="n">
        <v>1</v>
      </c>
      <c r="E3298" s="2" t="n">
        <v>1</v>
      </c>
      <c r="F3298" s="2" t="n">
        <v>46</v>
      </c>
      <c r="G3298" s="2" t="s">
        <v>2646</v>
      </c>
      <c r="H3298" s="2" t="str">
        <f aca="false">IFERROR(__xludf.dummyfunction("IF(I3332="""", """", REGEXEXTRACT(I3332, ""Padrao/([^/]+)""))"),"Nova Alianca")</f>
        <v>Nova Alianca</v>
      </c>
    </row>
    <row r="3299" customFormat="false" ht="15.75" hidden="false" customHeight="false" outlineLevel="0" collapsed="false">
      <c r="A3299" s="2" t="n">
        <v>142340</v>
      </c>
      <c r="B3299" s="2" t="s">
        <v>2494</v>
      </c>
      <c r="C3299" s="2" t="n">
        <v>2</v>
      </c>
      <c r="D3299" s="2" t="n">
        <v>1</v>
      </c>
      <c r="E3299" s="2" t="n">
        <v>1</v>
      </c>
      <c r="F3299" s="2" t="n">
        <v>56</v>
      </c>
      <c r="G3299" s="2" t="s">
        <v>566</v>
      </c>
      <c r="H3299" s="2" t="str">
        <f aca="false">IFERROR(__xludf.dummyfunction("IF(I3333="""", """", REGEXEXTRACT(I3333, ""Padrao/([^/]+)""))"),"Alto do Ipiranga")</f>
        <v>Alto do Ipiranga</v>
      </c>
    </row>
    <row r="3300" customFormat="false" ht="15.75" hidden="false" customHeight="false" outlineLevel="0" collapsed="false">
      <c r="A3300" s="2" t="n">
        <v>159737</v>
      </c>
      <c r="B3300" s="2" t="s">
        <v>2650</v>
      </c>
      <c r="C3300" s="2" t="n">
        <v>2</v>
      </c>
      <c r="D3300" s="2" t="n">
        <v>1</v>
      </c>
      <c r="E3300" s="2" t="n">
        <v>1</v>
      </c>
      <c r="F3300" s="2" t="n">
        <v>81</v>
      </c>
      <c r="G3300" s="2" t="s">
        <v>2565</v>
      </c>
      <c r="H3300" s="2" t="str">
        <f aca="false">IFERROR(__xludf.dummyfunction("IF(I3334="""", """", REGEXEXTRACT(I3334, ""Padrao/([^/]+)""))"),"Ipiranga")</f>
        <v>Ipiranga</v>
      </c>
    </row>
    <row r="3301" customFormat="false" ht="15.75" hidden="false" customHeight="false" outlineLevel="0" collapsed="false">
      <c r="A3301" s="2" t="n">
        <v>231794</v>
      </c>
      <c r="B3301" s="2" t="s">
        <v>2651</v>
      </c>
      <c r="C3301" s="2" t="n">
        <v>2</v>
      </c>
      <c r="D3301" s="2" t="n">
        <v>2</v>
      </c>
      <c r="E3301" s="2" t="n">
        <v>1</v>
      </c>
      <c r="F3301" s="2" t="n">
        <v>52</v>
      </c>
      <c r="G3301" s="2" t="s">
        <v>2652</v>
      </c>
      <c r="H3301" s="2" t="str">
        <f aca="false">IFERROR(__xludf.dummyfunction("IF(I3335="""", """", REGEXEXTRACT(I3335, ""Padrao/([^/]+)""))"),"Bonfim Paulista")</f>
        <v>Bonfim Paulista</v>
      </c>
    </row>
    <row r="3302" customFormat="false" ht="15.75" hidden="false" customHeight="false" outlineLevel="0" collapsed="false">
      <c r="A3302" s="2" t="n">
        <v>239339</v>
      </c>
      <c r="B3302" s="2" t="s">
        <v>2653</v>
      </c>
      <c r="C3302" s="2" t="n">
        <v>2</v>
      </c>
      <c r="D3302" s="2" t="n">
        <v>2</v>
      </c>
      <c r="E3302" s="2" t="n">
        <v>1</v>
      </c>
      <c r="F3302" s="2" t="n">
        <v>76</v>
      </c>
      <c r="G3302" s="2" t="s">
        <v>591</v>
      </c>
      <c r="H3302" s="2" t="str">
        <f aca="false">IFERROR(__xludf.dummyfunction("IF(I3336="""", """", REGEXEXTRACT(I3336, ""Padrao/([^/]+)""))"),"Residencial Florida")</f>
        <v>Residencial Florida</v>
      </c>
    </row>
    <row r="3303" customFormat="false" ht="15.75" hidden="false" customHeight="false" outlineLevel="0" collapsed="false">
      <c r="A3303" s="2" t="n">
        <v>235916</v>
      </c>
      <c r="B3303" s="2" t="s">
        <v>2654</v>
      </c>
      <c r="C3303" s="2" t="n">
        <v>3</v>
      </c>
      <c r="D3303" s="2" t="n">
        <v>1</v>
      </c>
      <c r="E3303" s="2" t="n">
        <v>1</v>
      </c>
      <c r="F3303" s="2" t="n">
        <v>56</v>
      </c>
      <c r="G3303" s="2" t="s">
        <v>591</v>
      </c>
      <c r="H3303" s="2" t="str">
        <f aca="false">IFERROR(__xludf.dummyfunction("IF(I3337="""", """", REGEXEXTRACT(I3337, ""Padrao/([^/]+)""))"),"Planalto Verde")</f>
        <v>Planalto Verde</v>
      </c>
    </row>
    <row r="3304" customFormat="false" ht="15.75" hidden="false" customHeight="false" outlineLevel="0" collapsed="false">
      <c r="A3304" s="2" t="n">
        <v>178787</v>
      </c>
      <c r="B3304" s="2" t="s">
        <v>2655</v>
      </c>
      <c r="C3304" s="2" t="n">
        <v>2</v>
      </c>
      <c r="D3304" s="2" t="n">
        <v>1</v>
      </c>
      <c r="E3304" s="2" t="n">
        <v>1</v>
      </c>
      <c r="F3304" s="2" t="n">
        <v>55</v>
      </c>
      <c r="G3304" s="2" t="s">
        <v>591</v>
      </c>
      <c r="H3304" s="2" t="str">
        <f aca="false">IFERROR(__xludf.dummyfunction("IF(I3338="""", """", REGEXEXTRACT(I3338, ""Padrao/([^/]+)""))"),"Bonfim Paulista")</f>
        <v>Bonfim Paulista</v>
      </c>
    </row>
    <row r="3305" customFormat="false" ht="15.75" hidden="false" customHeight="false" outlineLevel="0" collapsed="false">
      <c r="A3305" s="2" t="n">
        <v>178781</v>
      </c>
      <c r="B3305" s="2" t="s">
        <v>2655</v>
      </c>
      <c r="C3305" s="2" t="n">
        <v>2</v>
      </c>
      <c r="D3305" s="2" t="n">
        <v>1</v>
      </c>
      <c r="E3305" s="2" t="n">
        <v>1</v>
      </c>
      <c r="F3305" s="2" t="n">
        <v>55</v>
      </c>
      <c r="G3305" s="2" t="s">
        <v>591</v>
      </c>
      <c r="H3305" s="2" t="str">
        <f aca="false">IFERROR(__xludf.dummyfunction("IF(I3339="""", """", REGEXEXTRACT(I3339, ""Padrao/([^/]+)""))"),"Bonfim Paulista")</f>
        <v>Bonfim Paulista</v>
      </c>
    </row>
    <row r="3306" customFormat="false" ht="15.75" hidden="false" customHeight="false" outlineLevel="0" collapsed="false">
      <c r="A3306" s="2" t="n">
        <v>134831</v>
      </c>
      <c r="B3306" s="2" t="s">
        <v>2526</v>
      </c>
      <c r="C3306" s="2" t="n">
        <v>3</v>
      </c>
      <c r="D3306" s="2" t="n">
        <v>2</v>
      </c>
      <c r="E3306" s="2" t="n">
        <v>1</v>
      </c>
      <c r="F3306" s="2" t="n">
        <v>72</v>
      </c>
      <c r="G3306" s="2" t="s">
        <v>591</v>
      </c>
      <c r="H3306" s="2" t="str">
        <f aca="false">IFERROR(__xludf.dummyfunction("IF(I3340="""", """", REGEXEXTRACT(I3340, ""Padrao/([^/]+)""))"),"Presidente Medici")</f>
        <v>Presidente Medici</v>
      </c>
    </row>
    <row r="3307" customFormat="false" ht="15.75" hidden="false" customHeight="false" outlineLevel="0" collapsed="false">
      <c r="A3307" s="2" t="n">
        <v>195545</v>
      </c>
      <c r="B3307" s="2" t="s">
        <v>2642</v>
      </c>
      <c r="C3307" s="2" t="n">
        <v>2</v>
      </c>
      <c r="D3307" s="2" t="n">
        <v>1</v>
      </c>
      <c r="E3307" s="2" t="n">
        <v>1</v>
      </c>
      <c r="F3307" s="2" t="n">
        <v>47</v>
      </c>
      <c r="G3307" s="2" t="s">
        <v>2656</v>
      </c>
      <c r="H3307" s="2" t="str">
        <f aca="false">IFERROR(__xludf.dummyfunction("IF(I3341="""", """", REGEXEXTRACT(I3341, ""Padrao/([^/]+)""))"),"Real Sul")</f>
        <v>Real Sul</v>
      </c>
    </row>
    <row r="3308" customFormat="false" ht="15.75" hidden="false" customHeight="false" outlineLevel="0" collapsed="false">
      <c r="A3308" s="2" t="n">
        <v>191030</v>
      </c>
      <c r="B3308" s="2" t="s">
        <v>2657</v>
      </c>
      <c r="C3308" s="2" t="n">
        <v>2</v>
      </c>
      <c r="D3308" s="2" t="n">
        <v>2</v>
      </c>
      <c r="E3308" s="2" t="n">
        <v>1</v>
      </c>
      <c r="F3308" s="2" t="n">
        <v>86</v>
      </c>
      <c r="G3308" s="2" t="s">
        <v>588</v>
      </c>
      <c r="H3308" s="2" t="str">
        <f aca="false">IFERROR(__xludf.dummyfunction("IF(I3342="""", """", REGEXEXTRACT(I3342, ""Padrao/([^/]+)""))"),"Nova Ribeirania")</f>
        <v>Nova Ribeirania</v>
      </c>
    </row>
    <row r="3309" customFormat="false" ht="15.75" hidden="false" customHeight="false" outlineLevel="0" collapsed="false">
      <c r="A3309" s="2" t="n">
        <v>170486</v>
      </c>
      <c r="B3309" s="2" t="s">
        <v>2658</v>
      </c>
      <c r="C3309" s="2" t="n">
        <v>1</v>
      </c>
      <c r="D3309" s="2" t="n">
        <v>1</v>
      </c>
      <c r="E3309" s="2" t="n">
        <v>1</v>
      </c>
      <c r="F3309" s="2" t="n">
        <v>39</v>
      </c>
      <c r="G3309" s="2" t="s">
        <v>649</v>
      </c>
      <c r="H3309" s="2" t="str">
        <f aca="false">IFERROR(__xludf.dummyfunction("IF(I3343="""", """", REGEXEXTRACT(I3343, ""Padrao/([^/]+)""))"),"Jardim Sumare")</f>
        <v>Jardim Sumare</v>
      </c>
    </row>
    <row r="3310" customFormat="false" ht="15.75" hidden="false" customHeight="false" outlineLevel="0" collapsed="false">
      <c r="A3310" s="2" t="n">
        <v>207287</v>
      </c>
      <c r="B3310" s="2" t="s">
        <v>2659</v>
      </c>
      <c r="C3310" s="2" t="n">
        <v>2</v>
      </c>
      <c r="D3310" s="2" t="n">
        <v>1</v>
      </c>
      <c r="E3310" s="2" t="n">
        <v>1</v>
      </c>
      <c r="F3310" s="2" t="n">
        <v>54</v>
      </c>
      <c r="G3310" s="2" t="s">
        <v>631</v>
      </c>
      <c r="H3310" s="2" t="str">
        <f aca="false">IFERROR(__xludf.dummyfunction("IF(I3344="""", """", REGEXEXTRACT(I3344, ""Padrao/([^/]+)""))"),"Ipiranga")</f>
        <v>Ipiranga</v>
      </c>
    </row>
    <row r="3311" customFormat="false" ht="15.75" hidden="false" customHeight="false" outlineLevel="0" collapsed="false">
      <c r="A3311" s="2" t="n">
        <v>231983</v>
      </c>
      <c r="B3311" s="2" t="s">
        <v>2660</v>
      </c>
      <c r="C3311" s="2" t="n">
        <v>2</v>
      </c>
      <c r="D3311" s="2" t="n">
        <v>2</v>
      </c>
      <c r="E3311" s="2" t="n">
        <v>2</v>
      </c>
      <c r="F3311" s="2" t="n">
        <v>71</v>
      </c>
      <c r="G3311" s="2" t="s">
        <v>1556</v>
      </c>
      <c r="H3311" s="2" t="str">
        <f aca="false">IFERROR(__xludf.dummyfunction("IF(I3345="""", """", REGEXEXTRACT(I3345, ""Padrao/([^/]+)""))"),"Bosque das Juritis")</f>
        <v>Bosque das Juritis</v>
      </c>
    </row>
    <row r="3312" customFormat="false" ht="15.75" hidden="false" customHeight="false" outlineLevel="0" collapsed="false">
      <c r="A3312" s="2" t="n">
        <v>231986</v>
      </c>
      <c r="B3312" s="2" t="s">
        <v>2661</v>
      </c>
      <c r="C3312" s="2" t="n">
        <v>2</v>
      </c>
      <c r="D3312" s="2" t="n">
        <v>2</v>
      </c>
      <c r="E3312" s="2" t="n">
        <v>2</v>
      </c>
      <c r="F3312" s="2" t="n">
        <v>71</v>
      </c>
      <c r="G3312" s="2" t="s">
        <v>1559</v>
      </c>
      <c r="H3312" s="2" t="str">
        <f aca="false">IFERROR(__xludf.dummyfunction("IF(I3346="""", """", REGEXEXTRACT(I3346, ""Padrao/([^/]+)""))"),"Bosque das Juritis")</f>
        <v>Bosque das Juritis</v>
      </c>
    </row>
    <row r="3313" customFormat="false" ht="15.75" hidden="false" customHeight="false" outlineLevel="0" collapsed="false">
      <c r="A3313" s="2" t="n">
        <v>187451</v>
      </c>
      <c r="B3313" s="2" t="s">
        <v>1572</v>
      </c>
      <c r="C3313" s="2" t="n">
        <v>2</v>
      </c>
      <c r="D3313" s="2" t="n">
        <v>2</v>
      </c>
      <c r="E3313" s="2" t="n">
        <v>1</v>
      </c>
      <c r="F3313" s="2" t="n">
        <v>59</v>
      </c>
      <c r="G3313" s="2" t="s">
        <v>648</v>
      </c>
      <c r="H3313" s="2" t="str">
        <f aca="false">IFERROR(__xludf.dummyfunction("IF(I3347="""", """", REGEXEXTRACT(I3347, ""Padrao/([^/]+)""))"),"Ribeirania")</f>
        <v>Ribeirania</v>
      </c>
    </row>
    <row r="3314" customFormat="false" ht="15.75" hidden="false" customHeight="false" outlineLevel="0" collapsed="false">
      <c r="A3314" s="2" t="n">
        <v>239279</v>
      </c>
      <c r="B3314" s="2" t="s">
        <v>2662</v>
      </c>
      <c r="C3314" s="2" t="n">
        <v>2</v>
      </c>
      <c r="D3314" s="2" t="n">
        <v>1</v>
      </c>
      <c r="E3314" s="2" t="n">
        <v>1</v>
      </c>
      <c r="F3314" s="2" t="n">
        <v>59</v>
      </c>
      <c r="G3314" s="2" t="s">
        <v>1553</v>
      </c>
      <c r="H3314" s="2" t="str">
        <f aca="false">IFERROR(__xludf.dummyfunction("IF(I3348="""", """", REGEXEXTRACT(I3348, ""Padrao/([^/]+)""))"),"Residencial Taiwan")</f>
        <v>Residencial Taiwan</v>
      </c>
    </row>
    <row r="3315" customFormat="false" ht="15.75" hidden="false" customHeight="false" outlineLevel="0" collapsed="false">
      <c r="A3315" s="2" t="n">
        <v>39398</v>
      </c>
      <c r="B3315" s="2" t="s">
        <v>2663</v>
      </c>
      <c r="C3315" s="2" t="n">
        <v>3</v>
      </c>
      <c r="D3315" s="2" t="n">
        <v>2</v>
      </c>
      <c r="E3315" s="2" t="n">
        <v>1</v>
      </c>
      <c r="F3315" s="2" t="n">
        <v>146</v>
      </c>
      <c r="G3315" s="2" t="s">
        <v>2664</v>
      </c>
      <c r="H3315" s="2" t="str">
        <f aca="false">IFERROR(__xludf.dummyfunction("IF(I3349="""", """", REGEXEXTRACT(I3349, ""Padrao/([^/]+)""))"),"Jardim Macedo")</f>
        <v>Jardim Macedo</v>
      </c>
    </row>
    <row r="3316" customFormat="false" ht="15.75" hidden="false" customHeight="false" outlineLevel="0" collapsed="false">
      <c r="A3316" s="2" t="n">
        <v>238337</v>
      </c>
      <c r="B3316" s="2" t="s">
        <v>2665</v>
      </c>
      <c r="C3316" s="2" t="n">
        <v>3</v>
      </c>
      <c r="D3316" s="2" t="n">
        <v>2</v>
      </c>
      <c r="E3316" s="2" t="n">
        <v>1</v>
      </c>
      <c r="F3316" s="2" t="n">
        <v>75</v>
      </c>
      <c r="G3316" s="2" t="s">
        <v>1556</v>
      </c>
      <c r="H3316" s="2" t="str">
        <f aca="false">IFERROR(__xludf.dummyfunction("IF(I3350="""", """", REGEXEXTRACT(I3350, ""Padrao/([^/]+)""))"),"Presidente Medici")</f>
        <v>Presidente Medici</v>
      </c>
    </row>
    <row r="3317" customFormat="false" ht="15.75" hidden="false" customHeight="false" outlineLevel="0" collapsed="false">
      <c r="A3317" s="2" t="n">
        <v>62978</v>
      </c>
      <c r="B3317" s="2" t="s">
        <v>2666</v>
      </c>
      <c r="C3317" s="2" t="n">
        <v>4</v>
      </c>
      <c r="D3317" s="2" t="n">
        <v>4</v>
      </c>
      <c r="E3317" s="2" t="n">
        <v>2</v>
      </c>
      <c r="F3317" s="2" t="n">
        <v>156</v>
      </c>
      <c r="G3317" s="2" t="s">
        <v>2667</v>
      </c>
      <c r="H3317" s="2" t="str">
        <f aca="false">IFERROR(__xludf.dummyfunction("IF(I3351="""", """", REGEXEXTRACT(I3351, ""Padrao/([^/]+)""))"),"Centro")</f>
        <v>Centro</v>
      </c>
    </row>
    <row r="3318" customFormat="false" ht="15.75" hidden="false" customHeight="false" outlineLevel="0" collapsed="false">
      <c r="A3318" s="2" t="n">
        <v>245165</v>
      </c>
      <c r="B3318" s="2" t="s">
        <v>2668</v>
      </c>
      <c r="C3318" s="2" t="n">
        <v>4</v>
      </c>
      <c r="D3318" s="2" t="n">
        <v>5</v>
      </c>
      <c r="E3318" s="2" t="n">
        <v>2</v>
      </c>
      <c r="F3318" s="2" t="n">
        <v>367</v>
      </c>
      <c r="G3318" s="2" t="s">
        <v>1600</v>
      </c>
      <c r="H3318" s="2" t="str">
        <f aca="false">IFERROR(__xludf.dummyfunction("IF(I3352="""", """", REGEXEXTRACT(I3352, ""Padrao/([^/]+)""))"),"Jardim Ilhas do Sul")</f>
        <v>Jardim Ilhas do Sul</v>
      </c>
    </row>
    <row r="3319" customFormat="false" ht="15.75" hidden="false" customHeight="false" outlineLevel="0" collapsed="false">
      <c r="A3319" s="2" t="n">
        <v>245162</v>
      </c>
      <c r="B3319" s="2" t="s">
        <v>2668</v>
      </c>
      <c r="C3319" s="2" t="n">
        <v>4</v>
      </c>
      <c r="D3319" s="2" t="n">
        <v>5</v>
      </c>
      <c r="E3319" s="2" t="n">
        <v>2</v>
      </c>
      <c r="F3319" s="2" t="n">
        <v>367</v>
      </c>
      <c r="G3319" s="2" t="s">
        <v>1600</v>
      </c>
      <c r="H3319" s="2" t="str">
        <f aca="false">IFERROR(__xludf.dummyfunction("IF(I3353="""", """", REGEXEXTRACT(I3353, ""Padrao/([^/]+)""))"),"Jardim Ilhas do Sul")</f>
        <v>Jardim Ilhas do Sul</v>
      </c>
    </row>
    <row r="3320" customFormat="false" ht="15.75" hidden="false" customHeight="false" outlineLevel="0" collapsed="false">
      <c r="A3320" s="2" t="n">
        <v>228680</v>
      </c>
      <c r="B3320" s="2" t="s">
        <v>2668</v>
      </c>
      <c r="C3320" s="2" t="n">
        <v>4</v>
      </c>
      <c r="D3320" s="2" t="n">
        <v>7</v>
      </c>
      <c r="E3320" s="2" t="n">
        <v>4</v>
      </c>
      <c r="F3320" s="2" t="n">
        <v>367</v>
      </c>
      <c r="G3320" s="2" t="s">
        <v>1600</v>
      </c>
      <c r="H3320" s="2" t="str">
        <f aca="false">IFERROR(__xludf.dummyfunction("IF(I3354="""", """", REGEXEXTRACT(I3354, ""Padrao/([^/]+)""))"),"Jardim Ilhas do Sul")</f>
        <v>Jardim Ilhas do Sul</v>
      </c>
    </row>
    <row r="3321" customFormat="false" ht="15.75" hidden="false" customHeight="false" outlineLevel="0" collapsed="false">
      <c r="A3321" s="2" t="n">
        <v>228677</v>
      </c>
      <c r="B3321" s="2" t="s">
        <v>2668</v>
      </c>
      <c r="C3321" s="2" t="n">
        <v>4</v>
      </c>
      <c r="D3321" s="2" t="n">
        <v>7</v>
      </c>
      <c r="E3321" s="2" t="n">
        <v>4</v>
      </c>
      <c r="F3321" s="2" t="n">
        <v>367</v>
      </c>
      <c r="G3321" s="2" t="s">
        <v>1600</v>
      </c>
      <c r="H3321" s="2" t="str">
        <f aca="false">IFERROR(__xludf.dummyfunction("IF(I3355="""", """", REGEXEXTRACT(I3355, ""Padrao/([^/]+)""))"),"Jardim Ilhas do Sul")</f>
        <v>Jardim Ilhas do Sul</v>
      </c>
    </row>
    <row r="3322" customFormat="false" ht="15.75" hidden="false" customHeight="false" outlineLevel="0" collapsed="false">
      <c r="A3322" s="2" t="n">
        <v>228674</v>
      </c>
      <c r="B3322" s="2" t="s">
        <v>2668</v>
      </c>
      <c r="C3322" s="2" t="n">
        <v>4</v>
      </c>
      <c r="D3322" s="2" t="n">
        <v>7</v>
      </c>
      <c r="E3322" s="2" t="n">
        <v>4</v>
      </c>
      <c r="F3322" s="2" t="n">
        <v>367</v>
      </c>
      <c r="G3322" s="2" t="s">
        <v>1600</v>
      </c>
      <c r="H3322" s="2" t="str">
        <f aca="false">IFERROR(__xludf.dummyfunction("IF(I3356="""", """", REGEXEXTRACT(I3356, ""Padrao/([^/]+)""))"),"Jardim Ilhas do Sul")</f>
        <v>Jardim Ilhas do Sul</v>
      </c>
    </row>
    <row r="3323" customFormat="false" ht="15.75" hidden="false" customHeight="false" outlineLevel="0" collapsed="false">
      <c r="A3323" s="2" t="n">
        <v>228668</v>
      </c>
      <c r="B3323" s="2" t="s">
        <v>2668</v>
      </c>
      <c r="C3323" s="2" t="n">
        <v>4</v>
      </c>
      <c r="D3323" s="2" t="n">
        <v>7</v>
      </c>
      <c r="E3323" s="2" t="n">
        <v>4</v>
      </c>
      <c r="F3323" s="2" t="n">
        <v>367</v>
      </c>
      <c r="G3323" s="2" t="s">
        <v>1600</v>
      </c>
      <c r="H3323" s="2" t="str">
        <f aca="false">IFERROR(__xludf.dummyfunction("IF(I3357="""", """", REGEXEXTRACT(I3357, ""Padrao/([^/]+)""))"),"Jardim Ilhas do Sul")</f>
        <v>Jardim Ilhas do Sul</v>
      </c>
    </row>
    <row r="3324" customFormat="false" ht="15.75" hidden="false" customHeight="false" outlineLevel="0" collapsed="false">
      <c r="A3324" s="2" t="n">
        <v>168869</v>
      </c>
      <c r="B3324" s="2" t="s">
        <v>2668</v>
      </c>
      <c r="C3324" s="2" t="n">
        <v>4</v>
      </c>
      <c r="D3324" s="2" t="n">
        <v>7</v>
      </c>
      <c r="E3324" s="2" t="n">
        <v>4</v>
      </c>
      <c r="F3324" s="2" t="n">
        <v>367</v>
      </c>
      <c r="G3324" s="2" t="s">
        <v>1600</v>
      </c>
      <c r="H3324" s="2" t="str">
        <f aca="false">IFERROR(__xludf.dummyfunction("IF(I3358="""", """", REGEXEXTRACT(I3358, ""Padrao/([^/]+)""))"),"Jardim Ilhas do Sul")</f>
        <v>Jardim Ilhas do Sul</v>
      </c>
    </row>
    <row r="3325" customFormat="false" ht="15.75" hidden="false" customHeight="false" outlineLevel="0" collapsed="false">
      <c r="A3325" s="2" t="n">
        <v>128372</v>
      </c>
      <c r="B3325" s="2" t="s">
        <v>2669</v>
      </c>
      <c r="C3325" s="2" t="n">
        <v>4</v>
      </c>
      <c r="D3325" s="2" t="n">
        <v>7</v>
      </c>
      <c r="E3325" s="2" t="n">
        <v>2</v>
      </c>
      <c r="F3325" s="2" t="n">
        <v>310</v>
      </c>
      <c r="G3325" s="2" t="s">
        <v>2670</v>
      </c>
      <c r="H3325" s="2" t="str">
        <f aca="false">IFERROR(__xludf.dummyfunction("IF(I3359="""", """", REGEXEXTRACT(I3359, ""Padrao/([^/]+)""))"),"Jardim Botanico")</f>
        <v>Jardim Botanico</v>
      </c>
    </row>
    <row r="3326" customFormat="false" ht="15.75" hidden="false" customHeight="false" outlineLevel="0" collapsed="false">
      <c r="A3326" s="2" t="n">
        <v>224069</v>
      </c>
      <c r="B3326" s="2" t="s">
        <v>2671</v>
      </c>
      <c r="C3326" s="2" t="n">
        <v>4</v>
      </c>
      <c r="D3326" s="2" t="n">
        <v>7</v>
      </c>
      <c r="E3326" s="2" t="n">
        <v>5</v>
      </c>
      <c r="F3326" s="2" t="n">
        <v>461</v>
      </c>
      <c r="G3326" s="2" t="s">
        <v>2672</v>
      </c>
      <c r="H3326" s="2" t="str">
        <f aca="false">IFERROR(__xludf.dummyfunction("IF(I3360="""", """", REGEXEXTRACT(I3360, ""Padrao/([^/]+)""))"),"Jardim Ilhas do Sul")</f>
        <v>Jardim Ilhas do Sul</v>
      </c>
    </row>
    <row r="3327" customFormat="false" ht="15.75" hidden="false" customHeight="false" outlineLevel="0" collapsed="false">
      <c r="A3327" s="2" t="n">
        <v>168629</v>
      </c>
      <c r="B3327" s="2" t="s">
        <v>2673</v>
      </c>
      <c r="C3327" s="2" t="n">
        <v>2</v>
      </c>
      <c r="D3327" s="2" t="n">
        <v>2</v>
      </c>
      <c r="E3327" s="2" t="n">
        <v>1</v>
      </c>
      <c r="F3327" s="2" t="n">
        <v>107</v>
      </c>
      <c r="G3327" s="2" t="s">
        <v>639</v>
      </c>
      <c r="H3327" s="2" t="str">
        <f aca="false">IFERROR(__xludf.dummyfunction("IF(I3361="""", """", REGEXEXTRACT(I3361, ""Padrao/([^/]+)""))"),"Centro")</f>
        <v>Centro</v>
      </c>
    </row>
    <row r="3328" customFormat="false" ht="15.75" hidden="false" customHeight="false" outlineLevel="0" collapsed="false">
      <c r="A3328" s="2" t="n">
        <v>231116</v>
      </c>
      <c r="B3328" s="2" t="s">
        <v>2674</v>
      </c>
      <c r="C3328" s="2" t="n">
        <v>4</v>
      </c>
      <c r="D3328" s="2" t="n">
        <v>5</v>
      </c>
      <c r="E3328" s="2" t="n">
        <v>2</v>
      </c>
      <c r="F3328" s="2" t="n">
        <v>173</v>
      </c>
      <c r="G3328" s="2" t="s">
        <v>2675</v>
      </c>
      <c r="H3328" s="2" t="str">
        <f aca="false">IFERROR(__xludf.dummyfunction("IF(I3362="""", """", REGEXEXTRACT(I3362, ""Padrao/([^/]+)""))"),"Centro")</f>
        <v>Centro</v>
      </c>
    </row>
    <row r="3329" customFormat="false" ht="15.75" hidden="false" customHeight="false" outlineLevel="0" collapsed="false">
      <c r="A3329" s="2" t="n">
        <v>229205</v>
      </c>
      <c r="B3329" s="2" t="s">
        <v>2676</v>
      </c>
      <c r="C3329" s="2" t="n">
        <v>1</v>
      </c>
      <c r="D3329" s="2" t="n">
        <v>1</v>
      </c>
      <c r="E3329" s="2" t="n">
        <v>1</v>
      </c>
      <c r="F3329" s="2" t="n">
        <v>39</v>
      </c>
      <c r="G3329" s="2" t="s">
        <v>2677</v>
      </c>
      <c r="H3329" s="2" t="str">
        <f aca="false">IFERROR(__xludf.dummyfunction("IF(I3363="""", """", REGEXEXTRACT(I3363, ""Padrao/([^/]+)""))"),"Jardim Sumare")</f>
        <v>Jardim Sumare</v>
      </c>
    </row>
    <row r="3330" customFormat="false" ht="15.75" hidden="false" customHeight="false" outlineLevel="0" collapsed="false">
      <c r="A3330" s="2" t="n">
        <v>101651</v>
      </c>
      <c r="B3330" s="2" t="s">
        <v>2678</v>
      </c>
      <c r="C3330" s="2" t="n">
        <v>4</v>
      </c>
      <c r="D3330" s="2" t="n">
        <v>5</v>
      </c>
      <c r="E3330" s="2" t="n">
        <v>2</v>
      </c>
      <c r="F3330" s="2" t="n">
        <v>146</v>
      </c>
      <c r="G3330" s="2" t="s">
        <v>2675</v>
      </c>
      <c r="H3330" s="2" t="str">
        <f aca="false">IFERROR(__xludf.dummyfunction("IF(I3364="""", """", REGEXEXTRACT(I3364, ""Padrao/([^/]+)""))"),"Jardim Sao Luiz")</f>
        <v>Jardim Sao Luiz</v>
      </c>
    </row>
    <row r="3331" customFormat="false" ht="15.75" hidden="false" customHeight="false" outlineLevel="0" collapsed="false">
      <c r="A3331" s="2" t="n">
        <v>231989</v>
      </c>
      <c r="B3331" s="2" t="s">
        <v>2661</v>
      </c>
      <c r="C3331" s="2" t="n">
        <v>2</v>
      </c>
      <c r="D3331" s="2" t="n">
        <v>2</v>
      </c>
      <c r="E3331" s="2" t="n">
        <v>2</v>
      </c>
      <c r="F3331" s="2" t="n">
        <v>71</v>
      </c>
      <c r="G3331" s="2" t="s">
        <v>2679</v>
      </c>
      <c r="H3331" s="2" t="str">
        <f aca="false">IFERROR(__xludf.dummyfunction("IF(I3365="""", """", REGEXEXTRACT(I3365, ""Padrao/([^/]+)""))"),"Bosque das Juritis")</f>
        <v>Bosque das Juritis</v>
      </c>
    </row>
    <row r="3332" customFormat="false" ht="15.75" hidden="false" customHeight="false" outlineLevel="0" collapsed="false">
      <c r="A3332" s="2" t="n">
        <v>52829</v>
      </c>
      <c r="B3332" s="2" t="s">
        <v>2680</v>
      </c>
      <c r="C3332" s="2" t="n">
        <v>3</v>
      </c>
      <c r="D3332" s="2" t="n">
        <v>5</v>
      </c>
      <c r="E3332" s="2" t="n">
        <v>2</v>
      </c>
      <c r="F3332" s="2" t="n">
        <v>156</v>
      </c>
      <c r="G3332" s="2" t="s">
        <v>2681</v>
      </c>
      <c r="H3332" s="2" t="str">
        <f aca="false">IFERROR(__xludf.dummyfunction("IF(I3366="""", """", REGEXEXTRACT(I3366, ""Padrao/([^/]+)""))"),"Centro")</f>
        <v>Centro</v>
      </c>
    </row>
    <row r="3333" customFormat="false" ht="15.75" hidden="false" customHeight="false" outlineLevel="0" collapsed="false">
      <c r="A3333" s="2" t="n">
        <v>108599</v>
      </c>
      <c r="B3333" s="2" t="s">
        <v>2682</v>
      </c>
      <c r="C3333" s="2" t="n">
        <v>2</v>
      </c>
      <c r="D3333" s="2" t="n">
        <v>3</v>
      </c>
      <c r="E3333" s="2" t="n">
        <v>2</v>
      </c>
      <c r="F3333" s="2" t="n">
        <v>76</v>
      </c>
      <c r="G3333" s="2" t="s">
        <v>1556</v>
      </c>
      <c r="H3333" s="2" t="str">
        <f aca="false">IFERROR(__xludf.dummyfunction("IF(I3367="""", """", REGEXEXTRACT(I3367, ""Padrao/([^/]+)""))"),"Jardim Botanico")</f>
        <v>Jardim Botanico</v>
      </c>
    </row>
    <row r="3334" customFormat="false" ht="15.75" hidden="false" customHeight="false" outlineLevel="0" collapsed="false">
      <c r="A3334" s="2" t="n">
        <v>239450</v>
      </c>
      <c r="B3334" s="2" t="s">
        <v>2683</v>
      </c>
      <c r="C3334" s="2" t="n">
        <v>2</v>
      </c>
      <c r="D3334" s="2" t="n">
        <v>2</v>
      </c>
      <c r="E3334" s="2" t="n">
        <v>1</v>
      </c>
      <c r="F3334" s="2" t="n">
        <v>92</v>
      </c>
      <c r="G3334" s="2" t="s">
        <v>2684</v>
      </c>
      <c r="H3334" s="2" t="str">
        <f aca="false">IFERROR(__xludf.dummyfunction("IF(I3368="""", """", REGEXEXTRACT(I3368, ""Padrao/([^/]+)""))"),"Jardim Botanico")</f>
        <v>Jardim Botanico</v>
      </c>
    </row>
    <row r="3335" customFormat="false" ht="15.75" hidden="false" customHeight="false" outlineLevel="0" collapsed="false">
      <c r="A3335" s="2" t="n">
        <v>231425</v>
      </c>
      <c r="B3335" s="2" t="s">
        <v>2685</v>
      </c>
      <c r="C3335" s="2" t="n">
        <v>2</v>
      </c>
      <c r="D3335" s="2" t="n">
        <v>2</v>
      </c>
      <c r="E3335" s="2" t="n">
        <v>2</v>
      </c>
      <c r="F3335" s="2" t="n">
        <v>71</v>
      </c>
      <c r="G3335" s="2" t="s">
        <v>1590</v>
      </c>
      <c r="H3335" s="2" t="str">
        <f aca="false">IFERROR(__xludf.dummyfunction("IF(I3369="""", """", REGEXEXTRACT(I3369, ""Padrao/([^/]+)""))"),"Ribeirania")</f>
        <v>Ribeirania</v>
      </c>
    </row>
    <row r="3336" customFormat="false" ht="15.75" hidden="false" customHeight="false" outlineLevel="0" collapsed="false">
      <c r="A3336" s="2" t="n">
        <v>201467</v>
      </c>
      <c r="B3336" s="2" t="s">
        <v>2686</v>
      </c>
      <c r="C3336" s="2" t="n">
        <v>2</v>
      </c>
      <c r="D3336" s="2" t="n">
        <v>2</v>
      </c>
      <c r="E3336" s="2" t="n">
        <v>1</v>
      </c>
      <c r="F3336" s="2" t="n">
        <v>62</v>
      </c>
      <c r="G3336" s="2" t="s">
        <v>2687</v>
      </c>
      <c r="H3336" s="2" t="str">
        <f aca="false">IFERROR(__xludf.dummyfunction("IF(I3370="""", """", REGEXEXTRACT(I3370, ""Padrao/([^/]+)""))"),"Alamedas do Botanico")</f>
        <v>Alamedas do Botanico</v>
      </c>
    </row>
    <row r="3337" customFormat="false" ht="15.75" hidden="false" customHeight="false" outlineLevel="0" collapsed="false">
      <c r="A3337" s="2" t="n">
        <v>234083</v>
      </c>
      <c r="B3337" s="2" t="s">
        <v>2688</v>
      </c>
      <c r="C3337" s="2" t="n">
        <v>2</v>
      </c>
      <c r="D3337" s="2" t="n">
        <v>1</v>
      </c>
      <c r="E3337" s="2" t="n">
        <v>2</v>
      </c>
      <c r="F3337" s="2" t="n">
        <v>57</v>
      </c>
      <c r="G3337" s="2" t="s">
        <v>2689</v>
      </c>
      <c r="H3337" s="2" t="str">
        <f aca="false">IFERROR(__xludf.dummyfunction("IF(I3371="""", """", REGEXEXTRACT(I3371, ""Padrao/([^/]+)""))"),"Jardim California")</f>
        <v>Jardim California</v>
      </c>
    </row>
    <row r="3338" customFormat="false" ht="15.75" hidden="false" customHeight="false" outlineLevel="0" collapsed="false">
      <c r="A3338" s="2" t="n">
        <v>197975</v>
      </c>
      <c r="B3338" s="2" t="s">
        <v>2690</v>
      </c>
      <c r="C3338" s="2" t="n">
        <v>4</v>
      </c>
      <c r="D3338" s="2" t="n">
        <v>5</v>
      </c>
      <c r="E3338" s="2" t="n">
        <v>2</v>
      </c>
      <c r="F3338" s="2" t="n">
        <v>209</v>
      </c>
      <c r="G3338" s="2" t="s">
        <v>2675</v>
      </c>
      <c r="H3338" s="2" t="str">
        <f aca="false">IFERROR(__xludf.dummyfunction("IF(I3372="""", """", REGEXEXTRACT(I3372, ""Padrao/([^/]+)""))"),"Centro")</f>
        <v>Centro</v>
      </c>
    </row>
    <row r="3339" customFormat="false" ht="15.75" hidden="false" customHeight="false" outlineLevel="0" collapsed="false">
      <c r="A3339" s="2" t="n">
        <v>230885</v>
      </c>
      <c r="B3339" s="2" t="s">
        <v>2691</v>
      </c>
      <c r="C3339" s="2" t="n">
        <v>4</v>
      </c>
      <c r="D3339" s="2" t="n">
        <v>6</v>
      </c>
      <c r="E3339" s="2" t="n">
        <v>4</v>
      </c>
      <c r="F3339" s="2" t="n">
        <v>367</v>
      </c>
      <c r="G3339" s="2" t="s">
        <v>2692</v>
      </c>
      <c r="H3339" s="2" t="str">
        <f aca="false">IFERROR(__xludf.dummyfunction("IF(I3373="""", """", REGEXEXTRACT(I3373, ""Padrao/([^/]+)""))"),"Jardim Ilhas do Sul")</f>
        <v>Jardim Ilhas do Sul</v>
      </c>
    </row>
    <row r="3340" customFormat="false" ht="15.75" hidden="false" customHeight="false" outlineLevel="0" collapsed="false">
      <c r="A3340" s="2" t="n">
        <v>217784</v>
      </c>
      <c r="B3340" s="2" t="s">
        <v>2693</v>
      </c>
      <c r="C3340" s="2" t="n">
        <v>3</v>
      </c>
      <c r="D3340" s="2" t="n">
        <v>2</v>
      </c>
      <c r="E3340" s="2" t="n">
        <v>2</v>
      </c>
      <c r="F3340" s="2" t="n">
        <v>102</v>
      </c>
      <c r="G3340" s="2" t="s">
        <v>626</v>
      </c>
      <c r="H3340" s="2" t="str">
        <f aca="false">IFERROR(__xludf.dummyfunction("IF(I3374="""", """", REGEXEXTRACT(I3374, ""Padrao/([^/]+)""))"),"Parque dos Bandeirantes")</f>
        <v>Parque dos Bandeirantes</v>
      </c>
    </row>
    <row r="3341" customFormat="false" ht="15.75" hidden="false" customHeight="false" outlineLevel="0" collapsed="false">
      <c r="A3341" s="2" t="n">
        <v>143582</v>
      </c>
      <c r="B3341" s="2" t="s">
        <v>2694</v>
      </c>
      <c r="C3341" s="2" t="n">
        <v>4</v>
      </c>
      <c r="D3341" s="2" t="n">
        <v>6</v>
      </c>
      <c r="E3341" s="2" t="n">
        <v>4</v>
      </c>
      <c r="F3341" s="2" t="n">
        <v>348</v>
      </c>
      <c r="G3341" s="2" t="s">
        <v>2695</v>
      </c>
      <c r="H3341" s="2" t="str">
        <f aca="false">IFERROR(__xludf.dummyfunction("IF(I3375="""", """", REGEXEXTRACT(I3375, ""Padrao/([^/]+)""))"),"Residencial Morro do Ipe")</f>
        <v>Residencial Morro do Ipe</v>
      </c>
    </row>
    <row r="3342" customFormat="false" ht="15.75" hidden="false" customHeight="false" outlineLevel="0" collapsed="false">
      <c r="A3342" s="2" t="n">
        <v>233405</v>
      </c>
      <c r="B3342" s="2" t="s">
        <v>2696</v>
      </c>
      <c r="C3342" s="2" t="n">
        <v>3</v>
      </c>
      <c r="D3342" s="2" t="n">
        <v>4</v>
      </c>
      <c r="E3342" s="2" t="n">
        <v>2</v>
      </c>
      <c r="F3342" s="2" t="n">
        <v>111</v>
      </c>
      <c r="G3342" s="2" t="s">
        <v>2697</v>
      </c>
      <c r="H3342" s="2" t="str">
        <f aca="false">IFERROR(__xludf.dummyfunction("IF(I3376="""", """", REGEXEXTRACT(I3376, ""Padrao/([^/]+)""))"),"Nova Alianca")</f>
        <v>Nova Alianca</v>
      </c>
    </row>
    <row r="3343" customFormat="false" ht="15.75" hidden="false" customHeight="false" outlineLevel="0" collapsed="false">
      <c r="A3343" s="2" t="n">
        <v>224516</v>
      </c>
      <c r="B3343" s="2" t="s">
        <v>2668</v>
      </c>
      <c r="C3343" s="2" t="n">
        <v>4</v>
      </c>
      <c r="D3343" s="2" t="n">
        <v>7</v>
      </c>
      <c r="E3343" s="2" t="n">
        <v>4</v>
      </c>
      <c r="F3343" s="2" t="n">
        <v>367</v>
      </c>
      <c r="G3343" s="2" t="s">
        <v>1600</v>
      </c>
      <c r="H3343" s="2" t="str">
        <f aca="false">IFERROR(__xludf.dummyfunction("IF(I3377="""", """", REGEXEXTRACT(I3377, ""Padrao/([^/]+)""))"),"Jardim Ilhas do Sul")</f>
        <v>Jardim Ilhas do Sul</v>
      </c>
    </row>
    <row r="3344" customFormat="false" ht="15.75" hidden="false" customHeight="false" outlineLevel="0" collapsed="false">
      <c r="A3344" s="2" t="n">
        <v>233339</v>
      </c>
      <c r="B3344" s="2" t="s">
        <v>2698</v>
      </c>
      <c r="C3344" s="2" t="n">
        <v>3</v>
      </c>
      <c r="D3344" s="2" t="n">
        <v>4</v>
      </c>
      <c r="E3344" s="2" t="n">
        <v>2</v>
      </c>
      <c r="F3344" s="2" t="n">
        <v>132</v>
      </c>
      <c r="G3344" s="2" t="s">
        <v>2699</v>
      </c>
      <c r="H3344" s="2" t="str">
        <f aca="false">IFERROR(__xludf.dummyfunction("IF(I3378="""", """", REGEXEXTRACT(I3378, ""Padrao/([^/]+)""))"),"Jardim Botanico")</f>
        <v>Jardim Botanico</v>
      </c>
    </row>
    <row r="3345" customFormat="false" ht="15.75" hidden="false" customHeight="false" outlineLevel="0" collapsed="false">
      <c r="A3345" s="2" t="n">
        <v>203759</v>
      </c>
      <c r="B3345" s="2" t="s">
        <v>2700</v>
      </c>
      <c r="C3345" s="2" t="n">
        <v>4</v>
      </c>
      <c r="D3345" s="2" t="n">
        <v>4</v>
      </c>
      <c r="E3345" s="2" t="n">
        <v>4</v>
      </c>
      <c r="F3345" s="2" t="n">
        <v>314</v>
      </c>
      <c r="G3345" s="2" t="s">
        <v>45</v>
      </c>
      <c r="H3345" s="2" t="str">
        <f aca="false">IFERROR(__xludf.dummyfunction("IF(I3379="""", """", REGEXEXTRACT(I3379, ""Padrao/([^/]+)""))"),"Centro")</f>
        <v>Centro</v>
      </c>
    </row>
    <row r="3346" customFormat="false" ht="15.75" hidden="false" customHeight="false" outlineLevel="0" collapsed="false">
      <c r="A3346" s="2" t="n">
        <v>87545</v>
      </c>
      <c r="B3346" s="2" t="s">
        <v>2701</v>
      </c>
      <c r="C3346" s="2" t="n">
        <v>2</v>
      </c>
      <c r="D3346" s="2" t="n">
        <v>1</v>
      </c>
      <c r="E3346" s="2" t="n">
        <v>1</v>
      </c>
      <c r="F3346" s="2" t="n">
        <v>83</v>
      </c>
      <c r="G3346" s="2" t="s">
        <v>631</v>
      </c>
      <c r="H3346" s="2" t="str">
        <f aca="false">IFERROR(__xludf.dummyfunction("IF(I3380="""", """", REGEXEXTRACT(I3380, ""Padrao/([^/]+)""))"),"Vila Tiberio")</f>
        <v>Vila Tiberio</v>
      </c>
    </row>
    <row r="3347" customFormat="false" ht="15.75" hidden="false" customHeight="false" outlineLevel="0" collapsed="false">
      <c r="A3347" s="2" t="n">
        <v>197567</v>
      </c>
      <c r="B3347" s="2" t="s">
        <v>2702</v>
      </c>
      <c r="C3347" s="2" t="n">
        <v>3</v>
      </c>
      <c r="D3347" s="2" t="n">
        <v>1</v>
      </c>
      <c r="E3347" s="2" t="n">
        <v>1</v>
      </c>
      <c r="F3347" s="2" t="n">
        <v>113</v>
      </c>
      <c r="G3347" s="2" t="s">
        <v>648</v>
      </c>
      <c r="H3347" s="2" t="str">
        <f aca="false">IFERROR(__xludf.dummyfunction("IF(I3381="""", """", REGEXEXTRACT(I3381, ""Padrao/([^/]+)""))"),"Centro")</f>
        <v>Centro</v>
      </c>
    </row>
    <row r="3348" customFormat="false" ht="15.75" hidden="false" customHeight="false" outlineLevel="0" collapsed="false">
      <c r="A3348" s="2" t="n">
        <v>181547</v>
      </c>
      <c r="B3348" s="2" t="s">
        <v>2703</v>
      </c>
      <c r="C3348" s="2" t="n">
        <v>3</v>
      </c>
      <c r="D3348" s="2" t="n">
        <v>4</v>
      </c>
      <c r="E3348" s="2" t="n">
        <v>2</v>
      </c>
      <c r="F3348" s="2" t="n">
        <v>133</v>
      </c>
      <c r="G3348" s="2" t="s">
        <v>1553</v>
      </c>
      <c r="H3348" s="2" t="str">
        <f aca="false">IFERROR(__xludf.dummyfunction("IF(I3382="""", """", REGEXEXTRACT(I3382, ""Padrao/([^/]+)""))"),"Centro")</f>
        <v>Centro</v>
      </c>
    </row>
    <row r="3349" customFormat="false" ht="15.75" hidden="false" customHeight="false" outlineLevel="0" collapsed="false">
      <c r="A3349" s="2" t="n">
        <v>231908</v>
      </c>
      <c r="B3349" s="2" t="s">
        <v>2704</v>
      </c>
      <c r="C3349" s="2" t="n">
        <v>2</v>
      </c>
      <c r="D3349" s="2" t="n">
        <v>1</v>
      </c>
      <c r="E3349" s="2" t="n">
        <v>2</v>
      </c>
      <c r="F3349" s="2" t="n">
        <v>55</v>
      </c>
      <c r="G3349" s="2" t="s">
        <v>1559</v>
      </c>
      <c r="H3349" s="2" t="str">
        <f aca="false">IFERROR(__xludf.dummyfunction("IF(I3383="""", """", REGEXEXTRACT(I3383, ""Padrao/([^/]+)""))"),"Santa Cruz do Jose Jacques")</f>
        <v>Santa Cruz do Jose Jacques</v>
      </c>
    </row>
    <row r="3350" customFormat="false" ht="15.75" hidden="false" customHeight="false" outlineLevel="0" collapsed="false">
      <c r="A3350" s="2" t="n">
        <v>55031</v>
      </c>
      <c r="B3350" s="2" t="s">
        <v>2705</v>
      </c>
      <c r="C3350" s="2" t="n">
        <v>3</v>
      </c>
      <c r="D3350" s="2" t="n">
        <v>3</v>
      </c>
      <c r="E3350" s="2" t="n">
        <v>2</v>
      </c>
      <c r="F3350" s="2" t="n">
        <v>107</v>
      </c>
      <c r="G3350" s="2" t="s">
        <v>1559</v>
      </c>
      <c r="H3350" s="2" t="str">
        <f aca="false">IFERROR(__xludf.dummyfunction("IF(I3384="""", """", REGEXEXTRACT(I3384, ""Padrao/([^/]+)""))"),"Jardim Paulista")</f>
        <v>Jardim Paulista</v>
      </c>
    </row>
    <row r="3351" customFormat="false" ht="15.75" hidden="false" customHeight="false" outlineLevel="0" collapsed="false">
      <c r="A3351" s="2" t="n">
        <v>242465</v>
      </c>
      <c r="B3351" s="2" t="s">
        <v>2706</v>
      </c>
      <c r="C3351" s="2" t="n">
        <v>2</v>
      </c>
      <c r="D3351" s="2" t="n">
        <v>2</v>
      </c>
      <c r="E3351" s="2" t="n">
        <v>1</v>
      </c>
      <c r="F3351" s="2" t="n">
        <v>60</v>
      </c>
      <c r="G3351" s="2" t="s">
        <v>1482</v>
      </c>
      <c r="H3351" s="2" t="str">
        <f aca="false">IFERROR(__xludf.dummyfunction("IF(I3385="""", """", REGEXEXTRACT(I3385, ""Padrao/([^/]+)""))"),"Residencial Taiwan")</f>
        <v>Residencial Taiwan</v>
      </c>
    </row>
    <row r="3352" customFormat="false" ht="15.75" hidden="false" customHeight="false" outlineLevel="0" collapsed="false">
      <c r="A3352" s="2" t="n">
        <v>141215</v>
      </c>
      <c r="B3352" s="2" t="s">
        <v>2707</v>
      </c>
      <c r="C3352" s="2" t="n">
        <v>3</v>
      </c>
      <c r="D3352" s="2" t="n">
        <v>2</v>
      </c>
      <c r="E3352" s="2" t="n">
        <v>2</v>
      </c>
      <c r="F3352" s="2" t="n">
        <v>85</v>
      </c>
      <c r="G3352" s="2" t="s">
        <v>1519</v>
      </c>
      <c r="H3352" s="2" t="str">
        <f aca="false">IFERROR(__xludf.dummyfunction("IF(I3386="""", """", REGEXEXTRACT(I3386, ""Padrao/([^/]+)""))"),"Bonfim Paulista")</f>
        <v>Bonfim Paulista</v>
      </c>
    </row>
    <row r="3353" customFormat="false" ht="15.75" hidden="false" customHeight="false" outlineLevel="0" collapsed="false">
      <c r="A3353" s="2" t="n">
        <v>225698</v>
      </c>
      <c r="B3353" s="2" t="s">
        <v>2708</v>
      </c>
      <c r="C3353" s="2" t="n">
        <v>3</v>
      </c>
      <c r="D3353" s="2" t="n">
        <v>3</v>
      </c>
      <c r="E3353" s="2" t="n">
        <v>2</v>
      </c>
      <c r="F3353" s="2" t="n">
        <v>95</v>
      </c>
      <c r="G3353" s="2" t="s">
        <v>2709</v>
      </c>
      <c r="H3353" s="2" t="str">
        <f aca="false">IFERROR(__xludf.dummyfunction("IF(I3387="""", """", REGEXEXTRACT(I3387, ""Padrao/([^/]+)""))"),"Jardim Canada")</f>
        <v>Jardim Canada</v>
      </c>
    </row>
    <row r="3354" customFormat="false" ht="15.75" hidden="false" customHeight="false" outlineLevel="0" collapsed="false">
      <c r="A3354" s="2" t="n">
        <v>94349</v>
      </c>
      <c r="B3354" s="2" t="s">
        <v>2710</v>
      </c>
      <c r="C3354" s="2" t="n">
        <v>3</v>
      </c>
      <c r="D3354" s="2" t="n">
        <v>2</v>
      </c>
      <c r="E3354" s="2" t="n">
        <v>2</v>
      </c>
      <c r="F3354" s="2" t="n">
        <v>90</v>
      </c>
      <c r="G3354" s="2" t="s">
        <v>2711</v>
      </c>
      <c r="H3354" s="2" t="str">
        <f aca="false">IFERROR(__xludf.dummyfunction("IF(I3388="""", """", REGEXEXTRACT(I3388, ""Padrao/([^/]+)""))"),"Nova Alianca")</f>
        <v>Nova Alianca</v>
      </c>
    </row>
    <row r="3355" customFormat="false" ht="15.75" hidden="false" customHeight="false" outlineLevel="0" collapsed="false">
      <c r="A3355" s="2" t="n">
        <v>239642</v>
      </c>
      <c r="B3355" s="2" t="s">
        <v>2712</v>
      </c>
      <c r="C3355" s="2" t="n">
        <v>1</v>
      </c>
      <c r="D3355" s="2" t="n">
        <v>1</v>
      </c>
      <c r="E3355" s="2" t="n">
        <v>1</v>
      </c>
      <c r="F3355" s="2" t="n">
        <v>51</v>
      </c>
      <c r="G3355" s="2" t="s">
        <v>2667</v>
      </c>
      <c r="H3355" s="2" t="str">
        <f aca="false">IFERROR(__xludf.dummyfunction("IF(I3389="""", """", REGEXEXTRACT(I3389, ""Padrao/([^/]+)""))"),"Jardim Iraja")</f>
        <v>Jardim Iraja</v>
      </c>
    </row>
    <row r="3356" customFormat="false" ht="15.75" hidden="false" customHeight="false" outlineLevel="0" collapsed="false">
      <c r="A3356" s="2" t="n">
        <v>239639</v>
      </c>
      <c r="B3356" s="2" t="s">
        <v>2712</v>
      </c>
      <c r="C3356" s="2" t="n">
        <v>1</v>
      </c>
      <c r="D3356" s="2" t="n">
        <v>1</v>
      </c>
      <c r="E3356" s="2" t="n">
        <v>1</v>
      </c>
      <c r="F3356" s="2" t="n">
        <v>51</v>
      </c>
      <c r="G3356" s="2" t="s">
        <v>2667</v>
      </c>
      <c r="H3356" s="2" t="str">
        <f aca="false">IFERROR(__xludf.dummyfunction("IF(I3390="""", """", REGEXEXTRACT(I3390, ""Padrao/([^/]+)""))"),"Alto da Boa Vista")</f>
        <v>Alto da Boa Vista</v>
      </c>
    </row>
    <row r="3357" customFormat="false" ht="15.75" hidden="false" customHeight="false" outlineLevel="0" collapsed="false">
      <c r="A3357" s="2" t="n">
        <v>95819</v>
      </c>
      <c r="B3357" s="2" t="s">
        <v>2713</v>
      </c>
      <c r="C3357" s="2" t="n">
        <v>3</v>
      </c>
      <c r="D3357" s="2" t="n">
        <v>4</v>
      </c>
      <c r="E3357" s="2" t="n">
        <v>2</v>
      </c>
      <c r="F3357" s="2" t="n">
        <v>107</v>
      </c>
      <c r="G3357" s="2" t="s">
        <v>2667</v>
      </c>
      <c r="H3357" s="2" t="str">
        <f aca="false">IFERROR(__xludf.dummyfunction("IF(I3391="""", """", REGEXEXTRACT(I3391, ""Padrao/([^/]+)""))"),"Jardim Paulista")</f>
        <v>Jardim Paulista</v>
      </c>
    </row>
    <row r="3358" customFormat="false" ht="15.75" hidden="false" customHeight="false" outlineLevel="0" collapsed="false">
      <c r="A3358" s="2" t="n">
        <v>205520</v>
      </c>
      <c r="B3358" s="2" t="s">
        <v>2714</v>
      </c>
      <c r="C3358" s="2" t="n">
        <v>2</v>
      </c>
      <c r="D3358" s="2" t="n">
        <v>2</v>
      </c>
      <c r="E3358" s="2" t="n">
        <v>2</v>
      </c>
      <c r="F3358" s="2" t="n">
        <v>62</v>
      </c>
      <c r="G3358" s="2" t="s">
        <v>1561</v>
      </c>
      <c r="H3358" s="2" t="str">
        <f aca="false">IFERROR(__xludf.dummyfunction("IF(I3392="""", """", REGEXEXTRACT(I3392, ""Padrao/([^/]+)""))"),"Alamedas do Botanico")</f>
        <v>Alamedas do Botanico</v>
      </c>
    </row>
    <row r="3359" customFormat="false" ht="15.75" hidden="false" customHeight="false" outlineLevel="0" collapsed="false">
      <c r="A3359" s="2" t="n">
        <v>240629</v>
      </c>
      <c r="B3359" s="2" t="s">
        <v>2715</v>
      </c>
      <c r="C3359" s="2" t="n">
        <v>3</v>
      </c>
      <c r="D3359" s="2" t="n">
        <v>4</v>
      </c>
      <c r="E3359" s="2" t="n">
        <v>2</v>
      </c>
      <c r="F3359" s="2" t="n">
        <v>158</v>
      </c>
      <c r="G3359" s="2" t="s">
        <v>2716</v>
      </c>
      <c r="H3359" s="2" t="str">
        <f aca="false">IFERROR(__xludf.dummyfunction("IF(I3393="""", """", REGEXEXTRACT(I3393, ""Padrao/([^/]+)""))"),"Centro")</f>
        <v>Centro</v>
      </c>
    </row>
    <row r="3360" customFormat="false" ht="15.75" hidden="false" customHeight="false" outlineLevel="0" collapsed="false">
      <c r="A3360" s="2" t="n">
        <v>83384</v>
      </c>
      <c r="B3360" s="2" t="s">
        <v>2717</v>
      </c>
      <c r="C3360" s="2" t="n">
        <v>3</v>
      </c>
      <c r="D3360" s="2" t="n">
        <v>2</v>
      </c>
      <c r="E3360" s="2" t="n">
        <v>2</v>
      </c>
      <c r="F3360" s="2" t="n">
        <v>95</v>
      </c>
      <c r="G3360" s="2" t="s">
        <v>2716</v>
      </c>
      <c r="H3360" s="2" t="str">
        <f aca="false">IFERROR(__xludf.dummyfunction("IF(I3394="""", """", REGEXEXTRACT(I3394, ""Padrao/([^/]+)""))"),"Jardim Botanico")</f>
        <v>Jardim Botanico</v>
      </c>
    </row>
    <row r="3361" customFormat="false" ht="15.75" hidden="false" customHeight="false" outlineLevel="0" collapsed="false">
      <c r="A3361" s="2" t="n">
        <v>44321</v>
      </c>
      <c r="B3361" s="2" t="s">
        <v>2718</v>
      </c>
      <c r="C3361" s="2" t="n">
        <v>4</v>
      </c>
      <c r="D3361" s="2" t="n">
        <v>5</v>
      </c>
      <c r="E3361" s="2" t="n">
        <v>3</v>
      </c>
      <c r="F3361" s="2" t="n">
        <v>148</v>
      </c>
      <c r="G3361" s="2" t="s">
        <v>2719</v>
      </c>
      <c r="H3361" s="2" t="str">
        <f aca="false">IFERROR(__xludf.dummyfunction("IF(I3395="""", """", REGEXEXTRACT(I3395, ""Padrao/([^/]+)""))"),"Santa Cruz do Jose Jacques")</f>
        <v>Santa Cruz do Jose Jacques</v>
      </c>
    </row>
    <row r="3362" customFormat="false" ht="15.75" hidden="false" customHeight="false" outlineLevel="0" collapsed="false">
      <c r="A3362" s="2" t="n">
        <v>207344</v>
      </c>
      <c r="B3362" s="2" t="s">
        <v>2720</v>
      </c>
      <c r="C3362" s="2" t="n">
        <v>3</v>
      </c>
      <c r="D3362" s="2" t="n">
        <v>5</v>
      </c>
      <c r="E3362" s="2" t="n">
        <v>3</v>
      </c>
      <c r="F3362" s="2" t="n">
        <v>196</v>
      </c>
      <c r="G3362" s="2" t="s">
        <v>2675</v>
      </c>
      <c r="H3362" s="2" t="str">
        <f aca="false">IFERROR(__xludf.dummyfunction("IF(I3396="""", """", REGEXEXTRACT(I3396, ""Padrao/([^/]+)""))"),"City Ribeirao")</f>
        <v>City Ribeirao</v>
      </c>
    </row>
    <row r="3363" customFormat="false" ht="15.75" hidden="false" customHeight="false" outlineLevel="0" collapsed="false">
      <c r="A3363" s="2" t="n">
        <v>169259</v>
      </c>
      <c r="B3363" s="2" t="s">
        <v>2721</v>
      </c>
      <c r="C3363" s="2" t="n">
        <v>4</v>
      </c>
      <c r="D3363" s="2" t="n">
        <v>7</v>
      </c>
      <c r="E3363" s="2" t="n">
        <v>5</v>
      </c>
      <c r="F3363" s="2" t="n">
        <v>376</v>
      </c>
      <c r="G3363" s="2" t="s">
        <v>1603</v>
      </c>
      <c r="H3363" s="2" t="str">
        <f aca="false">IFERROR(__xludf.dummyfunction("IF(I3397="""", """", REGEXEXTRACT(I3397, ""Padrao/([^/]+)""))"),"Jardim Ilhas do Sul")</f>
        <v>Jardim Ilhas do Sul</v>
      </c>
    </row>
    <row r="3364" customFormat="false" ht="15.75" hidden="false" customHeight="false" outlineLevel="0" collapsed="false">
      <c r="A3364" s="2" t="n">
        <v>225473</v>
      </c>
      <c r="B3364" s="2" t="s">
        <v>2722</v>
      </c>
      <c r="C3364" s="2" t="n">
        <v>1</v>
      </c>
      <c r="D3364" s="2" t="n">
        <v>1</v>
      </c>
      <c r="E3364" s="2" t="n">
        <v>1</v>
      </c>
      <c r="F3364" s="2" t="n">
        <v>45</v>
      </c>
      <c r="G3364" s="2" t="s">
        <v>1534</v>
      </c>
      <c r="H3364" s="2" t="str">
        <f aca="false">IFERROR(__xludf.dummyfunction("IF(I3398="""", """", REGEXEXTRACT(I3398, ""Padrao/([^/]+)""))"),"Vila do Golf")</f>
        <v>Vila do Golf</v>
      </c>
    </row>
    <row r="3365" customFormat="false" ht="15.75" hidden="false" customHeight="false" outlineLevel="0" collapsed="false">
      <c r="A3365" s="2" t="n">
        <v>108071</v>
      </c>
      <c r="B3365" s="2" t="s">
        <v>2723</v>
      </c>
      <c r="C3365" s="2" t="n">
        <v>3</v>
      </c>
      <c r="D3365" s="2" t="n">
        <v>4</v>
      </c>
      <c r="E3365" s="2" t="n">
        <v>2</v>
      </c>
      <c r="F3365" s="2" t="n">
        <v>132</v>
      </c>
      <c r="G3365" s="2" t="s">
        <v>2724</v>
      </c>
      <c r="H3365" s="2" t="str">
        <f aca="false">IFERROR(__xludf.dummyfunction("IF(I3399="""", """", REGEXEXTRACT(I3399, ""Padrao/([^/]+)""))"),"Jardim Botanico")</f>
        <v>Jardim Botanico</v>
      </c>
    </row>
    <row r="3366" customFormat="false" ht="15.75" hidden="false" customHeight="false" outlineLevel="0" collapsed="false">
      <c r="A3366" s="2" t="n">
        <v>230417</v>
      </c>
      <c r="B3366" s="2" t="s">
        <v>2725</v>
      </c>
      <c r="C3366" s="2" t="n">
        <v>3</v>
      </c>
      <c r="D3366" s="2" t="n">
        <v>3</v>
      </c>
      <c r="E3366" s="2" t="n">
        <v>2</v>
      </c>
      <c r="F3366" s="2" t="n">
        <v>140</v>
      </c>
      <c r="G3366" s="2" t="s">
        <v>1590</v>
      </c>
      <c r="H3366" s="2" t="str">
        <f aca="false">IFERROR(__xludf.dummyfunction("IF(I3400="""", """", REGEXEXTRACT(I3400, ""Padrao/([^/]+)""))"),"Nova Alianca")</f>
        <v>Nova Alianca</v>
      </c>
    </row>
    <row r="3367" customFormat="false" ht="15.75" hidden="false" customHeight="false" outlineLevel="0" collapsed="false">
      <c r="A3367" s="2" t="n">
        <v>61076</v>
      </c>
      <c r="B3367" s="2" t="s">
        <v>2726</v>
      </c>
      <c r="C3367" s="2" t="n">
        <v>3</v>
      </c>
      <c r="D3367" s="2" t="n">
        <v>3</v>
      </c>
      <c r="E3367" s="2" t="n">
        <v>2</v>
      </c>
      <c r="F3367" s="2" t="n">
        <v>78</v>
      </c>
      <c r="G3367" s="2" t="s">
        <v>1590</v>
      </c>
      <c r="H3367" s="2" t="str">
        <f aca="false">IFERROR(__xludf.dummyfunction("IF(I3401="""", """", REGEXEXTRACT(I3401, ""Padrao/([^/]+)""))"),"Nova Alianca")</f>
        <v>Nova Alianca</v>
      </c>
    </row>
    <row r="3368" customFormat="false" ht="15.75" hidden="false" customHeight="false" outlineLevel="0" collapsed="false">
      <c r="A3368" s="2" t="n">
        <v>236228</v>
      </c>
      <c r="B3368" s="2" t="s">
        <v>2727</v>
      </c>
      <c r="C3368" s="2" t="n">
        <v>2</v>
      </c>
      <c r="D3368" s="2" t="n">
        <v>2</v>
      </c>
      <c r="E3368" s="2" t="n">
        <v>1</v>
      </c>
      <c r="F3368" s="2" t="n">
        <v>64</v>
      </c>
      <c r="G3368" s="2" t="s">
        <v>2728</v>
      </c>
      <c r="H3368" s="2" t="str">
        <f aca="false">IFERROR(__xludf.dummyfunction("IF(I3402="""", """", REGEXEXTRACT(I3402, ""Padrao/([^/]+)""))"),"Quinta da Primavera")</f>
        <v>Quinta da Primavera</v>
      </c>
    </row>
    <row r="3369" customFormat="false" ht="15.75" hidden="false" customHeight="false" outlineLevel="0" collapsed="false">
      <c r="A3369" s="2" t="n">
        <v>201761</v>
      </c>
      <c r="B3369" s="2" t="s">
        <v>2729</v>
      </c>
      <c r="C3369" s="2" t="n">
        <v>2</v>
      </c>
      <c r="D3369" s="2" t="n">
        <v>2</v>
      </c>
      <c r="E3369" s="2" t="n">
        <v>1</v>
      </c>
      <c r="F3369" s="2" t="n">
        <v>70</v>
      </c>
      <c r="G3369" s="2" t="s">
        <v>2709</v>
      </c>
      <c r="H3369" s="2" t="str">
        <f aca="false">IFERROR(__xludf.dummyfunction("IF(I3403="""", """", REGEXEXTRACT(I3403, ""Padrao/([^/]+)""))"),"Ribeirania")</f>
        <v>Ribeirania</v>
      </c>
    </row>
    <row r="3370" customFormat="false" ht="15.75" hidden="false" customHeight="false" outlineLevel="0" collapsed="false">
      <c r="A3370" s="2" t="n">
        <v>236267</v>
      </c>
      <c r="B3370" s="2" t="s">
        <v>2730</v>
      </c>
      <c r="C3370" s="2" t="n">
        <v>3</v>
      </c>
      <c r="D3370" s="2" t="n">
        <v>2</v>
      </c>
      <c r="E3370" s="2" t="n">
        <v>1</v>
      </c>
      <c r="F3370" s="2" t="n">
        <v>82</v>
      </c>
      <c r="G3370" s="2" t="s">
        <v>2667</v>
      </c>
      <c r="H3370" s="2" t="str">
        <f aca="false">IFERROR(__xludf.dummyfunction("IF(I3404="""", """", REGEXEXTRACT(I3404, ""Padrao/([^/]+)""))"),"Alamedas do Botanico")</f>
        <v>Alamedas do Botanico</v>
      </c>
    </row>
    <row r="3371" customFormat="false" ht="15.75" hidden="false" customHeight="false" outlineLevel="0" collapsed="false">
      <c r="A3371" s="2" t="n">
        <v>119750</v>
      </c>
      <c r="B3371" s="2" t="s">
        <v>2731</v>
      </c>
      <c r="C3371" s="2" t="n">
        <v>4</v>
      </c>
      <c r="D3371" s="2" t="n">
        <v>4</v>
      </c>
      <c r="E3371" s="2" t="n">
        <v>2</v>
      </c>
      <c r="F3371" s="2" t="n">
        <v>131</v>
      </c>
      <c r="G3371" s="2" t="s">
        <v>653</v>
      </c>
      <c r="H3371" s="2" t="str">
        <f aca="false">IFERROR(__xludf.dummyfunction("IF(I3405="""", """", REGEXEXTRACT(I3405, ""Padrao/([^/]+)""))"),"Jardim Iraja")</f>
        <v>Jardim Iraja</v>
      </c>
    </row>
    <row r="3372" customFormat="false" ht="15.75" hidden="false" customHeight="false" outlineLevel="0" collapsed="false">
      <c r="A3372" s="2" t="n">
        <v>216473</v>
      </c>
      <c r="B3372" s="2" t="s">
        <v>2732</v>
      </c>
      <c r="C3372" s="2" t="n">
        <v>5</v>
      </c>
      <c r="D3372" s="2" t="n">
        <v>6</v>
      </c>
      <c r="E3372" s="2" t="n">
        <v>5</v>
      </c>
      <c r="F3372" s="2" t="n">
        <v>381</v>
      </c>
      <c r="G3372" s="2" t="s">
        <v>2733</v>
      </c>
      <c r="H3372" s="2" t="str">
        <f aca="false">IFERROR(__xludf.dummyfunction("IF(I3406="""", """", REGEXEXTRACT(I3406, ""Padrao/([^/]+)""))"),"Vila do Golf")</f>
        <v>Vila do Golf</v>
      </c>
    </row>
    <row r="3373" customFormat="false" ht="15.75" hidden="false" customHeight="false" outlineLevel="0" collapsed="false">
      <c r="A3373" s="2" t="n">
        <v>206243</v>
      </c>
      <c r="B3373" s="2" t="s">
        <v>2734</v>
      </c>
      <c r="C3373" s="2" t="n">
        <v>4</v>
      </c>
      <c r="D3373" s="2" t="n">
        <v>6</v>
      </c>
      <c r="E3373" s="2" t="n">
        <v>5</v>
      </c>
      <c r="F3373" s="2" t="n">
        <v>376</v>
      </c>
      <c r="G3373" s="2" t="s">
        <v>2735</v>
      </c>
      <c r="H3373" s="2" t="str">
        <f aca="false">IFERROR(__xludf.dummyfunction("IF(I3407="""", """", REGEXEXTRACT(I3407, ""Padrao/([^/]+)""))"),"Jardim Ilhas do Sul")</f>
        <v>Jardim Ilhas do Sul</v>
      </c>
    </row>
    <row r="3374" customFormat="false" ht="15.75" hidden="false" customHeight="false" outlineLevel="0" collapsed="false">
      <c r="A3374" s="2" t="n">
        <v>231716</v>
      </c>
      <c r="B3374" s="2" t="s">
        <v>2736</v>
      </c>
      <c r="C3374" s="2" t="n">
        <v>3</v>
      </c>
      <c r="D3374" s="2" t="n">
        <v>4</v>
      </c>
      <c r="E3374" s="2" t="n">
        <v>1</v>
      </c>
      <c r="F3374" s="2" t="n">
        <v>173</v>
      </c>
      <c r="G3374" s="2" t="s">
        <v>2737</v>
      </c>
      <c r="H3374" s="2" t="str">
        <f aca="false">IFERROR(__xludf.dummyfunction("IF(I3408="""", """", REGEXEXTRACT(I3408, ""Padrao/([^/]+)""))"),"Centro")</f>
        <v>Centro</v>
      </c>
    </row>
    <row r="3375" customFormat="false" ht="15.75" hidden="false" customHeight="false" outlineLevel="0" collapsed="false">
      <c r="A3375" s="2" t="n">
        <v>48791</v>
      </c>
      <c r="B3375" s="2" t="s">
        <v>2738</v>
      </c>
      <c r="C3375" s="2" t="n">
        <v>3</v>
      </c>
      <c r="D3375" s="2" t="n">
        <v>3</v>
      </c>
      <c r="E3375" s="2" t="n">
        <v>2</v>
      </c>
      <c r="F3375" s="2" t="n">
        <v>114</v>
      </c>
      <c r="G3375" s="2" t="s">
        <v>2716</v>
      </c>
      <c r="H3375" s="2" t="str">
        <f aca="false">IFERROR(__xludf.dummyfunction("IF(I3409="""", """", REGEXEXTRACT(I3409, ""Padrao/([^/]+)""))"),"Jardim Iraja")</f>
        <v>Jardim Iraja</v>
      </c>
    </row>
    <row r="3376" customFormat="false" ht="15.75" hidden="false" customHeight="false" outlineLevel="0" collapsed="false">
      <c r="A3376" s="2" t="n">
        <v>213824</v>
      </c>
      <c r="B3376" s="2" t="s">
        <v>2739</v>
      </c>
      <c r="C3376" s="2" t="n">
        <v>1</v>
      </c>
      <c r="D3376" s="2" t="n">
        <v>2</v>
      </c>
      <c r="E3376" s="2" t="n">
        <v>1</v>
      </c>
      <c r="F3376" s="2" t="n">
        <v>69</v>
      </c>
      <c r="G3376" s="2" t="s">
        <v>2740</v>
      </c>
      <c r="H3376" s="2" t="str">
        <f aca="false">IFERROR(__xludf.dummyfunction("IF(I3410="""", """", REGEXEXTRACT(I3410, ""Padrao/([^/]+)""))"),"Jardim Olhos DAgua")</f>
        <v>Jardim Olhos DAgua</v>
      </c>
    </row>
    <row r="3377" customFormat="false" ht="15.75" hidden="false" customHeight="false" outlineLevel="0" collapsed="false">
      <c r="A3377" s="2" t="n">
        <v>232148</v>
      </c>
      <c r="B3377" s="2" t="s">
        <v>2741</v>
      </c>
      <c r="C3377" s="2" t="n">
        <v>1</v>
      </c>
      <c r="D3377" s="2" t="n">
        <v>2</v>
      </c>
      <c r="E3377" s="2" t="n">
        <v>1</v>
      </c>
      <c r="F3377" s="2" t="n">
        <v>63</v>
      </c>
      <c r="G3377" s="2" t="s">
        <v>2716</v>
      </c>
      <c r="H3377" s="2" t="str">
        <f aca="false">IFERROR(__xludf.dummyfunction("IF(I3411="""", """", REGEXEXTRACT(I3411, ""Padrao/([^/]+)""))"),"Nova Alianca")</f>
        <v>Nova Alianca</v>
      </c>
    </row>
    <row r="3378" customFormat="false" ht="15.75" hidden="false" customHeight="false" outlineLevel="0" collapsed="false">
      <c r="A3378" s="2" t="n">
        <v>122342</v>
      </c>
      <c r="B3378" s="2" t="s">
        <v>2742</v>
      </c>
      <c r="C3378" s="2" t="n">
        <v>3</v>
      </c>
      <c r="D3378" s="2" t="n">
        <v>2</v>
      </c>
      <c r="E3378" s="2" t="n">
        <v>2</v>
      </c>
      <c r="F3378" s="2" t="n">
        <v>106</v>
      </c>
      <c r="G3378" s="2" t="s">
        <v>2743</v>
      </c>
      <c r="H3378" s="2" t="str">
        <f aca="false">IFERROR(__xludf.dummyfunction("IF(I3412="""", """", REGEXEXTRACT(I3412, ""Padrao/([^/]+)""))"),"Santa Cruz do Jose Jacques")</f>
        <v>Santa Cruz do Jose Jacques</v>
      </c>
    </row>
    <row r="3379" customFormat="false" ht="15.75" hidden="false" customHeight="false" outlineLevel="0" collapsed="false">
      <c r="A3379" s="2" t="n">
        <v>61085</v>
      </c>
      <c r="B3379" s="2" t="s">
        <v>980</v>
      </c>
      <c r="C3379" s="2" t="n">
        <v>1</v>
      </c>
      <c r="D3379" s="2" t="n">
        <v>1</v>
      </c>
      <c r="E3379" s="2" t="n">
        <v>1</v>
      </c>
      <c r="F3379" s="2" t="n">
        <v>34</v>
      </c>
      <c r="G3379" s="2" t="s">
        <v>414</v>
      </c>
      <c r="H3379" s="2" t="str">
        <f aca="false">IFERROR(__xludf.dummyfunction("IF(I3413="""", """", REGEXEXTRACT(I3413, ""Padrao/([^/]+)""))"),"Centro")</f>
        <v>Centro</v>
      </c>
    </row>
    <row r="3380" customFormat="false" ht="15.75" hidden="false" customHeight="false" outlineLevel="0" collapsed="false">
      <c r="A3380" s="2" t="n">
        <v>209303</v>
      </c>
      <c r="B3380" s="2" t="s">
        <v>2744</v>
      </c>
      <c r="C3380" s="2" t="n">
        <v>2</v>
      </c>
      <c r="D3380" s="2" t="n">
        <v>1</v>
      </c>
      <c r="E3380" s="2" t="n">
        <v>1</v>
      </c>
      <c r="F3380" s="2" t="n">
        <v>42</v>
      </c>
      <c r="G3380" s="2" t="s">
        <v>435</v>
      </c>
      <c r="H3380" s="2" t="str">
        <f aca="false">IFERROR(__xludf.dummyfunction("IF(I3414="""", """", REGEXEXTRACT(I3414, ""Padrao/([^/]+)""))"),"Jardim Itau")</f>
        <v>Jardim Itau</v>
      </c>
    </row>
    <row r="3381" customFormat="false" ht="15.75" hidden="false" customHeight="false" outlineLevel="0" collapsed="false">
      <c r="A3381" s="2" t="n">
        <v>133568</v>
      </c>
      <c r="B3381" s="2" t="s">
        <v>2745</v>
      </c>
      <c r="C3381" s="2" t="n">
        <v>2</v>
      </c>
      <c r="D3381" s="2" t="n">
        <v>1</v>
      </c>
      <c r="E3381" s="2" t="n">
        <v>1</v>
      </c>
      <c r="F3381" s="2" t="n">
        <v>59</v>
      </c>
      <c r="G3381" s="2" t="s">
        <v>435</v>
      </c>
      <c r="H3381" s="2" t="str">
        <f aca="false">IFERROR(__xludf.dummyfunction("IF(I3415="""", """", REGEXEXTRACT(I3415, ""Padrao/([^/]+)""))"),"Independencia")</f>
        <v>Independencia</v>
      </c>
    </row>
    <row r="3382" customFormat="false" ht="15.75" hidden="false" customHeight="false" outlineLevel="0" collapsed="false">
      <c r="A3382" s="2" t="n">
        <v>242777</v>
      </c>
      <c r="B3382" s="2" t="s">
        <v>839</v>
      </c>
      <c r="C3382" s="2" t="n">
        <v>2</v>
      </c>
      <c r="D3382" s="2" t="n">
        <v>1</v>
      </c>
      <c r="E3382" s="2" t="n">
        <v>1</v>
      </c>
      <c r="F3382" s="2" t="n">
        <v>40</v>
      </c>
      <c r="G3382" s="2" t="s">
        <v>543</v>
      </c>
      <c r="H3382" s="2" t="str">
        <f aca="false">IFERROR(__xludf.dummyfunction("IF(I3416="""", """", REGEXEXTRACT(I3416, ""Padrao/([^/]+)""))"),"Jardim Itau")</f>
        <v>Jardim Itau</v>
      </c>
    </row>
    <row r="3383" customFormat="false" ht="15.75" hidden="false" customHeight="false" outlineLevel="0" collapsed="false">
      <c r="A3383" s="2" t="n">
        <v>221366</v>
      </c>
      <c r="B3383" s="2" t="s">
        <v>2746</v>
      </c>
      <c r="C3383" s="2" t="n">
        <v>2</v>
      </c>
      <c r="D3383" s="2" t="n">
        <v>1</v>
      </c>
      <c r="E3383" s="2" t="n">
        <v>1</v>
      </c>
      <c r="F3383" s="2" t="n">
        <v>47</v>
      </c>
      <c r="G3383" s="2" t="s">
        <v>543</v>
      </c>
      <c r="H3383" s="2" t="str">
        <f aca="false">IFERROR(__xludf.dummyfunction("IF(I3417="""", """", REGEXEXTRACT(I3417, ""Padrao/([^/]+)""))"),"City Ribeirao")</f>
        <v>City Ribeirao</v>
      </c>
    </row>
    <row r="3384" customFormat="false" ht="15.75" hidden="false" customHeight="false" outlineLevel="0" collapsed="false">
      <c r="A3384" s="2" t="n">
        <v>156839</v>
      </c>
      <c r="B3384" s="2" t="s">
        <v>2747</v>
      </c>
      <c r="C3384" s="2" t="n">
        <v>2</v>
      </c>
      <c r="D3384" s="2" t="n">
        <v>1</v>
      </c>
      <c r="E3384" s="2" t="n">
        <v>1</v>
      </c>
      <c r="F3384" s="2" t="n">
        <v>44</v>
      </c>
      <c r="G3384" s="2" t="s">
        <v>543</v>
      </c>
      <c r="H3384" s="2" t="str">
        <f aca="false">IFERROR(__xludf.dummyfunction("IF(I3418="""", """", REGEXEXTRACT(I3418, ""Padrao/([^/]+)""))"),"Quintas de Sao Jose")</f>
        <v>Quintas de Sao Jose</v>
      </c>
    </row>
    <row r="3385" customFormat="false" ht="15.75" hidden="false" customHeight="false" outlineLevel="0" collapsed="false">
      <c r="A3385" s="2" t="n">
        <v>137810</v>
      </c>
      <c r="B3385" s="2" t="s">
        <v>2748</v>
      </c>
      <c r="C3385" s="2" t="n">
        <v>2</v>
      </c>
      <c r="D3385" s="2" t="n">
        <v>1</v>
      </c>
      <c r="E3385" s="2" t="n">
        <v>1</v>
      </c>
      <c r="F3385" s="2" t="n">
        <v>46</v>
      </c>
      <c r="G3385" s="2" t="s">
        <v>2105</v>
      </c>
      <c r="H3385" s="2" t="str">
        <f aca="false">IFERROR(__xludf.dummyfunction("IF(I3419="""", """", REGEXEXTRACT(I3419, ""Padrao/([^/]+)""))"),"Condominio Mirante Sul")</f>
        <v>Condominio Mirante Sul</v>
      </c>
    </row>
    <row r="3386" customFormat="false" ht="15.75" hidden="false" customHeight="false" outlineLevel="0" collapsed="false">
      <c r="A3386" s="2" t="n">
        <v>151535</v>
      </c>
      <c r="B3386" s="2" t="s">
        <v>2749</v>
      </c>
      <c r="C3386" s="2" t="n">
        <v>2</v>
      </c>
      <c r="D3386" s="2" t="n">
        <v>2</v>
      </c>
      <c r="E3386" s="2" t="n">
        <v>1</v>
      </c>
      <c r="F3386" s="2" t="n">
        <v>60</v>
      </c>
      <c r="G3386" s="2" t="s">
        <v>554</v>
      </c>
      <c r="H3386" s="2" t="str">
        <f aca="false">IFERROR(__xludf.dummyfunction("IF(I3420="""", """", REGEXEXTRACT(I3420, ""Padrao/([^/]+)""))"),"Vila Tamandare")</f>
        <v>Vila Tamandare</v>
      </c>
    </row>
    <row r="3387" customFormat="false" ht="15.75" hidden="false" customHeight="false" outlineLevel="0" collapsed="false">
      <c r="A3387" s="2" t="n">
        <v>232412</v>
      </c>
      <c r="B3387" s="2" t="s">
        <v>2750</v>
      </c>
      <c r="C3387" s="2" t="n">
        <v>2</v>
      </c>
      <c r="D3387" s="2" t="n">
        <v>2</v>
      </c>
      <c r="E3387" s="2" t="n">
        <v>1</v>
      </c>
      <c r="F3387" s="2" t="n">
        <v>49</v>
      </c>
      <c r="G3387" s="2" t="s">
        <v>2265</v>
      </c>
      <c r="H3387" s="2" t="str">
        <f aca="false">IFERROR(__xludf.dummyfunction("IF(I3421="""", """", REGEXEXTRACT(I3421, ""Padrao/([^/]+)""))"),"Parque Industrial Lagoinha")</f>
        <v>Parque Industrial Lagoinha</v>
      </c>
    </row>
    <row r="3388" customFormat="false" ht="15.75" hidden="false" customHeight="false" outlineLevel="0" collapsed="false">
      <c r="A3388" s="2" t="n">
        <v>224735</v>
      </c>
      <c r="B3388" s="2" t="s">
        <v>2751</v>
      </c>
      <c r="C3388" s="2" t="n">
        <v>3</v>
      </c>
      <c r="D3388" s="2" t="n">
        <v>2</v>
      </c>
      <c r="E3388" s="2" t="n">
        <v>1</v>
      </c>
      <c r="F3388" s="2" t="n">
        <v>58</v>
      </c>
      <c r="G3388" s="2" t="s">
        <v>564</v>
      </c>
      <c r="H3388" s="2" t="str">
        <f aca="false">IFERROR(__xludf.dummyfunction("IF(I3422="""", """", REGEXEXTRACT(I3422, ""Padrao/([^/]+)""))"),"Alto da Boa Vista")</f>
        <v>Alto da Boa Vista</v>
      </c>
    </row>
    <row r="3389" customFormat="false" ht="15.75" hidden="false" customHeight="false" outlineLevel="0" collapsed="false">
      <c r="A3389" s="2" t="n">
        <v>141287</v>
      </c>
      <c r="B3389" s="2" t="s">
        <v>2041</v>
      </c>
      <c r="C3389" s="2" t="n">
        <v>2</v>
      </c>
      <c r="D3389" s="2" t="n">
        <v>1</v>
      </c>
      <c r="E3389" s="2" t="n">
        <v>1</v>
      </c>
      <c r="F3389" s="2" t="n">
        <v>48</v>
      </c>
      <c r="G3389" s="2" t="s">
        <v>564</v>
      </c>
      <c r="H3389" s="2" t="str">
        <f aca="false">IFERROR(__xludf.dummyfunction("IF(I3423="""", """", REGEXEXTRACT(I3423, ""Padrao/([^/]+)""))"),"Condominio Mirante Sul")</f>
        <v>Condominio Mirante Sul</v>
      </c>
    </row>
    <row r="3390" customFormat="false" ht="15.75" hidden="false" customHeight="false" outlineLevel="0" collapsed="false">
      <c r="A3390" s="2" t="n">
        <v>237290</v>
      </c>
      <c r="B3390" s="2" t="s">
        <v>2752</v>
      </c>
      <c r="C3390" s="2" t="n">
        <v>3</v>
      </c>
      <c r="D3390" s="2" t="n">
        <v>2</v>
      </c>
      <c r="E3390" s="2" t="n">
        <v>1</v>
      </c>
      <c r="F3390" s="2" t="n">
        <v>82</v>
      </c>
      <c r="G3390" s="2" t="s">
        <v>1513</v>
      </c>
      <c r="H3390" s="2" t="str">
        <f aca="false">IFERROR(__xludf.dummyfunction("IF(I3424="""", """", REGEXEXTRACT(I3424, ""Padrao/([^/]+)""))"),"Nova Ribeirania")</f>
        <v>Nova Ribeirania</v>
      </c>
    </row>
    <row r="3391" customFormat="false" ht="15.75" hidden="false" customHeight="false" outlineLevel="0" collapsed="false">
      <c r="A3391" s="2" t="n">
        <v>203570</v>
      </c>
      <c r="B3391" s="2" t="s">
        <v>2065</v>
      </c>
      <c r="C3391" s="2" t="n">
        <v>3</v>
      </c>
      <c r="D3391" s="2" t="n">
        <v>2</v>
      </c>
      <c r="E3391" s="2" t="n">
        <v>1</v>
      </c>
      <c r="F3391" s="2" t="n">
        <v>100</v>
      </c>
      <c r="G3391" s="2" t="s">
        <v>566</v>
      </c>
      <c r="H3391" s="2" t="str">
        <f aca="false">IFERROR(__xludf.dummyfunction("IF(I3425="""", """", REGEXEXTRACT(I3425, ""Padrao/([^/]+)""))"),"Jardim Anhanguera")</f>
        <v>Jardim Anhanguera</v>
      </c>
    </row>
    <row r="3392" customFormat="false" ht="15.75" hidden="false" customHeight="false" outlineLevel="0" collapsed="false">
      <c r="A3392" s="2" t="n">
        <v>203567</v>
      </c>
      <c r="B3392" s="2" t="s">
        <v>2065</v>
      </c>
      <c r="C3392" s="2" t="n">
        <v>3</v>
      </c>
      <c r="D3392" s="2" t="n">
        <v>2</v>
      </c>
      <c r="E3392" s="2" t="n">
        <v>1</v>
      </c>
      <c r="F3392" s="2" t="n">
        <v>90</v>
      </c>
      <c r="G3392" s="2" t="s">
        <v>566</v>
      </c>
      <c r="H3392" s="2" t="str">
        <f aca="false">IFERROR(__xludf.dummyfunction("IF(I3426="""", """", REGEXEXTRACT(I3426, ""Padrao/([^/]+)""))"),"Jardim Anhanguera")</f>
        <v>Jardim Anhanguera</v>
      </c>
    </row>
    <row r="3393" customFormat="false" ht="15.75" hidden="false" customHeight="false" outlineLevel="0" collapsed="false">
      <c r="A3393" s="2" t="n">
        <v>154520</v>
      </c>
      <c r="B3393" s="2" t="s">
        <v>2753</v>
      </c>
      <c r="C3393" s="2" t="n">
        <v>2</v>
      </c>
      <c r="D3393" s="2" t="n">
        <v>2</v>
      </c>
      <c r="E3393" s="2" t="n">
        <v>1</v>
      </c>
      <c r="F3393" s="2" t="n">
        <v>69</v>
      </c>
      <c r="G3393" s="2" t="s">
        <v>566</v>
      </c>
      <c r="H3393" s="2" t="str">
        <f aca="false">IFERROR(__xludf.dummyfunction("IF(I3427="""", """", REGEXEXTRACT(I3427, ""Padrao/([^/]+)""))"),"Residencial e Comercial Palmares")</f>
        <v>Residencial e Comercial Palmares</v>
      </c>
    </row>
    <row r="3394" customFormat="false" ht="15.75" hidden="false" customHeight="false" outlineLevel="0" collapsed="false">
      <c r="A3394" s="2" t="n">
        <v>64490</v>
      </c>
      <c r="B3394" s="2" t="s">
        <v>2125</v>
      </c>
      <c r="C3394" s="2" t="n">
        <v>3</v>
      </c>
      <c r="D3394" s="2" t="n">
        <v>1</v>
      </c>
      <c r="E3394" s="2" t="n">
        <v>1</v>
      </c>
      <c r="F3394" s="2" t="n">
        <v>72</v>
      </c>
      <c r="G3394" s="2" t="s">
        <v>566</v>
      </c>
      <c r="H3394" s="2" t="str">
        <f aca="false">IFERROR(__xludf.dummyfunction("IF(I3428="""", """", REGEXEXTRACT(I3428, ""Padrao/([^/]+)""))"),"Presidente Medici")</f>
        <v>Presidente Medici</v>
      </c>
    </row>
    <row r="3395" customFormat="false" ht="15.75" hidden="false" customHeight="false" outlineLevel="0" collapsed="false">
      <c r="A3395" s="2" t="n">
        <v>214496</v>
      </c>
      <c r="B3395" s="2" t="s">
        <v>2754</v>
      </c>
      <c r="C3395" s="2" t="n">
        <v>1</v>
      </c>
      <c r="D3395" s="2" t="n">
        <v>1</v>
      </c>
      <c r="E3395" s="2" t="n">
        <v>1</v>
      </c>
      <c r="F3395" s="2" t="n">
        <v>50</v>
      </c>
      <c r="G3395" s="2" t="s">
        <v>1451</v>
      </c>
      <c r="H3395" s="2" t="str">
        <f aca="false">IFERROR(__xludf.dummyfunction("IF(I3429="""", """", REGEXEXTRACT(I3429, ""Padrao/([^/]+)""))"),"Nova Alianca")</f>
        <v>Nova Alianca</v>
      </c>
    </row>
    <row r="3396" customFormat="false" ht="15.75" hidden="false" customHeight="false" outlineLevel="0" collapsed="false">
      <c r="A3396" s="2" t="n">
        <v>239630</v>
      </c>
      <c r="B3396" s="2" t="s">
        <v>2755</v>
      </c>
      <c r="C3396" s="2" t="n">
        <v>2</v>
      </c>
      <c r="D3396" s="2" t="n">
        <v>1</v>
      </c>
      <c r="E3396" s="2" t="n">
        <v>1</v>
      </c>
      <c r="F3396" s="2" t="n">
        <v>51</v>
      </c>
      <c r="G3396" s="2" t="s">
        <v>575</v>
      </c>
      <c r="H3396" s="2" t="str">
        <f aca="false">IFERROR(__xludf.dummyfunction("IF(I3430="""", """", REGEXEXTRACT(I3430, ""Padrao/([^/]+)""))"),"Jardim Novo Mundo")</f>
        <v>Jardim Novo Mundo</v>
      </c>
    </row>
    <row r="3397" customFormat="false" ht="15.75" hidden="false" customHeight="false" outlineLevel="0" collapsed="false">
      <c r="A3397" s="2" t="n">
        <v>197945</v>
      </c>
      <c r="B3397" s="2" t="s">
        <v>851</v>
      </c>
      <c r="C3397" s="2" t="n">
        <v>2</v>
      </c>
      <c r="D3397" s="2" t="n">
        <v>1</v>
      </c>
      <c r="E3397" s="2" t="n">
        <v>1</v>
      </c>
      <c r="F3397" s="2" t="n">
        <v>47</v>
      </c>
      <c r="G3397" s="2" t="s">
        <v>575</v>
      </c>
      <c r="H3397" s="2" t="str">
        <f aca="false">IFERROR(__xludf.dummyfunction("IF(I3431="""", """", REGEXEXTRACT(I3431, ""Padrao/([^/]+)""))"),"Alto do Ipiranga")</f>
        <v>Alto do Ipiranga</v>
      </c>
    </row>
    <row r="3398" customFormat="false" ht="15.75" hidden="false" customHeight="false" outlineLevel="0" collapsed="false">
      <c r="A3398" s="2" t="n">
        <v>190085</v>
      </c>
      <c r="B3398" s="2" t="s">
        <v>2756</v>
      </c>
      <c r="C3398" s="2" t="n">
        <v>3</v>
      </c>
      <c r="D3398" s="2" t="n">
        <v>2</v>
      </c>
      <c r="E3398" s="2" t="n">
        <v>2</v>
      </c>
      <c r="F3398" s="2" t="n">
        <v>72</v>
      </c>
      <c r="G3398" s="2" t="s">
        <v>575</v>
      </c>
      <c r="H3398" s="2" t="str">
        <f aca="false">IFERROR(__xludf.dummyfunction("IF(I3432="""", """", REGEXEXTRACT(I3432, ""Padrao/([^/]+)""))"),"Conjunto Habitacional Jardim das Palmeiras")</f>
        <v>Conjunto Habitacional Jardim das Palmeiras</v>
      </c>
    </row>
    <row r="3399" customFormat="false" ht="15.75" hidden="false" customHeight="false" outlineLevel="0" collapsed="false">
      <c r="A3399" s="2" t="n">
        <v>180770</v>
      </c>
      <c r="B3399" s="2" t="s">
        <v>1761</v>
      </c>
      <c r="C3399" s="2" t="n">
        <v>3</v>
      </c>
      <c r="D3399" s="2" t="n">
        <v>2</v>
      </c>
      <c r="E3399" s="2" t="n">
        <v>1</v>
      </c>
      <c r="F3399" s="2" t="n">
        <v>73</v>
      </c>
      <c r="G3399" s="2" t="s">
        <v>2565</v>
      </c>
      <c r="H3399" s="2" t="str">
        <f aca="false">IFERROR(__xludf.dummyfunction("IF(I3433="""", """", REGEXEXTRACT(I3433, ""Padrao/([^/]+)""))"),"Jardim Zara")</f>
        <v>Jardim Zara</v>
      </c>
    </row>
    <row r="3400" customFormat="false" ht="15.75" hidden="false" customHeight="false" outlineLevel="0" collapsed="false">
      <c r="A3400" s="2" t="n">
        <v>161789</v>
      </c>
      <c r="B3400" s="2" t="s">
        <v>2757</v>
      </c>
      <c r="C3400" s="2" t="n">
        <v>2</v>
      </c>
      <c r="D3400" s="2" t="n">
        <v>1</v>
      </c>
      <c r="E3400" s="2" t="n">
        <v>1</v>
      </c>
      <c r="F3400" s="2" t="n">
        <v>72</v>
      </c>
      <c r="G3400" s="2" t="s">
        <v>2565</v>
      </c>
      <c r="H3400" s="2" t="str">
        <f aca="false">IFERROR(__xludf.dummyfunction("IF(I3434="""", """", REGEXEXTRACT(I3434, ""Padrao/([^/]+)""))"),"Centro")</f>
        <v>Centro</v>
      </c>
    </row>
    <row r="3401" customFormat="false" ht="15.75" hidden="false" customHeight="false" outlineLevel="0" collapsed="false">
      <c r="A3401" s="2" t="n">
        <v>147446</v>
      </c>
      <c r="B3401" s="2" t="s">
        <v>2758</v>
      </c>
      <c r="C3401" s="2" t="n">
        <v>2</v>
      </c>
      <c r="D3401" s="2" t="n">
        <v>2</v>
      </c>
      <c r="E3401" s="2" t="n">
        <v>2</v>
      </c>
      <c r="F3401" s="2" t="n">
        <v>63</v>
      </c>
      <c r="G3401" s="2" t="s">
        <v>2565</v>
      </c>
      <c r="H3401" s="2" t="str">
        <f aca="false">IFERROR(__xludf.dummyfunction("IF(I3435="""", """", REGEXEXTRACT(I3435, ""Padrao/([^/]+)""))"),"Parque dos Bandeirantes")</f>
        <v>Parque dos Bandeirantes</v>
      </c>
    </row>
    <row r="3402" customFormat="false" ht="15.75" hidden="false" customHeight="false" outlineLevel="0" collapsed="false">
      <c r="A3402" s="2" t="n">
        <v>244256</v>
      </c>
      <c r="B3402" s="2" t="s">
        <v>1759</v>
      </c>
      <c r="C3402" s="2" t="n">
        <v>2</v>
      </c>
      <c r="D3402" s="2" t="n">
        <v>1</v>
      </c>
      <c r="E3402" s="2" t="n">
        <v>1</v>
      </c>
      <c r="F3402" s="2" t="n">
        <v>40</v>
      </c>
      <c r="G3402" s="2" t="s">
        <v>588</v>
      </c>
      <c r="H3402" s="2" t="str">
        <f aca="false">IFERROR(__xludf.dummyfunction("IF(I3436="""", """", REGEXEXTRACT(I3436, ""Padrao/([^/]+)""))"),"Reserva Sao Jose")</f>
        <v>Reserva Sao Jose</v>
      </c>
    </row>
    <row r="3403" customFormat="false" ht="15.75" hidden="false" customHeight="false" outlineLevel="0" collapsed="false">
      <c r="A3403" s="2" t="n">
        <v>217985</v>
      </c>
      <c r="B3403" s="2" t="s">
        <v>2759</v>
      </c>
      <c r="C3403" s="2" t="n">
        <v>3</v>
      </c>
      <c r="D3403" s="2" t="n">
        <v>2</v>
      </c>
      <c r="E3403" s="2" t="n">
        <v>1</v>
      </c>
      <c r="F3403" s="2" t="n">
        <v>104</v>
      </c>
      <c r="G3403" s="2" t="s">
        <v>588</v>
      </c>
      <c r="H3403" s="2" t="str">
        <f aca="false">IFERROR(__xludf.dummyfunction("IF(I3437="""", """", REGEXEXTRACT(I3437, ""Padrao/([^/]+)""))"),"Campos Eliseos")</f>
        <v>Campos Eliseos</v>
      </c>
    </row>
    <row r="3404" customFormat="false" ht="15.75" hidden="false" customHeight="false" outlineLevel="0" collapsed="false">
      <c r="A3404" s="2" t="n">
        <v>152834</v>
      </c>
      <c r="B3404" s="2" t="s">
        <v>2760</v>
      </c>
      <c r="C3404" s="2" t="n">
        <v>2</v>
      </c>
      <c r="D3404" s="2" t="n">
        <v>2</v>
      </c>
      <c r="E3404" s="2" t="n">
        <v>1</v>
      </c>
      <c r="F3404" s="2" t="n">
        <v>99</v>
      </c>
      <c r="G3404" s="2" t="s">
        <v>588</v>
      </c>
      <c r="H3404" s="2" t="str">
        <f aca="false">IFERROR(__xludf.dummyfunction("IF(I3438="""", """", REGEXEXTRACT(I3438, ""Padrao/([^/]+)""))"),"Centro")</f>
        <v>Centro</v>
      </c>
    </row>
    <row r="3405" customFormat="false" ht="15.75" hidden="false" customHeight="false" outlineLevel="0" collapsed="false">
      <c r="A3405" s="2" t="n">
        <v>144452</v>
      </c>
      <c r="B3405" s="2" t="s">
        <v>2761</v>
      </c>
      <c r="C3405" s="2" t="n">
        <v>3</v>
      </c>
      <c r="D3405" s="2" t="n">
        <v>2</v>
      </c>
      <c r="E3405" s="2" t="n">
        <v>1</v>
      </c>
      <c r="F3405" s="2" t="n">
        <v>95</v>
      </c>
      <c r="G3405" s="2" t="s">
        <v>588</v>
      </c>
      <c r="H3405" s="2" t="str">
        <f aca="false">IFERROR(__xludf.dummyfunction("IF(I3439="""", """", REGEXEXTRACT(I3439, ""Padrao/([^/]+)""))"),"Centro")</f>
        <v>Centro</v>
      </c>
    </row>
    <row r="3406" customFormat="false" ht="15.75" hidden="false" customHeight="false" outlineLevel="0" collapsed="false">
      <c r="A3406" s="2" t="n">
        <v>124217</v>
      </c>
      <c r="B3406" s="2" t="s">
        <v>2762</v>
      </c>
      <c r="C3406" s="2" t="n">
        <v>2</v>
      </c>
      <c r="D3406" s="2" t="n">
        <v>1</v>
      </c>
      <c r="E3406" s="2" t="n">
        <v>1</v>
      </c>
      <c r="F3406" s="2" t="n">
        <v>60</v>
      </c>
      <c r="G3406" s="2" t="s">
        <v>588</v>
      </c>
      <c r="H3406" s="2" t="str">
        <f aca="false">IFERROR(__xludf.dummyfunction("IF(I3440="""", """", REGEXEXTRACT(I3440, ""Padrao/([^/]+)""))"),"Jardim Paulista")</f>
        <v>Jardim Paulista</v>
      </c>
    </row>
    <row r="3407" customFormat="false" ht="15.75" hidden="false" customHeight="false" outlineLevel="0" collapsed="false">
      <c r="A3407" s="2" t="n">
        <v>83609</v>
      </c>
      <c r="B3407" s="2" t="s">
        <v>2763</v>
      </c>
      <c r="C3407" s="2" t="n">
        <v>3</v>
      </c>
      <c r="D3407" s="2" t="n">
        <v>2</v>
      </c>
      <c r="E3407" s="2" t="n">
        <v>2</v>
      </c>
      <c r="F3407" s="2" t="n">
        <v>96</v>
      </c>
      <c r="G3407" s="2" t="s">
        <v>588</v>
      </c>
      <c r="H3407" s="2" t="str">
        <f aca="false">IFERROR(__xludf.dummyfunction("IF(I3441="""", """", REGEXEXTRACT(I3441, ""Padrao/([^/]+)""))"),"Jardim Paulistano")</f>
        <v>Jardim Paulistano</v>
      </c>
    </row>
    <row r="3408" customFormat="false" ht="15.75" hidden="false" customHeight="false" outlineLevel="0" collapsed="false">
      <c r="A3408" s="2" t="n">
        <v>25841</v>
      </c>
      <c r="B3408" s="2" t="s">
        <v>2764</v>
      </c>
      <c r="C3408" s="2" t="n">
        <v>3</v>
      </c>
      <c r="D3408" s="2" t="n">
        <v>2</v>
      </c>
      <c r="E3408" s="2" t="n">
        <v>2</v>
      </c>
      <c r="F3408" s="2" t="n">
        <v>82</v>
      </c>
      <c r="G3408" s="2" t="s">
        <v>588</v>
      </c>
      <c r="H3408" s="2" t="str">
        <f aca="false">IFERROR(__xludf.dummyfunction("IF(I3442="""", """", REGEXEXTRACT(I3442, ""Padrao/([^/]+)""))"),"Jardim Castelo Branco")</f>
        <v>Jardim Castelo Branco</v>
      </c>
    </row>
    <row r="3409" customFormat="false" ht="15.75" hidden="false" customHeight="false" outlineLevel="0" collapsed="false">
      <c r="A3409" s="2" t="n">
        <v>214622</v>
      </c>
      <c r="B3409" s="2" t="s">
        <v>2765</v>
      </c>
      <c r="C3409" s="2" t="n">
        <v>2</v>
      </c>
      <c r="D3409" s="2" t="n">
        <v>1</v>
      </c>
      <c r="E3409" s="2" t="n">
        <v>1</v>
      </c>
      <c r="F3409" s="2" t="n">
        <v>83</v>
      </c>
      <c r="G3409" s="2" t="s">
        <v>1516</v>
      </c>
      <c r="H3409" s="2" t="str">
        <f aca="false">IFERROR(__xludf.dummyfunction("IF(I3443="""", """", REGEXEXTRACT(I3443, ""Padrao/([^/]+)""))"),"Jardim Iraja")</f>
        <v>Jardim Iraja</v>
      </c>
    </row>
    <row r="3410" customFormat="false" ht="15.75" hidden="false" customHeight="false" outlineLevel="0" collapsed="false">
      <c r="A3410" s="2" t="n">
        <v>24359</v>
      </c>
      <c r="B3410" s="2" t="s">
        <v>2766</v>
      </c>
      <c r="C3410" s="2" t="n">
        <v>3</v>
      </c>
      <c r="D3410" s="2" t="n">
        <v>2</v>
      </c>
      <c r="E3410" s="2" t="n">
        <v>1</v>
      </c>
      <c r="F3410" s="2" t="n">
        <v>122</v>
      </c>
      <c r="G3410" s="2" t="s">
        <v>1516</v>
      </c>
      <c r="H3410" s="2" t="str">
        <f aca="false">IFERROR(__xludf.dummyfunction("IF(I3444="""", """", REGEXEXTRACT(I3444, ""Padrao/([^/]+)""))"),"Campos Eliseos")</f>
        <v>Campos Eliseos</v>
      </c>
    </row>
    <row r="3411" customFormat="false" ht="15.75" hidden="false" customHeight="false" outlineLevel="0" collapsed="false">
      <c r="A3411" s="2" t="n">
        <v>132023</v>
      </c>
      <c r="B3411" s="2" t="s">
        <v>2767</v>
      </c>
      <c r="C3411" s="2" t="n">
        <v>3</v>
      </c>
      <c r="D3411" s="2" t="n">
        <v>2</v>
      </c>
      <c r="E3411" s="2" t="n">
        <v>2</v>
      </c>
      <c r="F3411" s="2" t="n">
        <v>60</v>
      </c>
      <c r="G3411" s="2" t="s">
        <v>591</v>
      </c>
      <c r="H3411" s="2" t="str">
        <f aca="false">IFERROR(__xludf.dummyfunction("IF(I3445="""", """", REGEXEXTRACT(I3445, ""Padrao/([^/]+)""))"),"Jardim Palma Travassos")</f>
        <v>Jardim Palma Travassos</v>
      </c>
    </row>
    <row r="3412" customFormat="false" ht="15.75" hidden="false" customHeight="false" outlineLevel="0" collapsed="false">
      <c r="A3412" s="2" t="n">
        <v>244790</v>
      </c>
      <c r="B3412" s="2" t="s">
        <v>2768</v>
      </c>
      <c r="C3412" s="2" t="n">
        <v>3</v>
      </c>
      <c r="D3412" s="2" t="n">
        <v>3</v>
      </c>
      <c r="E3412" s="2" t="n">
        <v>1</v>
      </c>
      <c r="F3412" s="2" t="n">
        <v>92</v>
      </c>
      <c r="G3412" s="2" t="s">
        <v>595</v>
      </c>
      <c r="H3412" s="2" t="str">
        <f aca="false">IFERROR(__xludf.dummyfunction("IF(I3446="""", """", REGEXEXTRACT(I3446, ""Padrao/([^/]+)""))"),"Centro")</f>
        <v>Centro</v>
      </c>
    </row>
    <row r="3413" customFormat="false" ht="15.75" hidden="false" customHeight="false" outlineLevel="0" collapsed="false">
      <c r="A3413" s="2" t="n">
        <v>244343</v>
      </c>
      <c r="B3413" s="2" t="s">
        <v>2769</v>
      </c>
      <c r="C3413" s="2" t="n">
        <v>2</v>
      </c>
      <c r="D3413" s="2" t="n">
        <v>1</v>
      </c>
      <c r="E3413" s="2" t="n">
        <v>1</v>
      </c>
      <c r="F3413" s="2" t="n">
        <v>47</v>
      </c>
      <c r="G3413" s="2" t="s">
        <v>595</v>
      </c>
      <c r="H3413" s="2" t="str">
        <f aca="false">IFERROR(__xludf.dummyfunction("IF(I3447="""", """", REGEXEXTRACT(I3447, ""Padrao/([^/]+)""))"),"Reserva Sao Jose")</f>
        <v>Reserva Sao Jose</v>
      </c>
    </row>
    <row r="3414" customFormat="false" ht="15.75" hidden="false" customHeight="false" outlineLevel="0" collapsed="false">
      <c r="A3414" s="2" t="n">
        <v>242618</v>
      </c>
      <c r="B3414" s="2" t="s">
        <v>2770</v>
      </c>
      <c r="C3414" s="2" t="n">
        <v>3</v>
      </c>
      <c r="D3414" s="2" t="n">
        <v>2</v>
      </c>
      <c r="E3414" s="2" t="n">
        <v>1</v>
      </c>
      <c r="F3414" s="2" t="n">
        <v>101</v>
      </c>
      <c r="G3414" s="2" t="s">
        <v>595</v>
      </c>
      <c r="H3414" s="2" t="str">
        <f aca="false">IFERROR(__xludf.dummyfunction("IF(I3448="""", """", REGEXEXTRACT(I3448, ""Padrao/([^/]+)""))"),"Jardim Iraja")</f>
        <v>Jardim Iraja</v>
      </c>
    </row>
    <row r="3415" customFormat="false" ht="15.75" hidden="false" customHeight="false" outlineLevel="0" collapsed="false">
      <c r="A3415" s="2" t="n">
        <v>241715</v>
      </c>
      <c r="B3415" s="2" t="s">
        <v>2771</v>
      </c>
      <c r="C3415" s="2" t="n">
        <v>2</v>
      </c>
      <c r="D3415" s="2" t="n">
        <v>1</v>
      </c>
      <c r="E3415" s="2" t="n">
        <v>1</v>
      </c>
      <c r="F3415" s="2" t="n">
        <v>40</v>
      </c>
      <c r="G3415" s="2" t="s">
        <v>595</v>
      </c>
      <c r="H3415" s="2" t="str">
        <f aca="false">IFERROR(__xludf.dummyfunction("IF(I3449="""", """", REGEXEXTRACT(I3449, ""Padrao/([^/]+)""))"),"Planalto Verde")</f>
        <v>Planalto Verde</v>
      </c>
    </row>
    <row r="3416" customFormat="false" ht="15.75" hidden="false" customHeight="false" outlineLevel="0" collapsed="false">
      <c r="A3416" s="2" t="n">
        <v>241499</v>
      </c>
      <c r="B3416" s="2" t="s">
        <v>2772</v>
      </c>
      <c r="C3416" s="2" t="n">
        <v>3</v>
      </c>
      <c r="D3416" s="2" t="n">
        <v>2</v>
      </c>
      <c r="E3416" s="2" t="n">
        <v>1</v>
      </c>
      <c r="F3416" s="2" t="n">
        <v>105</v>
      </c>
      <c r="G3416" s="2" t="s">
        <v>595</v>
      </c>
      <c r="H3416" s="2" t="str">
        <f aca="false">IFERROR(__xludf.dummyfunction("IF(I3450="""", """", REGEXEXTRACT(I3450, ""Padrao/([^/]+)""))"),"Ipiranga")</f>
        <v>Ipiranga</v>
      </c>
    </row>
    <row r="3417" customFormat="false" ht="15.75" hidden="false" customHeight="false" outlineLevel="0" collapsed="false">
      <c r="A3417" s="2" t="n">
        <v>238484</v>
      </c>
      <c r="B3417" s="2" t="s">
        <v>2773</v>
      </c>
      <c r="C3417" s="2" t="n">
        <v>2</v>
      </c>
      <c r="D3417" s="2" t="n">
        <v>3</v>
      </c>
      <c r="E3417" s="2" t="n">
        <v>1</v>
      </c>
      <c r="F3417" s="2" t="n">
        <v>85</v>
      </c>
      <c r="G3417" s="2" t="s">
        <v>595</v>
      </c>
      <c r="H3417" s="2" t="str">
        <f aca="false">IFERROR(__xludf.dummyfunction("IF(I3451="""", """", REGEXEXTRACT(I3451, ""Padrao/([^/]+)""))"),"Centro")</f>
        <v>Centro</v>
      </c>
    </row>
    <row r="3418" customFormat="false" ht="15.75" hidden="false" customHeight="false" outlineLevel="0" collapsed="false">
      <c r="A3418" s="2" t="n">
        <v>237185</v>
      </c>
      <c r="B3418" s="2" t="s">
        <v>1980</v>
      </c>
      <c r="C3418" s="2" t="n">
        <v>2</v>
      </c>
      <c r="D3418" s="2" t="n">
        <v>1</v>
      </c>
      <c r="E3418" s="2" t="n">
        <v>1</v>
      </c>
      <c r="F3418" s="2" t="n">
        <v>60</v>
      </c>
      <c r="G3418" s="2" t="s">
        <v>595</v>
      </c>
      <c r="H3418" s="2" t="str">
        <f aca="false">IFERROR(__xludf.dummyfunction("IF(I3452="""", """", REGEXEXTRACT(I3452, ""Padrao/([^/]+)""))"),"Jardim Mosteiro")</f>
        <v>Jardim Mosteiro</v>
      </c>
    </row>
    <row r="3419" customFormat="false" ht="15.75" hidden="false" customHeight="false" outlineLevel="0" collapsed="false">
      <c r="A3419" s="2" t="n">
        <v>235067</v>
      </c>
      <c r="B3419" s="2" t="s">
        <v>2149</v>
      </c>
      <c r="C3419" s="2" t="n">
        <v>3</v>
      </c>
      <c r="D3419" s="2" t="n">
        <v>1</v>
      </c>
      <c r="E3419" s="2" t="n">
        <v>1</v>
      </c>
      <c r="F3419" s="2" t="n">
        <v>76</v>
      </c>
      <c r="G3419" s="2" t="s">
        <v>595</v>
      </c>
      <c r="H3419" s="2" t="str">
        <f aca="false">IFERROR(__xludf.dummyfunction("IF(I3453="""", """", REGEXEXTRACT(I3453, ""Padrao/([^/]+)""))"),"Jardim Palma Travassos")</f>
        <v>Jardim Palma Travassos</v>
      </c>
    </row>
    <row r="3420" customFormat="false" ht="15.75" hidden="false" customHeight="false" outlineLevel="0" collapsed="false">
      <c r="A3420" s="2" t="n">
        <v>234776</v>
      </c>
      <c r="B3420" s="2" t="s">
        <v>2774</v>
      </c>
      <c r="C3420" s="2" t="n">
        <v>2</v>
      </c>
      <c r="D3420" s="2" t="n">
        <v>1</v>
      </c>
      <c r="E3420" s="2" t="n">
        <v>1</v>
      </c>
      <c r="F3420" s="2" t="n">
        <v>47</v>
      </c>
      <c r="G3420" s="2" t="s">
        <v>595</v>
      </c>
      <c r="H3420" s="2" t="str">
        <f aca="false">IFERROR(__xludf.dummyfunction("IF(I3454="""", """", REGEXEXTRACT(I3454, ""Padrao/([^/]+)""))"),"Reserva Sao Jose")</f>
        <v>Reserva Sao Jose</v>
      </c>
    </row>
    <row r="3421" customFormat="false" ht="15.75" hidden="false" customHeight="false" outlineLevel="0" collapsed="false">
      <c r="A3421" s="2" t="n">
        <v>233939</v>
      </c>
      <c r="B3421" s="2" t="s">
        <v>2775</v>
      </c>
      <c r="C3421" s="2" t="n">
        <v>2</v>
      </c>
      <c r="D3421" s="2" t="n">
        <v>2</v>
      </c>
      <c r="E3421" s="2" t="n">
        <v>1</v>
      </c>
      <c r="F3421" s="2" t="n">
        <v>57</v>
      </c>
      <c r="G3421" s="2" t="s">
        <v>595</v>
      </c>
      <c r="H3421" s="2" t="str">
        <f aca="false">IFERROR(__xludf.dummyfunction("IF(I3455="""", """", REGEXEXTRACT(I3455, ""Padrao/([^/]+)""))"),"Residencial e Comercial Palmares")</f>
        <v>Residencial e Comercial Palmares</v>
      </c>
    </row>
    <row r="3422" customFormat="false" ht="15.75" hidden="false" customHeight="false" outlineLevel="0" collapsed="false">
      <c r="A3422" s="2" t="n">
        <v>232097</v>
      </c>
      <c r="B3422" s="2" t="s">
        <v>2776</v>
      </c>
      <c r="C3422" s="2" t="n">
        <v>3</v>
      </c>
      <c r="D3422" s="2" t="n">
        <v>2</v>
      </c>
      <c r="E3422" s="2" t="n">
        <v>2</v>
      </c>
      <c r="F3422" s="2" t="n">
        <v>96</v>
      </c>
      <c r="G3422" s="2" t="s">
        <v>595</v>
      </c>
      <c r="H3422" s="2" t="str">
        <f aca="false">IFERROR(__xludf.dummyfunction("IF(I3456="""", """", REGEXEXTRACT(I3456, ""Padrao/([^/]+)""))"),"Jardim Paulistano")</f>
        <v>Jardim Paulistano</v>
      </c>
    </row>
    <row r="3423" customFormat="false" ht="15.75" hidden="false" customHeight="false" outlineLevel="0" collapsed="false">
      <c r="A3423" s="2" t="n">
        <v>230993</v>
      </c>
      <c r="B3423" s="2" t="s">
        <v>2777</v>
      </c>
      <c r="C3423" s="2" t="n">
        <v>3</v>
      </c>
      <c r="D3423" s="2" t="n">
        <v>2</v>
      </c>
      <c r="E3423" s="2" t="n">
        <v>1</v>
      </c>
      <c r="F3423" s="2" t="n">
        <v>62</v>
      </c>
      <c r="G3423" s="2" t="s">
        <v>595</v>
      </c>
      <c r="H3423" s="2" t="str">
        <f aca="false">IFERROR(__xludf.dummyfunction("IF(I3457="""", """", REGEXEXTRACT(I3457, ""Padrao/([^/]+)""))"),"Jardim Palma Travassos")</f>
        <v>Jardim Palma Travassos</v>
      </c>
    </row>
    <row r="3424" customFormat="false" ht="15.75" hidden="false" customHeight="false" outlineLevel="0" collapsed="false">
      <c r="A3424" s="2" t="n">
        <v>227960</v>
      </c>
      <c r="B3424" s="2" t="s">
        <v>2778</v>
      </c>
      <c r="C3424" s="2" t="n">
        <v>2</v>
      </c>
      <c r="D3424" s="2" t="n">
        <v>2</v>
      </c>
      <c r="E3424" s="2" t="n">
        <v>1</v>
      </c>
      <c r="F3424" s="2" t="n">
        <v>58</v>
      </c>
      <c r="G3424" s="2" t="s">
        <v>595</v>
      </c>
      <c r="H3424" s="2" t="str">
        <f aca="false">IFERROR(__xludf.dummyfunction("IF(I3458="""", """", REGEXEXTRACT(I3458, ""Padrao/([^/]+)""))"),"Parque dos Lagos")</f>
        <v>Parque dos Lagos</v>
      </c>
    </row>
    <row r="3425" customFormat="false" ht="15.75" hidden="false" customHeight="false" outlineLevel="0" collapsed="false">
      <c r="A3425" s="2" t="n">
        <v>226856</v>
      </c>
      <c r="B3425" s="2" t="s">
        <v>1109</v>
      </c>
      <c r="C3425" s="2" t="n">
        <v>2</v>
      </c>
      <c r="D3425" s="2" t="n">
        <v>1</v>
      </c>
      <c r="E3425" s="2" t="n">
        <v>1</v>
      </c>
      <c r="F3425" s="2" t="n">
        <v>47</v>
      </c>
      <c r="G3425" s="2" t="s">
        <v>595</v>
      </c>
      <c r="H3425" s="2" t="str">
        <f aca="false">IFERROR(__xludf.dummyfunction("IF(I3459="""", """", REGEXEXTRACT(I3459, ""Padrao/([^/]+)""))"),"Jardim Paulistano")</f>
        <v>Jardim Paulistano</v>
      </c>
    </row>
    <row r="3426" customFormat="false" ht="15.75" hidden="false" customHeight="false" outlineLevel="0" collapsed="false">
      <c r="A3426" s="2" t="n">
        <v>222944</v>
      </c>
      <c r="B3426" s="2" t="s">
        <v>2779</v>
      </c>
      <c r="C3426" s="2" t="n">
        <v>2</v>
      </c>
      <c r="D3426" s="2" t="n">
        <v>2</v>
      </c>
      <c r="E3426" s="2" t="n">
        <v>1</v>
      </c>
      <c r="F3426" s="2" t="n">
        <v>58</v>
      </c>
      <c r="G3426" s="2" t="s">
        <v>595</v>
      </c>
      <c r="H3426" s="2" t="str">
        <f aca="false">IFERROR(__xludf.dummyfunction("IF(I3460="""", """", REGEXEXTRACT(I3460, ""Padrao/([^/]+)""))"),"Residencial Parque dos Servidores")</f>
        <v>Residencial Parque dos Servidores</v>
      </c>
    </row>
    <row r="3427" customFormat="false" ht="15.75" hidden="false" customHeight="false" outlineLevel="0" collapsed="false">
      <c r="A3427" s="2" t="n">
        <v>221321</v>
      </c>
      <c r="B3427" s="2" t="s">
        <v>2780</v>
      </c>
      <c r="C3427" s="2" t="n">
        <v>2</v>
      </c>
      <c r="D3427" s="2" t="n">
        <v>1</v>
      </c>
      <c r="E3427" s="2" t="n">
        <v>1</v>
      </c>
      <c r="F3427" s="2" t="n">
        <v>51</v>
      </c>
      <c r="G3427" s="2" t="s">
        <v>595</v>
      </c>
      <c r="H3427" s="2" t="str">
        <f aca="false">IFERROR(__xludf.dummyfunction("IF(I3461="""", """", REGEXEXTRACT(I3461, ""Padrao/([^/]+)""))"),"Jardim Manoel Penna")</f>
        <v>Jardim Manoel Penna</v>
      </c>
    </row>
    <row r="3428" customFormat="false" ht="15.75" hidden="false" customHeight="false" outlineLevel="0" collapsed="false">
      <c r="A3428" s="2" t="n">
        <v>220079</v>
      </c>
      <c r="B3428" s="2" t="s">
        <v>2781</v>
      </c>
      <c r="C3428" s="2" t="n">
        <v>3</v>
      </c>
      <c r="D3428" s="2" t="n">
        <v>2</v>
      </c>
      <c r="E3428" s="2" t="n">
        <v>2</v>
      </c>
      <c r="F3428" s="2" t="n">
        <v>99</v>
      </c>
      <c r="G3428" s="2" t="s">
        <v>595</v>
      </c>
      <c r="H3428" s="2" t="str">
        <f aca="false">IFERROR(__xludf.dummyfunction("IF(I3462="""", """", REGEXEXTRACT(I3462, ""Padrao/([^/]+)""))"),"Jardim Paulista")</f>
        <v>Jardim Paulista</v>
      </c>
    </row>
    <row r="3429" customFormat="false" ht="15.75" hidden="false" customHeight="false" outlineLevel="0" collapsed="false">
      <c r="A3429" s="2" t="n">
        <v>219224</v>
      </c>
      <c r="B3429" s="2" t="s">
        <v>2168</v>
      </c>
      <c r="C3429" s="2" t="n">
        <v>2</v>
      </c>
      <c r="D3429" s="2" t="n">
        <v>1</v>
      </c>
      <c r="E3429" s="2" t="n">
        <v>1</v>
      </c>
      <c r="F3429" s="2" t="n">
        <v>52</v>
      </c>
      <c r="G3429" s="2" t="s">
        <v>595</v>
      </c>
      <c r="H3429" s="2" t="str">
        <f aca="false">IFERROR(__xludf.dummyfunction("IF(I3463="""", """", REGEXEXTRACT(I3463, ""Padrao/([^/]+)""))"),"Jardim Anhanguera")</f>
        <v>Jardim Anhanguera</v>
      </c>
    </row>
    <row r="3430" customFormat="false" ht="15.75" hidden="false" customHeight="false" outlineLevel="0" collapsed="false">
      <c r="A3430" s="2" t="n">
        <v>218612</v>
      </c>
      <c r="B3430" s="2" t="s">
        <v>2782</v>
      </c>
      <c r="C3430" s="2" t="n">
        <v>2</v>
      </c>
      <c r="D3430" s="2" t="n">
        <v>1</v>
      </c>
      <c r="E3430" s="2" t="n">
        <v>1</v>
      </c>
      <c r="F3430" s="2" t="n">
        <v>57</v>
      </c>
      <c r="G3430" s="2" t="s">
        <v>595</v>
      </c>
      <c r="H3430" s="2" t="str">
        <f aca="false">IFERROR(__xludf.dummyfunction("IF(I3464="""", """", REGEXEXTRACT(I3464, ""Padrao/([^/]+)""))"),"Ipiranga")</f>
        <v>Ipiranga</v>
      </c>
    </row>
    <row r="3431" customFormat="false" ht="15.75" hidden="false" customHeight="false" outlineLevel="0" collapsed="false">
      <c r="A3431" s="2" t="n">
        <v>214895</v>
      </c>
      <c r="B3431" s="2" t="s">
        <v>1790</v>
      </c>
      <c r="C3431" s="2" t="n">
        <v>2</v>
      </c>
      <c r="D3431" s="2" t="n">
        <v>1</v>
      </c>
      <c r="E3431" s="2" t="n">
        <v>2</v>
      </c>
      <c r="F3431" s="2" t="n">
        <v>48</v>
      </c>
      <c r="G3431" s="2" t="s">
        <v>595</v>
      </c>
      <c r="H3431" s="2" t="str">
        <f aca="false">IFERROR(__xludf.dummyfunction("IF(I3465="""", """", REGEXEXTRACT(I3465, ""Padrao/([^/]+)""))"),"Vila Maria Luiza")</f>
        <v>Vila Maria Luiza</v>
      </c>
    </row>
    <row r="3432" customFormat="false" ht="15.75" hidden="false" customHeight="false" outlineLevel="0" collapsed="false">
      <c r="A3432" s="2" t="n">
        <v>214427</v>
      </c>
      <c r="B3432" s="2" t="s">
        <v>2783</v>
      </c>
      <c r="C3432" s="2" t="n">
        <v>2</v>
      </c>
      <c r="D3432" s="2" t="n">
        <v>2</v>
      </c>
      <c r="E3432" s="2" t="n">
        <v>1</v>
      </c>
      <c r="F3432" s="2" t="n">
        <v>58</v>
      </c>
      <c r="G3432" s="2" t="s">
        <v>595</v>
      </c>
      <c r="H3432" s="2" t="str">
        <f aca="false">IFERROR(__xludf.dummyfunction("IF(I3466="""", """", REGEXEXTRACT(I3466, ""Padrao/([^/]+)""))"),"Loteamento Santa Marta")</f>
        <v>Loteamento Santa Marta</v>
      </c>
    </row>
    <row r="3433" customFormat="false" ht="15.75" hidden="false" customHeight="false" outlineLevel="0" collapsed="false">
      <c r="A3433" s="2" t="n">
        <v>210707</v>
      </c>
      <c r="B3433" s="2" t="s">
        <v>1514</v>
      </c>
      <c r="C3433" s="2" t="n">
        <v>1</v>
      </c>
      <c r="D3433" s="2" t="n">
        <v>1</v>
      </c>
      <c r="E3433" s="2" t="n">
        <v>1</v>
      </c>
      <c r="F3433" s="2" t="n">
        <v>39</v>
      </c>
      <c r="G3433" s="2" t="s">
        <v>595</v>
      </c>
      <c r="H3433" s="2" t="str">
        <f aca="false">IFERROR(__xludf.dummyfunction("IF(I3467="""", """", REGEXEXTRACT(I3467, ""Padrao/([^/]+)""))"),"Nova Alianca")</f>
        <v>Nova Alianca</v>
      </c>
    </row>
    <row r="3434" customFormat="false" ht="15.75" hidden="false" customHeight="false" outlineLevel="0" collapsed="false">
      <c r="A3434" s="2" t="n">
        <v>210428</v>
      </c>
      <c r="B3434" s="2" t="s">
        <v>2313</v>
      </c>
      <c r="C3434" s="2" t="n">
        <v>1</v>
      </c>
      <c r="D3434" s="2" t="n">
        <v>1</v>
      </c>
      <c r="E3434" s="2" t="n">
        <v>1</v>
      </c>
      <c r="F3434" s="2" t="n">
        <v>47</v>
      </c>
      <c r="G3434" s="2" t="s">
        <v>595</v>
      </c>
      <c r="H3434" s="2" t="str">
        <f aca="false">IFERROR(__xludf.dummyfunction("IF(I3468="""", """", REGEXEXTRACT(I3468, ""Padrao/([^/]+)""))"),"Centro")</f>
        <v>Centro</v>
      </c>
    </row>
    <row r="3435" customFormat="false" ht="15.75" hidden="false" customHeight="false" outlineLevel="0" collapsed="false">
      <c r="A3435" s="2" t="n">
        <v>207914</v>
      </c>
      <c r="B3435" s="2" t="s">
        <v>2764</v>
      </c>
      <c r="C3435" s="2" t="n">
        <v>3</v>
      </c>
      <c r="D3435" s="2" t="n">
        <v>2</v>
      </c>
      <c r="E3435" s="2" t="n">
        <v>1</v>
      </c>
      <c r="F3435" s="2" t="n">
        <v>82</v>
      </c>
      <c r="G3435" s="2" t="s">
        <v>595</v>
      </c>
      <c r="H3435" s="2" t="str">
        <f aca="false">IFERROR(__xludf.dummyfunction("IF(I3469="""", """", REGEXEXTRACT(I3469, ""Padrao/([^/]+)""))"),"Jardim Castelo Branco")</f>
        <v>Jardim Castelo Branco</v>
      </c>
    </row>
    <row r="3436" customFormat="false" ht="15.75" hidden="false" customHeight="false" outlineLevel="0" collapsed="false">
      <c r="A3436" s="2" t="n">
        <v>206240</v>
      </c>
      <c r="B3436" s="2" t="s">
        <v>2784</v>
      </c>
      <c r="C3436" s="2" t="n">
        <v>1</v>
      </c>
      <c r="D3436" s="2" t="n">
        <v>2</v>
      </c>
      <c r="E3436" s="2" t="n">
        <v>1</v>
      </c>
      <c r="F3436" s="2" t="n">
        <v>78</v>
      </c>
      <c r="G3436" s="2" t="s">
        <v>595</v>
      </c>
      <c r="H3436" s="2" t="str">
        <f aca="false">IFERROR(__xludf.dummyfunction("IF(I3470="""", """", REGEXEXTRACT(I3470, ""Padrao/([^/]+)""))"),"Jardim Sao Luiz")</f>
        <v>Jardim Sao Luiz</v>
      </c>
    </row>
    <row r="3437" customFormat="false" ht="15.75" hidden="false" customHeight="false" outlineLevel="0" collapsed="false">
      <c r="A3437" s="2" t="n">
        <v>205493</v>
      </c>
      <c r="B3437" s="2" t="s">
        <v>2785</v>
      </c>
      <c r="C3437" s="2" t="n">
        <v>3</v>
      </c>
      <c r="D3437" s="2" t="n">
        <v>2</v>
      </c>
      <c r="E3437" s="2" t="n">
        <v>1</v>
      </c>
      <c r="F3437" s="2" t="n">
        <v>74</v>
      </c>
      <c r="G3437" s="2" t="s">
        <v>595</v>
      </c>
      <c r="H3437" s="2" t="str">
        <f aca="false">IFERROR(__xludf.dummyfunction("IF(I3471="""", """", REGEXEXTRACT(I3471, ""Padrao/([^/]+)""))"),"Residencial e Comercial Palmares")</f>
        <v>Residencial e Comercial Palmares</v>
      </c>
    </row>
    <row r="3438" customFormat="false" ht="15.75" hidden="false" customHeight="false" outlineLevel="0" collapsed="false">
      <c r="A3438" s="2" t="n">
        <v>205355</v>
      </c>
      <c r="B3438" s="2" t="s">
        <v>1160</v>
      </c>
      <c r="C3438" s="2" t="n">
        <v>2</v>
      </c>
      <c r="D3438" s="2" t="n">
        <v>1</v>
      </c>
      <c r="E3438" s="2" t="n">
        <v>1</v>
      </c>
      <c r="F3438" s="2" t="n">
        <v>47</v>
      </c>
      <c r="G3438" s="2" t="s">
        <v>595</v>
      </c>
      <c r="H3438" s="2" t="str">
        <f aca="false">IFERROR(__xludf.dummyfunction("IF(I3472="""", """", REGEXEXTRACT(I3472, ""Padrao/([^/]+)""))"),"Chacaras Pedro Correa de Carvalho")</f>
        <v>Chacaras Pedro Correa de Carvalho</v>
      </c>
    </row>
    <row r="3439" customFormat="false" ht="15.75" hidden="false" customHeight="false" outlineLevel="0" collapsed="false">
      <c r="A3439" s="2" t="n">
        <v>202610</v>
      </c>
      <c r="B3439" s="2" t="s">
        <v>2786</v>
      </c>
      <c r="C3439" s="2" t="n">
        <v>3</v>
      </c>
      <c r="D3439" s="2" t="n">
        <v>2</v>
      </c>
      <c r="E3439" s="2" t="n">
        <v>1</v>
      </c>
      <c r="F3439" s="2" t="n">
        <v>78</v>
      </c>
      <c r="G3439" s="2" t="s">
        <v>595</v>
      </c>
      <c r="H3439" s="2" t="str">
        <f aca="false">IFERROR(__xludf.dummyfunction("IF(I3473="""", """", REGEXEXTRACT(I3473, ""Padrao/([^/]+)""))"),"Jardim Zara")</f>
        <v>Jardim Zara</v>
      </c>
    </row>
    <row r="3440" customFormat="false" ht="15.75" hidden="false" customHeight="false" outlineLevel="0" collapsed="false">
      <c r="A3440" s="2" t="n">
        <v>201389</v>
      </c>
      <c r="B3440" s="2" t="s">
        <v>2787</v>
      </c>
      <c r="C3440" s="2" t="n">
        <v>2</v>
      </c>
      <c r="D3440" s="2" t="n">
        <v>2</v>
      </c>
      <c r="E3440" s="2" t="n">
        <v>1</v>
      </c>
      <c r="F3440" s="2" t="n">
        <v>65</v>
      </c>
      <c r="G3440" s="2" t="s">
        <v>595</v>
      </c>
      <c r="H3440" s="2" t="str">
        <f aca="false">IFERROR(__xludf.dummyfunction("IF(I3474="""", """", REGEXEXTRACT(I3474, ""Padrao/([^/]+)""))"),"Jardim Iraja")</f>
        <v>Jardim Iraja</v>
      </c>
    </row>
    <row r="3441" customFormat="false" ht="15.75" hidden="false" customHeight="false" outlineLevel="0" collapsed="false">
      <c r="A3441" s="2" t="n">
        <v>193709</v>
      </c>
      <c r="B3441" s="2" t="s">
        <v>2788</v>
      </c>
      <c r="C3441" s="2" t="n">
        <v>3</v>
      </c>
      <c r="D3441" s="2" t="n">
        <v>1</v>
      </c>
      <c r="E3441" s="2" t="n">
        <v>1</v>
      </c>
      <c r="F3441" s="2" t="n">
        <v>75</v>
      </c>
      <c r="G3441" s="2" t="s">
        <v>595</v>
      </c>
      <c r="H3441" s="2" t="str">
        <f aca="false">IFERROR(__xludf.dummyfunction("IF(I3476="""", """", REGEXEXTRACT(I3476, ""Padrao/([^/]+)""))"),"Presidente Medici")</f>
        <v>Presidente Medici</v>
      </c>
    </row>
    <row r="3442" customFormat="false" ht="15.75" hidden="false" customHeight="false" outlineLevel="0" collapsed="false">
      <c r="A3442" s="2" t="n">
        <v>187004</v>
      </c>
      <c r="B3442" s="2" t="s">
        <v>2789</v>
      </c>
      <c r="C3442" s="2" t="n">
        <v>1</v>
      </c>
      <c r="D3442" s="2" t="n">
        <v>1</v>
      </c>
      <c r="E3442" s="2" t="n">
        <v>1</v>
      </c>
      <c r="F3442" s="2" t="n">
        <v>36</v>
      </c>
      <c r="G3442" s="2" t="s">
        <v>595</v>
      </c>
      <c r="H3442" s="2" t="str">
        <f aca="false">IFERROR(__xludf.dummyfunction("IF(I3477="""", """", REGEXEXTRACT(I3477, ""Padrao/([^/]+)""))"),"Vila Ana Maria")</f>
        <v>Vila Ana Maria</v>
      </c>
    </row>
    <row r="3443" customFormat="false" ht="15.75" hidden="false" customHeight="false" outlineLevel="0" collapsed="false">
      <c r="A3443" s="2" t="n">
        <v>182615</v>
      </c>
      <c r="B3443" s="2" t="s">
        <v>1406</v>
      </c>
      <c r="C3443" s="2" t="n">
        <v>3</v>
      </c>
      <c r="D3443" s="2" t="n">
        <v>2</v>
      </c>
      <c r="E3443" s="2" t="n">
        <v>1</v>
      </c>
      <c r="F3443" s="2" t="n">
        <v>109</v>
      </c>
      <c r="G3443" s="2" t="s">
        <v>595</v>
      </c>
      <c r="H3443" s="2" t="str">
        <f aca="false">IFERROR(__xludf.dummyfunction("IF(I3478="""", """", REGEXEXTRACT(I3478, ""Padrao/([^/]+)""))"),"Centro")</f>
        <v>Centro</v>
      </c>
    </row>
    <row r="3444" customFormat="false" ht="15.75" hidden="false" customHeight="false" outlineLevel="0" collapsed="false">
      <c r="A3444" s="2" t="n">
        <v>177203</v>
      </c>
      <c r="B3444" s="2" t="s">
        <v>602</v>
      </c>
      <c r="C3444" s="2" t="n">
        <v>3</v>
      </c>
      <c r="D3444" s="2" t="n">
        <v>3</v>
      </c>
      <c r="E3444" s="2" t="n">
        <v>1</v>
      </c>
      <c r="F3444" s="2" t="n">
        <v>92</v>
      </c>
      <c r="G3444" s="2" t="s">
        <v>595</v>
      </c>
      <c r="H3444" s="2" t="str">
        <f aca="false">IFERROR(__xludf.dummyfunction("IF(I3479="""", """", REGEXEXTRACT(I3479, ""Padrao/([^/]+)""))"),"Jardim Sumare")</f>
        <v>Jardim Sumare</v>
      </c>
    </row>
    <row r="3445" customFormat="false" ht="15.75" hidden="false" customHeight="false" outlineLevel="0" collapsed="false">
      <c r="A3445" s="2" t="n">
        <v>176252</v>
      </c>
      <c r="B3445" s="2" t="s">
        <v>1075</v>
      </c>
      <c r="C3445" s="2" t="n">
        <v>3</v>
      </c>
      <c r="D3445" s="2" t="n">
        <v>2</v>
      </c>
      <c r="E3445" s="2" t="n">
        <v>1</v>
      </c>
      <c r="F3445" s="2" t="n">
        <v>77</v>
      </c>
      <c r="G3445" s="2" t="s">
        <v>595</v>
      </c>
      <c r="H3445" s="2" t="str">
        <f aca="false">IFERROR(__xludf.dummyfunction("IF(I3480="""", """", REGEXEXTRACT(I3480, ""Padrao/([^/]+)""))"),"Vila Monte Alegre")</f>
        <v>Vila Monte Alegre</v>
      </c>
    </row>
    <row r="3446" customFormat="false" ht="15.75" hidden="false" customHeight="false" outlineLevel="0" collapsed="false">
      <c r="A3446" s="2" t="n">
        <v>174980</v>
      </c>
      <c r="B3446" s="2" t="s">
        <v>2426</v>
      </c>
      <c r="C3446" s="2" t="n">
        <v>2</v>
      </c>
      <c r="D3446" s="2" t="n">
        <v>1</v>
      </c>
      <c r="E3446" s="2" t="n">
        <v>1</v>
      </c>
      <c r="F3446" s="2" t="n">
        <v>54</v>
      </c>
      <c r="G3446" s="2" t="s">
        <v>595</v>
      </c>
      <c r="H3446" s="2" t="str">
        <f aca="false">IFERROR(__xludf.dummyfunction("IF(I3481="""", """", REGEXEXTRACT(I3481, ""Padrao/([^/]+)""))"),"Parque Industrial Lagoinha")</f>
        <v>Parque Industrial Lagoinha</v>
      </c>
    </row>
    <row r="3447" customFormat="false" ht="15.75" hidden="false" customHeight="false" outlineLevel="0" collapsed="false">
      <c r="A3447" s="2" t="n">
        <v>170303</v>
      </c>
      <c r="B3447" s="2" t="s">
        <v>2790</v>
      </c>
      <c r="C3447" s="2" t="n">
        <v>3</v>
      </c>
      <c r="D3447" s="2" t="n">
        <v>3</v>
      </c>
      <c r="E3447" s="2" t="n">
        <v>1</v>
      </c>
      <c r="F3447" s="2" t="n">
        <v>92</v>
      </c>
      <c r="G3447" s="2" t="s">
        <v>595</v>
      </c>
      <c r="H3447" s="2" t="str">
        <f aca="false">IFERROR(__xludf.dummyfunction("IF(I3482="""", """", REGEXEXTRACT(I3482, ""Padrao/([^/]+)""))"),"Jardim Sumare")</f>
        <v>Jardim Sumare</v>
      </c>
    </row>
    <row r="3448" customFormat="false" ht="15.75" hidden="false" customHeight="false" outlineLevel="0" collapsed="false">
      <c r="A3448" s="2" t="n">
        <v>169934</v>
      </c>
      <c r="B3448" s="2" t="s">
        <v>2791</v>
      </c>
      <c r="C3448" s="2" t="n">
        <v>1</v>
      </c>
      <c r="D3448" s="2" t="n">
        <v>1</v>
      </c>
      <c r="E3448" s="2" t="n">
        <v>1</v>
      </c>
      <c r="F3448" s="2" t="n">
        <v>40</v>
      </c>
      <c r="G3448" s="2" t="s">
        <v>595</v>
      </c>
      <c r="H3448" s="2" t="str">
        <f aca="false">IFERROR(__xludf.dummyfunction("IF(I3483="""", """", REGEXEXTRACT(I3483, ""Padrao/([^/]+)""))"),"Iguatemi")</f>
        <v>Iguatemi</v>
      </c>
    </row>
    <row r="3449" customFormat="false" ht="15.75" hidden="false" customHeight="false" outlineLevel="0" collapsed="false">
      <c r="A3449" s="2" t="n">
        <v>169838</v>
      </c>
      <c r="B3449" s="2" t="s">
        <v>2792</v>
      </c>
      <c r="C3449" s="2" t="n">
        <v>3</v>
      </c>
      <c r="D3449" s="2" t="n">
        <v>1</v>
      </c>
      <c r="E3449" s="2" t="n">
        <v>1</v>
      </c>
      <c r="F3449" s="2" t="n">
        <v>75</v>
      </c>
      <c r="G3449" s="2" t="s">
        <v>595</v>
      </c>
      <c r="H3449" s="2" t="str">
        <f aca="false">IFERROR(__xludf.dummyfunction("IF(I3484="""", """", REGEXEXTRACT(I3484, ""Padrao/([^/]+)""))"),"Presidente Medici")</f>
        <v>Presidente Medici</v>
      </c>
    </row>
    <row r="3450" customFormat="false" ht="15.75" hidden="false" customHeight="false" outlineLevel="0" collapsed="false">
      <c r="A3450" s="2" t="n">
        <v>168827</v>
      </c>
      <c r="B3450" s="2" t="s">
        <v>2793</v>
      </c>
      <c r="C3450" s="2" t="n">
        <v>2</v>
      </c>
      <c r="D3450" s="2" t="n">
        <v>1</v>
      </c>
      <c r="E3450" s="2" t="n">
        <v>1</v>
      </c>
      <c r="F3450" s="2" t="n">
        <v>46</v>
      </c>
      <c r="G3450" s="2" t="s">
        <v>595</v>
      </c>
      <c r="H3450" s="2" t="str">
        <f aca="false">IFERROR(__xludf.dummyfunction("IF(I3485="""", """", REGEXEXTRACT(I3485, ""Padrao/([^/]+)""))"),"Jardim Manoel Penna")</f>
        <v>Jardim Manoel Penna</v>
      </c>
    </row>
    <row r="3451" customFormat="false" ht="15.75" hidden="false" customHeight="false" outlineLevel="0" collapsed="false">
      <c r="A3451" s="2" t="n">
        <v>168785</v>
      </c>
      <c r="B3451" s="2" t="s">
        <v>2794</v>
      </c>
      <c r="C3451" s="2" t="n">
        <v>1</v>
      </c>
      <c r="D3451" s="2" t="n">
        <v>1</v>
      </c>
      <c r="E3451" s="2" t="n">
        <v>1</v>
      </c>
      <c r="F3451" s="2" t="n">
        <v>39</v>
      </c>
      <c r="G3451" s="2" t="s">
        <v>595</v>
      </c>
      <c r="H3451" s="2" t="str">
        <f aca="false">IFERROR(__xludf.dummyfunction("IF(I3486="""", """", REGEXEXTRACT(I3486, ""Padrao/([^/]+)""))"),"Bosque das Juritis")</f>
        <v>Bosque das Juritis</v>
      </c>
    </row>
    <row r="3452" customFormat="false" ht="15.75" hidden="false" customHeight="false" outlineLevel="0" collapsed="false">
      <c r="A3452" s="2" t="n">
        <v>168572</v>
      </c>
      <c r="B3452" s="2" t="s">
        <v>2795</v>
      </c>
      <c r="C3452" s="2" t="n">
        <v>2</v>
      </c>
      <c r="D3452" s="2" t="n">
        <v>2</v>
      </c>
      <c r="E3452" s="2" t="n">
        <v>1</v>
      </c>
      <c r="F3452" s="2" t="n">
        <v>62</v>
      </c>
      <c r="G3452" s="2" t="s">
        <v>595</v>
      </c>
      <c r="H3452" s="2" t="str">
        <f aca="false">IFERROR(__xludf.dummyfunction("IF(I3487="""", """", REGEXEXTRACT(I3487, ""Padrao/([^/]+)""))"),"Vila Maria Luiza")</f>
        <v>Vila Maria Luiza</v>
      </c>
    </row>
    <row r="3453" customFormat="false" ht="15.75" hidden="false" customHeight="false" outlineLevel="0" collapsed="false">
      <c r="A3453" s="2" t="n">
        <v>165680</v>
      </c>
      <c r="B3453" s="2" t="s">
        <v>2796</v>
      </c>
      <c r="C3453" s="2" t="n">
        <v>2</v>
      </c>
      <c r="D3453" s="2" t="n">
        <v>1</v>
      </c>
      <c r="E3453" s="2" t="n">
        <v>1</v>
      </c>
      <c r="F3453" s="2" t="n">
        <v>45</v>
      </c>
      <c r="G3453" s="2" t="s">
        <v>595</v>
      </c>
      <c r="H3453" s="2" t="str">
        <f aca="false">IFERROR(__xludf.dummyfunction("IF(I3488="""", """", REGEXEXTRACT(I3488, ""Padrao/([^/]+)""))"),"Jardim Antartica")</f>
        <v>Jardim Antartica</v>
      </c>
    </row>
    <row r="3454" customFormat="false" ht="15.75" hidden="false" customHeight="false" outlineLevel="0" collapsed="false">
      <c r="A3454" s="2" t="n">
        <v>165314</v>
      </c>
      <c r="B3454" s="2" t="s">
        <v>2797</v>
      </c>
      <c r="C3454" s="2" t="n">
        <v>2</v>
      </c>
      <c r="D3454" s="2" t="n">
        <v>1</v>
      </c>
      <c r="E3454" s="2" t="n">
        <v>1</v>
      </c>
      <c r="F3454" s="2" t="n">
        <v>44</v>
      </c>
      <c r="G3454" s="2" t="s">
        <v>595</v>
      </c>
      <c r="H3454" s="2" t="str">
        <f aca="false">IFERROR(__xludf.dummyfunction("IF(I3489="""", """", REGEXEXTRACT(I3489, ""Padrao/([^/]+)""))"),"Quintas de Sao Jose")</f>
        <v>Quintas de Sao Jose</v>
      </c>
    </row>
    <row r="3455" customFormat="false" ht="15.75" hidden="false" customHeight="false" outlineLevel="0" collapsed="false">
      <c r="A3455" s="2" t="n">
        <v>163157</v>
      </c>
      <c r="B3455" s="2" t="s">
        <v>2798</v>
      </c>
      <c r="C3455" s="2" t="n">
        <v>2</v>
      </c>
      <c r="D3455" s="2" t="n">
        <v>1</v>
      </c>
      <c r="E3455" s="2" t="n">
        <v>1</v>
      </c>
      <c r="F3455" s="2" t="n">
        <v>50</v>
      </c>
      <c r="G3455" s="2" t="s">
        <v>595</v>
      </c>
      <c r="H3455" s="2" t="str">
        <f aca="false">IFERROR(__xludf.dummyfunction("IF(I3490="""", """", REGEXEXTRACT(I3490, ""Padrao/([^/]+)""))"),"Jardim Paulistano")</f>
        <v>Jardim Paulistano</v>
      </c>
    </row>
    <row r="3456" customFormat="false" ht="15.75" hidden="false" customHeight="false" outlineLevel="0" collapsed="false">
      <c r="A3456" s="2" t="n">
        <v>161603</v>
      </c>
      <c r="B3456" s="2" t="s">
        <v>1066</v>
      </c>
      <c r="C3456" s="2" t="n">
        <v>3</v>
      </c>
      <c r="D3456" s="2" t="n">
        <v>2</v>
      </c>
      <c r="E3456" s="2" t="n">
        <v>2</v>
      </c>
      <c r="F3456" s="2" t="n">
        <v>72</v>
      </c>
      <c r="G3456" s="2" t="s">
        <v>595</v>
      </c>
      <c r="H3456" s="2" t="str">
        <f aca="false">IFERROR(__xludf.dummyfunction("IF(I3491="""", """", REGEXEXTRACT(I3491, ""Padrao/([^/]+)""))"),"Presidente Medici")</f>
        <v>Presidente Medici</v>
      </c>
    </row>
    <row r="3457" customFormat="false" ht="15.75" hidden="false" customHeight="false" outlineLevel="0" collapsed="false">
      <c r="A3457" s="2" t="n">
        <v>161348</v>
      </c>
      <c r="B3457" s="2" t="s">
        <v>2799</v>
      </c>
      <c r="C3457" s="2" t="n">
        <v>3</v>
      </c>
      <c r="D3457" s="2" t="n">
        <v>2</v>
      </c>
      <c r="E3457" s="2" t="n">
        <v>1</v>
      </c>
      <c r="F3457" s="2" t="n">
        <v>84</v>
      </c>
      <c r="G3457" s="2" t="s">
        <v>595</v>
      </c>
      <c r="H3457" s="2" t="str">
        <f aca="false">IFERROR(__xludf.dummyfunction("IF(I3492="""", """", REGEXEXTRACT(I3492, ""Padrao/([^/]+)""))"),"Ipiranga")</f>
        <v>Ipiranga</v>
      </c>
    </row>
    <row r="3458" customFormat="false" ht="15.75" hidden="false" customHeight="false" outlineLevel="0" collapsed="false">
      <c r="A3458" s="2" t="n">
        <v>161231</v>
      </c>
      <c r="B3458" s="2" t="s">
        <v>2800</v>
      </c>
      <c r="C3458" s="2" t="n">
        <v>2</v>
      </c>
      <c r="D3458" s="2" t="n">
        <v>1</v>
      </c>
      <c r="E3458" s="2" t="n">
        <v>1</v>
      </c>
      <c r="F3458" s="2" t="n">
        <v>48</v>
      </c>
      <c r="G3458" s="2" t="s">
        <v>595</v>
      </c>
      <c r="H3458" s="2" t="str">
        <f aca="false">IFERROR(__xludf.dummyfunction("IF(I3493="""", """", REGEXEXTRACT(I3493, ""Padrao/([^/]+)""))"),"Jardim Paulistano")</f>
        <v>Jardim Paulistano</v>
      </c>
    </row>
    <row r="3459" customFormat="false" ht="15.75" hidden="false" customHeight="false" outlineLevel="0" collapsed="false">
      <c r="A3459" s="2" t="n">
        <v>158195</v>
      </c>
      <c r="B3459" s="2" t="s">
        <v>2801</v>
      </c>
      <c r="C3459" s="2" t="n">
        <v>3</v>
      </c>
      <c r="D3459" s="2" t="n">
        <v>1</v>
      </c>
      <c r="E3459" s="2" t="n">
        <v>1</v>
      </c>
      <c r="F3459" s="2" t="n">
        <v>72</v>
      </c>
      <c r="G3459" s="2" t="s">
        <v>595</v>
      </c>
      <c r="H3459" s="2" t="str">
        <f aca="false">IFERROR(__xludf.dummyfunction("IF(I3494="""", """", REGEXEXTRACT(I3494, ""Padrao/([^/]+)""))"),"Presidente Medici")</f>
        <v>Presidente Medici</v>
      </c>
    </row>
    <row r="3460" customFormat="false" ht="15.75" hidden="false" customHeight="false" outlineLevel="0" collapsed="false">
      <c r="A3460" s="2" t="n">
        <v>153569</v>
      </c>
      <c r="B3460" s="2" t="s">
        <v>2802</v>
      </c>
      <c r="C3460" s="2" t="n">
        <v>3</v>
      </c>
      <c r="D3460" s="2" t="n">
        <v>2</v>
      </c>
      <c r="E3460" s="2" t="n">
        <v>1</v>
      </c>
      <c r="F3460" s="2" t="n">
        <v>70</v>
      </c>
      <c r="G3460" s="2" t="s">
        <v>595</v>
      </c>
      <c r="H3460" s="2" t="str">
        <f aca="false">IFERROR(__xludf.dummyfunction("IF(I3495="""", """", REGEXEXTRACT(I3495, ""Padrao/([^/]+)""))"),"Planalto Verde")</f>
        <v>Planalto Verde</v>
      </c>
    </row>
    <row r="3461" customFormat="false" ht="15.75" hidden="false" customHeight="false" outlineLevel="0" collapsed="false">
      <c r="A3461" s="2" t="n">
        <v>153260</v>
      </c>
      <c r="B3461" s="2" t="s">
        <v>2251</v>
      </c>
      <c r="C3461" s="2" t="n">
        <v>3</v>
      </c>
      <c r="D3461" s="2" t="n">
        <v>2</v>
      </c>
      <c r="E3461" s="2" t="n">
        <v>1</v>
      </c>
      <c r="F3461" s="2" t="n">
        <v>96</v>
      </c>
      <c r="G3461" s="2" t="s">
        <v>595</v>
      </c>
      <c r="H3461" s="2" t="str">
        <f aca="false">IFERROR(__xludf.dummyfunction("IF(I3496="""", """", REGEXEXTRACT(I3496, ""Padrao/([^/]+)""))"),"Jardim Paulista")</f>
        <v>Jardim Paulista</v>
      </c>
    </row>
    <row r="3462" customFormat="false" ht="15.75" hidden="false" customHeight="false" outlineLevel="0" collapsed="false">
      <c r="A3462" s="2" t="n">
        <v>151754</v>
      </c>
      <c r="B3462" s="2" t="s">
        <v>2206</v>
      </c>
      <c r="C3462" s="2" t="n">
        <v>1</v>
      </c>
      <c r="D3462" s="2" t="n">
        <v>1</v>
      </c>
      <c r="E3462" s="2" t="n">
        <v>1</v>
      </c>
      <c r="F3462" s="2" t="n">
        <v>48</v>
      </c>
      <c r="G3462" s="2" t="s">
        <v>595</v>
      </c>
      <c r="H3462" s="2" t="str">
        <f aca="false">IFERROR(__xludf.dummyfunction("IF(I3497="""", """", REGEXEXTRACT(I3497, ""Padrao/([^/]+)""))"),"Centro")</f>
        <v>Centro</v>
      </c>
    </row>
    <row r="3463" customFormat="false" ht="15.75" hidden="false" customHeight="false" outlineLevel="0" collapsed="false">
      <c r="A3463" s="2" t="n">
        <v>150026</v>
      </c>
      <c r="B3463" s="2" t="s">
        <v>2803</v>
      </c>
      <c r="C3463" s="2" t="n">
        <v>3</v>
      </c>
      <c r="D3463" s="2" t="n">
        <v>1</v>
      </c>
      <c r="E3463" s="2" t="n">
        <v>1</v>
      </c>
      <c r="F3463" s="2" t="n">
        <v>92</v>
      </c>
      <c r="G3463" s="2" t="s">
        <v>595</v>
      </c>
      <c r="H3463" s="2" t="str">
        <f aca="false">IFERROR(__xludf.dummyfunction("IF(I3498="""", """", REGEXEXTRACT(I3498, ""Padrao/([^/]+)""))"),"Parque dos Bandeirantes")</f>
        <v>Parque dos Bandeirantes</v>
      </c>
    </row>
    <row r="3464" customFormat="false" ht="15.75" hidden="false" customHeight="false" outlineLevel="0" collapsed="false">
      <c r="A3464" s="2" t="n">
        <v>141005</v>
      </c>
      <c r="B3464" s="2" t="s">
        <v>1262</v>
      </c>
      <c r="C3464" s="2" t="n">
        <v>3</v>
      </c>
      <c r="D3464" s="2" t="n">
        <v>2</v>
      </c>
      <c r="E3464" s="2" t="n">
        <v>1</v>
      </c>
      <c r="F3464" s="2" t="n">
        <v>84</v>
      </c>
      <c r="G3464" s="2" t="s">
        <v>595</v>
      </c>
      <c r="H3464" s="2" t="str">
        <f aca="false">IFERROR(__xludf.dummyfunction("IF(I3499="""", """", REGEXEXTRACT(I3499, ""Padrao/([^/]+)""))"),"Jardim Palma Travassos")</f>
        <v>Jardim Palma Travassos</v>
      </c>
    </row>
    <row r="3465" customFormat="false" ht="15.75" hidden="false" customHeight="false" outlineLevel="0" collapsed="false">
      <c r="A3465" s="2" t="n">
        <v>136988</v>
      </c>
      <c r="B3465" s="2" t="s">
        <v>2804</v>
      </c>
      <c r="C3465" s="2" t="n">
        <v>3</v>
      </c>
      <c r="D3465" s="2" t="n">
        <v>2</v>
      </c>
      <c r="E3465" s="2" t="n">
        <v>1</v>
      </c>
      <c r="F3465" s="2" t="n">
        <v>76</v>
      </c>
      <c r="G3465" s="2" t="s">
        <v>595</v>
      </c>
      <c r="H3465" s="2" t="str">
        <f aca="false">IFERROR(__xludf.dummyfunction("IF(I3500="""", """", REGEXEXTRACT(I3500, ""Padrao/([^/]+)""))"),"Jardim Palma Travassos")</f>
        <v>Jardim Palma Travassos</v>
      </c>
    </row>
    <row r="3466" customFormat="false" ht="15.75" hidden="false" customHeight="false" outlineLevel="0" collapsed="false">
      <c r="A3466" s="2" t="n">
        <v>130448</v>
      </c>
      <c r="B3466" s="2" t="s">
        <v>2805</v>
      </c>
      <c r="C3466" s="2" t="n">
        <v>3</v>
      </c>
      <c r="D3466" s="2" t="n">
        <v>2</v>
      </c>
      <c r="E3466" s="2" t="n">
        <v>1</v>
      </c>
      <c r="F3466" s="2" t="n">
        <v>92</v>
      </c>
      <c r="G3466" s="2" t="s">
        <v>595</v>
      </c>
      <c r="H3466" s="2" t="str">
        <f aca="false">IFERROR(__xludf.dummyfunction("IF(I3502="""", """", REGEXEXTRACT(I3502, ""Padrao/([^/]+)""))"),"Jardim Sumare")</f>
        <v>Jardim Sumare</v>
      </c>
    </row>
    <row r="3467" customFormat="false" ht="15.75" hidden="false" customHeight="false" outlineLevel="0" collapsed="false">
      <c r="A3467" s="2" t="n">
        <v>126080</v>
      </c>
      <c r="B3467" s="2" t="s">
        <v>2272</v>
      </c>
      <c r="C3467" s="2" t="n">
        <v>2</v>
      </c>
      <c r="D3467" s="2" t="n">
        <v>2</v>
      </c>
      <c r="E3467" s="2" t="n">
        <v>1</v>
      </c>
      <c r="F3467" s="2" t="n">
        <v>90</v>
      </c>
      <c r="G3467" s="2" t="s">
        <v>595</v>
      </c>
      <c r="H3467" s="2" t="str">
        <f aca="false">IFERROR(__xludf.dummyfunction("IF(I3503="""", """", REGEXEXTRACT(I3503, ""Padrao/([^/]+)""))"),"Residencial e Comercial Palmares")</f>
        <v>Residencial e Comercial Palmares</v>
      </c>
    </row>
    <row r="3468" customFormat="false" ht="15.75" hidden="false" customHeight="false" outlineLevel="0" collapsed="false">
      <c r="A3468" s="2" t="n">
        <v>126077</v>
      </c>
      <c r="B3468" s="2" t="s">
        <v>2806</v>
      </c>
      <c r="C3468" s="2" t="n">
        <v>2</v>
      </c>
      <c r="D3468" s="2" t="n">
        <v>2</v>
      </c>
      <c r="E3468" s="2" t="n">
        <v>1</v>
      </c>
      <c r="F3468" s="2" t="n">
        <v>90</v>
      </c>
      <c r="G3468" s="2" t="s">
        <v>595</v>
      </c>
      <c r="H3468" s="2" t="str">
        <f aca="false">IFERROR(__xludf.dummyfunction("IF(I3504="""", """", REGEXEXTRACT(I3504, ""Padrao/([^/]+)""))"),"Residencial e Comercial Palmares")</f>
        <v>Residencial e Comercial Palmares</v>
      </c>
    </row>
    <row r="3469" customFormat="false" ht="15.75" hidden="false" customHeight="false" outlineLevel="0" collapsed="false">
      <c r="A3469" s="2" t="n">
        <v>121025</v>
      </c>
      <c r="B3469" s="2" t="s">
        <v>2807</v>
      </c>
      <c r="C3469" s="2" t="n">
        <v>1</v>
      </c>
      <c r="D3469" s="2" t="n">
        <v>1</v>
      </c>
      <c r="E3469" s="2" t="n">
        <v>1</v>
      </c>
      <c r="F3469" s="2" t="n">
        <v>40</v>
      </c>
      <c r="G3469" s="2" t="s">
        <v>595</v>
      </c>
      <c r="H3469" s="2" t="str">
        <f aca="false">IFERROR(__xludf.dummyfunction("IF(I3505="""", """", REGEXEXTRACT(I3505, ""Padrao/([^/]+)""))"),"Bosque das Juritis")</f>
        <v>Bosque das Juritis</v>
      </c>
    </row>
    <row r="3470" customFormat="false" ht="15.75" hidden="false" customHeight="false" outlineLevel="0" collapsed="false">
      <c r="A3470" s="2" t="n">
        <v>120692</v>
      </c>
      <c r="B3470" s="2" t="s">
        <v>162</v>
      </c>
      <c r="C3470" s="2" t="n">
        <v>2</v>
      </c>
      <c r="D3470" s="2" t="n">
        <v>2</v>
      </c>
      <c r="E3470" s="2" t="n">
        <v>1</v>
      </c>
      <c r="F3470" s="2" t="n">
        <v>70</v>
      </c>
      <c r="G3470" s="2" t="s">
        <v>595</v>
      </c>
      <c r="H3470" s="2" t="str">
        <f aca="false">IFERROR(__xludf.dummyfunction("IF(I3506="""", """", REGEXEXTRACT(I3506, ""Padrao/([^/]+)""))"),"Jardim Novo Mundo")</f>
        <v>Jardim Novo Mundo</v>
      </c>
    </row>
    <row r="3471" customFormat="false" ht="15.75" hidden="false" customHeight="false" outlineLevel="0" collapsed="false">
      <c r="A3471" s="2" t="n">
        <v>120215</v>
      </c>
      <c r="B3471" s="2" t="s">
        <v>1668</v>
      </c>
      <c r="C3471" s="2" t="n">
        <v>2</v>
      </c>
      <c r="D3471" s="2" t="n">
        <v>2</v>
      </c>
      <c r="E3471" s="2" t="n">
        <v>1</v>
      </c>
      <c r="F3471" s="2" t="n">
        <v>83</v>
      </c>
      <c r="G3471" s="2" t="s">
        <v>595</v>
      </c>
      <c r="H3471" s="2" t="str">
        <f aca="false">IFERROR(__xludf.dummyfunction("IF(I3507="""", """", REGEXEXTRACT(I3507, ""Padrao/([^/]+)""))"),"Jardim Paulistano")</f>
        <v>Jardim Paulistano</v>
      </c>
    </row>
    <row r="3472" customFormat="false" ht="15.75" hidden="false" customHeight="false" outlineLevel="0" collapsed="false">
      <c r="A3472" s="2" t="n">
        <v>119978</v>
      </c>
      <c r="B3472" s="2" t="s">
        <v>2808</v>
      </c>
      <c r="C3472" s="2" t="n">
        <v>1</v>
      </c>
      <c r="D3472" s="2" t="n">
        <v>1</v>
      </c>
      <c r="E3472" s="2" t="n">
        <v>1</v>
      </c>
      <c r="F3472" s="2" t="n">
        <v>55</v>
      </c>
      <c r="G3472" s="2" t="s">
        <v>595</v>
      </c>
      <c r="H3472" s="2" t="str">
        <f aca="false">IFERROR(__xludf.dummyfunction("IF(I3508="""", """", REGEXEXTRACT(I3508, ""Padrao/([^/]+)""))"),"Centro")</f>
        <v>Centro</v>
      </c>
    </row>
    <row r="3473" customFormat="false" ht="15.75" hidden="false" customHeight="false" outlineLevel="0" collapsed="false">
      <c r="A3473" s="2" t="n">
        <v>119150</v>
      </c>
      <c r="B3473" s="2" t="s">
        <v>2809</v>
      </c>
      <c r="C3473" s="2" t="n">
        <v>1</v>
      </c>
      <c r="D3473" s="2" t="n">
        <v>1</v>
      </c>
      <c r="E3473" s="2" t="n">
        <v>1</v>
      </c>
      <c r="F3473" s="2" t="n">
        <v>45</v>
      </c>
      <c r="G3473" s="2" t="s">
        <v>595</v>
      </c>
      <c r="H3473" s="2" t="str">
        <f aca="false">IFERROR(__xludf.dummyfunction("IF(I3509="""", """", REGEXEXTRACT(I3509, ""Padrao/([^/]+)""))"),"Nova Alianca")</f>
        <v>Nova Alianca</v>
      </c>
    </row>
    <row r="3474" customFormat="false" ht="15.75" hidden="false" customHeight="false" outlineLevel="0" collapsed="false">
      <c r="A3474" s="2" t="n">
        <v>119126</v>
      </c>
      <c r="B3474" s="2" t="s">
        <v>2809</v>
      </c>
      <c r="C3474" s="2" t="n">
        <v>1</v>
      </c>
      <c r="D3474" s="2" t="n">
        <v>1</v>
      </c>
      <c r="E3474" s="2" t="n">
        <v>1</v>
      </c>
      <c r="F3474" s="2" t="n">
        <v>45</v>
      </c>
      <c r="G3474" s="2" t="s">
        <v>595</v>
      </c>
      <c r="H3474" s="2" t="str">
        <f aca="false">IFERROR(__xludf.dummyfunction("IF(I3510="""", """", REGEXEXTRACT(I3510, ""Padrao/([^/]+)""))"),"Nova Alianca")</f>
        <v>Nova Alianca</v>
      </c>
    </row>
    <row r="3475" customFormat="false" ht="15.75" hidden="false" customHeight="false" outlineLevel="0" collapsed="false">
      <c r="A3475" s="2" t="n">
        <v>119120</v>
      </c>
      <c r="B3475" s="2" t="s">
        <v>2809</v>
      </c>
      <c r="C3475" s="2" t="n">
        <v>1</v>
      </c>
      <c r="D3475" s="2" t="n">
        <v>1</v>
      </c>
      <c r="E3475" s="2" t="n">
        <v>1</v>
      </c>
      <c r="F3475" s="2" t="n">
        <v>45</v>
      </c>
      <c r="G3475" s="2" t="s">
        <v>595</v>
      </c>
      <c r="H3475" s="2" t="str">
        <f aca="false">IFERROR(__xludf.dummyfunction("IF(I3511="""", """", REGEXEXTRACT(I3511, ""Padrao/([^/]+)""))"),"Nova Alianca")</f>
        <v>Nova Alianca</v>
      </c>
    </row>
    <row r="3476" customFormat="false" ht="15.75" hidden="false" customHeight="false" outlineLevel="0" collapsed="false">
      <c r="A3476" s="2" t="n">
        <v>118925</v>
      </c>
      <c r="B3476" s="2" t="s">
        <v>2810</v>
      </c>
      <c r="C3476" s="2" t="n">
        <v>3</v>
      </c>
      <c r="D3476" s="2" t="n">
        <v>2</v>
      </c>
      <c r="E3476" s="2" t="n">
        <v>1</v>
      </c>
      <c r="F3476" s="2" t="n">
        <v>84</v>
      </c>
      <c r="G3476" s="2" t="s">
        <v>595</v>
      </c>
      <c r="H3476" s="2" t="str">
        <f aca="false">IFERROR(__xludf.dummyfunction("IF(I3512="""", """", REGEXEXTRACT(I3512, ""Padrao/([^/]+)""))"),"Vila Monte Alegre")</f>
        <v>Vila Monte Alegre</v>
      </c>
    </row>
    <row r="3477" customFormat="false" ht="15.75" hidden="false" customHeight="false" outlineLevel="0" collapsed="false">
      <c r="A3477" s="2" t="n">
        <v>116492</v>
      </c>
      <c r="B3477" s="2" t="s">
        <v>162</v>
      </c>
      <c r="C3477" s="2" t="n">
        <v>2</v>
      </c>
      <c r="D3477" s="2" t="n">
        <v>1</v>
      </c>
      <c r="E3477" s="2" t="n">
        <v>1</v>
      </c>
      <c r="F3477" s="2" t="n">
        <v>76</v>
      </c>
      <c r="G3477" s="2" t="s">
        <v>595</v>
      </c>
      <c r="H3477" s="2" t="str">
        <f aca="false">IFERROR(__xludf.dummyfunction("IF(I3513="""", """", REGEXEXTRACT(I3513, ""Padrao/([^/]+)""))"),"Vila Seixas")</f>
        <v>Vila Seixas</v>
      </c>
    </row>
    <row r="3478" customFormat="false" ht="15.75" hidden="false" customHeight="false" outlineLevel="0" collapsed="false">
      <c r="A3478" s="2" t="n">
        <v>116132</v>
      </c>
      <c r="B3478" s="2" t="s">
        <v>2811</v>
      </c>
      <c r="C3478" s="2" t="n">
        <v>3</v>
      </c>
      <c r="D3478" s="2" t="n">
        <v>2</v>
      </c>
      <c r="E3478" s="2" t="n">
        <v>1</v>
      </c>
      <c r="F3478" s="2" t="n">
        <v>86</v>
      </c>
      <c r="G3478" s="2" t="s">
        <v>595</v>
      </c>
      <c r="H3478" s="2" t="str">
        <f aca="false">IFERROR(__xludf.dummyfunction("IF(I3514="""", """", REGEXEXTRACT(I3514, ""Padrao/([^/]+)""))"),"Jardim Interlagos")</f>
        <v>Jardim Interlagos</v>
      </c>
    </row>
    <row r="3479" customFormat="false" ht="15.75" hidden="false" customHeight="false" outlineLevel="0" collapsed="false">
      <c r="A3479" s="2" t="n">
        <v>113399</v>
      </c>
      <c r="B3479" s="2" t="s">
        <v>2812</v>
      </c>
      <c r="C3479" s="2" t="n">
        <v>2</v>
      </c>
      <c r="D3479" s="2" t="n">
        <v>2</v>
      </c>
      <c r="E3479" s="2" t="n">
        <v>2</v>
      </c>
      <c r="F3479" s="2" t="n">
        <v>85</v>
      </c>
      <c r="G3479" s="2" t="s">
        <v>595</v>
      </c>
      <c r="H3479" s="2" t="str">
        <f aca="false">IFERROR(__xludf.dummyfunction("IF(I3515="""", """", REGEXEXTRACT(I3515, ""Padrao/([^/]+)""))"),"Jardim Antartica")</f>
        <v>Jardim Antartica</v>
      </c>
    </row>
    <row r="3480" customFormat="false" ht="15.75" hidden="false" customHeight="false" outlineLevel="0" collapsed="false">
      <c r="A3480" s="2" t="n">
        <v>112700</v>
      </c>
      <c r="B3480" s="2" t="s">
        <v>1305</v>
      </c>
      <c r="C3480" s="2" t="n">
        <v>2</v>
      </c>
      <c r="D3480" s="2" t="n">
        <v>2</v>
      </c>
      <c r="E3480" s="2" t="n">
        <v>1</v>
      </c>
      <c r="F3480" s="2" t="n">
        <v>65</v>
      </c>
      <c r="G3480" s="2" t="s">
        <v>595</v>
      </c>
      <c r="H3480" s="2" t="str">
        <f aca="false">IFERROR(__xludf.dummyfunction("IF(I3516="""", """", REGEXEXTRACT(I3516, ""Padrao/([^/]+)""))"),"Vila Maria Luiza")</f>
        <v>Vila Maria Luiza</v>
      </c>
    </row>
    <row r="3481" customFormat="false" ht="15.75" hidden="false" customHeight="false" outlineLevel="0" collapsed="false">
      <c r="A3481" s="2" t="n">
        <v>112508</v>
      </c>
      <c r="B3481" s="2" t="s">
        <v>461</v>
      </c>
      <c r="C3481" s="2" t="n">
        <v>2</v>
      </c>
      <c r="D3481" s="2" t="n">
        <v>2</v>
      </c>
      <c r="E3481" s="2" t="n">
        <v>1</v>
      </c>
      <c r="F3481" s="2" t="n">
        <v>78</v>
      </c>
      <c r="G3481" s="2" t="s">
        <v>595</v>
      </c>
      <c r="H3481" s="2" t="str">
        <f aca="false">IFERROR(__xludf.dummyfunction("IF(I3517="""", """", REGEXEXTRACT(I3517, ""Padrao/([^/]+)""))"),"Alto da Boa Vista")</f>
        <v>Alto da Boa Vista</v>
      </c>
    </row>
    <row r="3482" customFormat="false" ht="15.75" hidden="false" customHeight="false" outlineLevel="0" collapsed="false">
      <c r="A3482" s="2" t="n">
        <v>106409</v>
      </c>
      <c r="B3482" s="2" t="s">
        <v>2813</v>
      </c>
      <c r="C3482" s="2" t="n">
        <v>1</v>
      </c>
      <c r="D3482" s="2" t="n">
        <v>1</v>
      </c>
      <c r="E3482" s="2" t="n">
        <v>1</v>
      </c>
      <c r="F3482" s="2" t="n">
        <v>60</v>
      </c>
      <c r="G3482" s="2" t="s">
        <v>595</v>
      </c>
      <c r="H3482" s="2" t="str">
        <f aca="false">IFERROR(__xludf.dummyfunction("IF(I3518="""", """", REGEXEXTRACT(I3518, ""Padrao/([^/]+)""))"),"City Ribeirao")</f>
        <v>City Ribeirao</v>
      </c>
    </row>
    <row r="3483" customFormat="false" ht="15.75" hidden="false" customHeight="false" outlineLevel="0" collapsed="false">
      <c r="A3483" s="2" t="n">
        <v>99869</v>
      </c>
      <c r="B3483" s="2" t="s">
        <v>1431</v>
      </c>
      <c r="C3483" s="2" t="n">
        <v>1</v>
      </c>
      <c r="D3483" s="2" t="n">
        <v>1</v>
      </c>
      <c r="E3483" s="2" t="n">
        <v>1</v>
      </c>
      <c r="F3483" s="2" t="n">
        <v>45</v>
      </c>
      <c r="G3483" s="2" t="s">
        <v>595</v>
      </c>
      <c r="H3483" s="2" t="str">
        <f aca="false">IFERROR(__xludf.dummyfunction("IF(I3520="""", """", REGEXEXTRACT(I3520, ""Padrao/([^/]+)""))"),"Nova Alianca")</f>
        <v>Nova Alianca</v>
      </c>
    </row>
    <row r="3484" customFormat="false" ht="15.75" hidden="false" customHeight="false" outlineLevel="0" collapsed="false">
      <c r="A3484" s="2" t="n">
        <v>97877</v>
      </c>
      <c r="B3484" s="2" t="s">
        <v>1746</v>
      </c>
      <c r="C3484" s="2" t="n">
        <v>1</v>
      </c>
      <c r="D3484" s="2" t="n">
        <v>1</v>
      </c>
      <c r="E3484" s="2" t="n">
        <v>1</v>
      </c>
      <c r="F3484" s="2" t="n">
        <v>48</v>
      </c>
      <c r="G3484" s="2" t="s">
        <v>595</v>
      </c>
      <c r="H3484" s="2" t="str">
        <f aca="false">IFERROR(__xludf.dummyfunction("IF(I3521="""", """", REGEXEXTRACT(I3521, ""Padrao/([^/]+)""))"),"Nova Alianca")</f>
        <v>Nova Alianca</v>
      </c>
    </row>
    <row r="3485" customFormat="false" ht="15.75" hidden="false" customHeight="false" outlineLevel="0" collapsed="false">
      <c r="A3485" s="2" t="n">
        <v>96665</v>
      </c>
      <c r="B3485" s="2" t="s">
        <v>162</v>
      </c>
      <c r="C3485" s="2" t="n">
        <v>2</v>
      </c>
      <c r="D3485" s="2" t="n">
        <v>1</v>
      </c>
      <c r="E3485" s="2" t="n">
        <v>1</v>
      </c>
      <c r="F3485" s="2" t="n">
        <v>65</v>
      </c>
      <c r="G3485" s="2" t="s">
        <v>595</v>
      </c>
      <c r="H3485" s="2" t="str">
        <f aca="false">IFERROR(__xludf.dummyfunction("IF(I3522="""", """", REGEXEXTRACT(I3522, ""Padrao/([^/]+)""))"),"Vila Ana Maria")</f>
        <v>Vila Ana Maria</v>
      </c>
    </row>
    <row r="3486" customFormat="false" ht="15.75" hidden="false" customHeight="false" outlineLevel="0" collapsed="false">
      <c r="A3486" s="2" t="n">
        <v>95870</v>
      </c>
      <c r="B3486" s="2" t="s">
        <v>602</v>
      </c>
      <c r="C3486" s="2" t="n">
        <v>2</v>
      </c>
      <c r="D3486" s="2" t="n">
        <v>3</v>
      </c>
      <c r="E3486" s="2" t="n">
        <v>1</v>
      </c>
      <c r="F3486" s="2" t="n">
        <v>95</v>
      </c>
      <c r="G3486" s="2" t="s">
        <v>595</v>
      </c>
      <c r="H3486" s="2" t="str">
        <f aca="false">IFERROR(__xludf.dummyfunction("IF(I3523="""", """", REGEXEXTRACT(I3523, ""Padrao/([^/]+)""))"),"Centro")</f>
        <v>Centro</v>
      </c>
    </row>
    <row r="3487" customFormat="false" ht="15.75" hidden="false" customHeight="false" outlineLevel="0" collapsed="false">
      <c r="A3487" s="2" t="n">
        <v>94127</v>
      </c>
      <c r="B3487" s="2" t="s">
        <v>2814</v>
      </c>
      <c r="C3487" s="2" t="n">
        <v>2</v>
      </c>
      <c r="D3487" s="2" t="n">
        <v>2</v>
      </c>
      <c r="E3487" s="2" t="n">
        <v>1</v>
      </c>
      <c r="F3487" s="2" t="n">
        <v>94</v>
      </c>
      <c r="G3487" s="2" t="s">
        <v>595</v>
      </c>
      <c r="H3487" s="2" t="str">
        <f aca="false">IFERROR(__xludf.dummyfunction("IF(I3524="""", """", REGEXEXTRACT(I3524, ""Padrao/([^/]+)""))"),"Centro")</f>
        <v>Centro</v>
      </c>
    </row>
    <row r="3488" customFormat="false" ht="15.75" hidden="false" customHeight="false" outlineLevel="0" collapsed="false">
      <c r="A3488" s="2" t="n">
        <v>93056</v>
      </c>
      <c r="B3488" s="2" t="s">
        <v>2815</v>
      </c>
      <c r="C3488" s="2" t="n">
        <v>3</v>
      </c>
      <c r="D3488" s="2" t="n">
        <v>1</v>
      </c>
      <c r="E3488" s="2" t="n">
        <v>1</v>
      </c>
      <c r="F3488" s="2" t="n">
        <v>71</v>
      </c>
      <c r="G3488" s="2" t="s">
        <v>595</v>
      </c>
      <c r="H3488" s="2" t="str">
        <f aca="false">IFERROR(__xludf.dummyfunction("IF(I3525="""", """", REGEXEXTRACT(I3525, ""Padrao/([^/]+)""))"),"Independencia")</f>
        <v>Independencia</v>
      </c>
    </row>
    <row r="3489" customFormat="false" ht="15.75" hidden="false" customHeight="false" outlineLevel="0" collapsed="false">
      <c r="A3489" s="2" t="n">
        <v>91046</v>
      </c>
      <c r="B3489" s="2" t="s">
        <v>2392</v>
      </c>
      <c r="C3489" s="2" t="n">
        <v>2</v>
      </c>
      <c r="D3489" s="2" t="n">
        <v>1</v>
      </c>
      <c r="E3489" s="2" t="n">
        <v>1</v>
      </c>
      <c r="F3489" s="2" t="n">
        <v>71</v>
      </c>
      <c r="G3489" s="2" t="s">
        <v>595</v>
      </c>
      <c r="H3489" s="2" t="str">
        <f aca="false">IFERROR(__xludf.dummyfunction("IF(I3526="""", """", REGEXEXTRACT(I3526, ""Padrao/([^/]+)""))"),"Alto da Boa Vista")</f>
        <v>Alto da Boa Vista</v>
      </c>
    </row>
    <row r="3490" customFormat="false" ht="15.75" hidden="false" customHeight="false" outlineLevel="0" collapsed="false">
      <c r="A3490" s="2" t="n">
        <v>90743</v>
      </c>
      <c r="B3490" s="2" t="s">
        <v>2816</v>
      </c>
      <c r="C3490" s="2" t="n">
        <v>2</v>
      </c>
      <c r="D3490" s="2" t="n">
        <v>1</v>
      </c>
      <c r="E3490" s="2" t="n">
        <v>1</v>
      </c>
      <c r="F3490" s="2" t="n">
        <v>54</v>
      </c>
      <c r="G3490" s="2" t="s">
        <v>595</v>
      </c>
      <c r="H3490" s="2" t="str">
        <f aca="false">IFERROR(__xludf.dummyfunction("IF(I3527="""", """", REGEXEXTRACT(I3527, ""Padrao/([^/]+)""))"),"Vila Monte Alegre")</f>
        <v>Vila Monte Alegre</v>
      </c>
    </row>
    <row r="3491" customFormat="false" ht="15.75" hidden="false" customHeight="false" outlineLevel="0" collapsed="false">
      <c r="A3491" s="2" t="n">
        <v>87041</v>
      </c>
      <c r="B3491" s="2" t="s">
        <v>2817</v>
      </c>
      <c r="C3491" s="2" t="n">
        <v>3</v>
      </c>
      <c r="D3491" s="2" t="n">
        <v>2</v>
      </c>
      <c r="E3491" s="2" t="n">
        <v>1</v>
      </c>
      <c r="F3491" s="2" t="n">
        <v>85</v>
      </c>
      <c r="G3491" s="2" t="s">
        <v>595</v>
      </c>
      <c r="H3491" s="2" t="str">
        <f aca="false">IFERROR(__xludf.dummyfunction("IF(I3528="""", """", REGEXEXTRACT(I3528, ""Padrao/([^/]+)""))"),"Jardim Sao Luiz")</f>
        <v>Jardim Sao Luiz</v>
      </c>
    </row>
    <row r="3492" customFormat="false" ht="15.75" hidden="false" customHeight="false" outlineLevel="0" collapsed="false">
      <c r="A3492" s="2" t="n">
        <v>86462</v>
      </c>
      <c r="B3492" s="2" t="s">
        <v>2818</v>
      </c>
      <c r="C3492" s="2" t="n">
        <v>2</v>
      </c>
      <c r="D3492" s="2" t="n">
        <v>2</v>
      </c>
      <c r="E3492" s="2" t="n">
        <v>1</v>
      </c>
      <c r="F3492" s="2" t="n">
        <v>87</v>
      </c>
      <c r="G3492" s="2" t="s">
        <v>595</v>
      </c>
      <c r="H3492" s="2" t="str">
        <f aca="false">IFERROR(__xludf.dummyfunction("IF(I3529="""", """", REGEXEXTRACT(I3529, ""Padrao/([^/]+)""))"),"Residencial Greenville")</f>
        <v>Residencial Greenville</v>
      </c>
    </row>
    <row r="3493" customFormat="false" ht="15.75" hidden="false" customHeight="false" outlineLevel="0" collapsed="false">
      <c r="A3493" s="2" t="n">
        <v>83075</v>
      </c>
      <c r="B3493" s="2" t="s">
        <v>2819</v>
      </c>
      <c r="C3493" s="2" t="n">
        <v>1</v>
      </c>
      <c r="D3493" s="2" t="n">
        <v>1</v>
      </c>
      <c r="E3493" s="2" t="n">
        <v>1</v>
      </c>
      <c r="F3493" s="2" t="n">
        <v>50</v>
      </c>
      <c r="G3493" s="2" t="s">
        <v>595</v>
      </c>
      <c r="H3493" s="2" t="str">
        <f aca="false">IFERROR(__xludf.dummyfunction("IF(I3530="""", """", REGEXEXTRACT(I3530, ""Padrao/([^/]+)""))"),"Jardim Botanico")</f>
        <v>Jardim Botanico</v>
      </c>
    </row>
    <row r="3494" customFormat="false" ht="15.75" hidden="false" customHeight="false" outlineLevel="0" collapsed="false">
      <c r="A3494" s="2" t="n">
        <v>82754</v>
      </c>
      <c r="B3494" s="2" t="s">
        <v>2820</v>
      </c>
      <c r="C3494" s="2" t="n">
        <v>1</v>
      </c>
      <c r="D3494" s="2" t="n">
        <v>1</v>
      </c>
      <c r="E3494" s="2" t="n">
        <v>1</v>
      </c>
      <c r="F3494" s="2" t="n">
        <v>44</v>
      </c>
      <c r="G3494" s="2" t="s">
        <v>595</v>
      </c>
      <c r="H3494" s="2" t="str">
        <f aca="false">IFERROR(__xludf.dummyfunction("IF(I3531="""", """", REGEXEXTRACT(I3531, ""Padrao/([^/]+)""))"),"Nova Alianca")</f>
        <v>Nova Alianca</v>
      </c>
    </row>
    <row r="3495" customFormat="false" ht="15.75" hidden="false" customHeight="false" outlineLevel="0" collapsed="false">
      <c r="A3495" s="2" t="n">
        <v>81263</v>
      </c>
      <c r="B3495" s="2" t="s">
        <v>2821</v>
      </c>
      <c r="C3495" s="2" t="n">
        <v>2</v>
      </c>
      <c r="D3495" s="2" t="n">
        <v>2</v>
      </c>
      <c r="E3495" s="2" t="n">
        <v>1</v>
      </c>
      <c r="F3495" s="2" t="n">
        <v>60</v>
      </c>
      <c r="G3495" s="2" t="s">
        <v>595</v>
      </c>
      <c r="H3495" s="2" t="str">
        <f aca="false">IFERROR(__xludf.dummyfunction("IF(I3533="""", """", REGEXEXTRACT(I3533, ""Padrao/([^/]+)""))"),"Residencial Greenville")</f>
        <v>Residencial Greenville</v>
      </c>
    </row>
    <row r="3496" customFormat="false" ht="15.75" hidden="false" customHeight="false" outlineLevel="0" collapsed="false">
      <c r="A3496" s="2" t="n">
        <v>58979</v>
      </c>
      <c r="B3496" s="2" t="s">
        <v>2822</v>
      </c>
      <c r="C3496" s="2" t="n">
        <v>3</v>
      </c>
      <c r="D3496" s="2" t="n">
        <v>1</v>
      </c>
      <c r="E3496" s="2" t="n">
        <v>1</v>
      </c>
      <c r="F3496" s="2" t="n">
        <v>70</v>
      </c>
      <c r="G3496" s="2" t="s">
        <v>595</v>
      </c>
      <c r="H3496" s="2" t="str">
        <f aca="false">IFERROR(__xludf.dummyfunction("IF(I3534="""", """", REGEXEXTRACT(I3534, ""Padrao/([^/]+)""))"),"Independencia")</f>
        <v>Independencia</v>
      </c>
    </row>
    <row r="3497" customFormat="false" ht="15.75" hidden="false" customHeight="false" outlineLevel="0" collapsed="false">
      <c r="A3497" s="2" t="n">
        <v>58478</v>
      </c>
      <c r="B3497" s="2" t="s">
        <v>958</v>
      </c>
      <c r="C3497" s="2" t="n">
        <v>2</v>
      </c>
      <c r="D3497" s="2" t="n">
        <v>1</v>
      </c>
      <c r="E3497" s="2" t="n">
        <v>1</v>
      </c>
      <c r="F3497" s="2" t="n">
        <v>55</v>
      </c>
      <c r="G3497" s="2" t="s">
        <v>595</v>
      </c>
      <c r="H3497" s="2" t="str">
        <f aca="false">IFERROR(__xludf.dummyfunction("IF(I3535="""", """", REGEXEXTRACT(I3535, ""Padrao/([^/]+)""))"),"Parque Industrial Lagoinha")</f>
        <v>Parque Industrial Lagoinha</v>
      </c>
    </row>
    <row r="3498" customFormat="false" ht="15.75" hidden="false" customHeight="false" outlineLevel="0" collapsed="false">
      <c r="A3498" s="2" t="n">
        <v>58454</v>
      </c>
      <c r="B3498" s="2" t="s">
        <v>2823</v>
      </c>
      <c r="C3498" s="2" t="n">
        <v>1</v>
      </c>
      <c r="D3498" s="2" t="n">
        <v>1</v>
      </c>
      <c r="E3498" s="2" t="n">
        <v>1</v>
      </c>
      <c r="F3498" s="2" t="n">
        <v>45</v>
      </c>
      <c r="G3498" s="2" t="s">
        <v>595</v>
      </c>
      <c r="H3498" s="2" t="str">
        <f aca="false">IFERROR(__xludf.dummyfunction("IF(I3536="""", """", REGEXEXTRACT(I3536, ""Padrao/([^/]+)""))"),"Jardim Paulista")</f>
        <v>Jardim Paulista</v>
      </c>
    </row>
    <row r="3499" customFormat="false" ht="15.75" hidden="false" customHeight="false" outlineLevel="0" collapsed="false">
      <c r="A3499" s="2" t="n">
        <v>51491</v>
      </c>
      <c r="B3499" s="2" t="s">
        <v>2824</v>
      </c>
      <c r="C3499" s="2" t="n">
        <v>2</v>
      </c>
      <c r="D3499" s="2" t="n">
        <v>2</v>
      </c>
      <c r="E3499" s="2" t="n">
        <v>2</v>
      </c>
      <c r="F3499" s="2" t="n">
        <v>68</v>
      </c>
      <c r="G3499" s="2" t="s">
        <v>595</v>
      </c>
      <c r="H3499" s="2" t="str">
        <f aca="false">IFERROR(__xludf.dummyfunction("IF(I3537="""", """", REGEXEXTRACT(I3537, ""Padrao/([^/]+)""))"),"Jardim Iraja")</f>
        <v>Jardim Iraja</v>
      </c>
    </row>
    <row r="3500" customFormat="false" ht="15.75" hidden="false" customHeight="false" outlineLevel="0" collapsed="false">
      <c r="A3500" s="2" t="n">
        <v>49511</v>
      </c>
      <c r="B3500" s="2" t="s">
        <v>2825</v>
      </c>
      <c r="C3500" s="2" t="n">
        <v>1</v>
      </c>
      <c r="D3500" s="2" t="n">
        <v>1</v>
      </c>
      <c r="E3500" s="2" t="n">
        <v>1</v>
      </c>
      <c r="F3500" s="2" t="n">
        <v>45</v>
      </c>
      <c r="G3500" s="2" t="s">
        <v>595</v>
      </c>
      <c r="H3500" s="2" t="str">
        <f aca="false">IFERROR(__xludf.dummyfunction("IF(I3538="""", """", REGEXEXTRACT(I3538, ""Padrao/([^/]+)""))"),"Jardim Paulista")</f>
        <v>Jardim Paulista</v>
      </c>
    </row>
    <row r="3501" customFormat="false" ht="15.75" hidden="false" customHeight="false" outlineLevel="0" collapsed="false">
      <c r="A3501" s="2" t="n">
        <v>36668</v>
      </c>
      <c r="B3501" s="2" t="s">
        <v>2826</v>
      </c>
      <c r="C3501" s="2" t="n">
        <v>3</v>
      </c>
      <c r="D3501" s="2" t="n">
        <v>3</v>
      </c>
      <c r="E3501" s="2" t="n">
        <v>1</v>
      </c>
      <c r="F3501" s="2" t="n">
        <v>116</v>
      </c>
      <c r="G3501" s="2" t="s">
        <v>595</v>
      </c>
      <c r="H3501" s="2" t="str">
        <f aca="false">IFERROR(__xludf.dummyfunction("IF(I3539="""", """", REGEXEXTRACT(I3539, ""Padrao/([^/]+)""))"),"Jardim Paulista")</f>
        <v>Jardim Paulista</v>
      </c>
    </row>
    <row r="3502" customFormat="false" ht="15.75" hidden="false" customHeight="false" outlineLevel="0" collapsed="false">
      <c r="A3502" s="2" t="n">
        <v>22028</v>
      </c>
      <c r="B3502" s="2" t="s">
        <v>2827</v>
      </c>
      <c r="C3502" s="2" t="n">
        <v>1</v>
      </c>
      <c r="D3502" s="2" t="n">
        <v>1</v>
      </c>
      <c r="E3502" s="2" t="n">
        <v>1</v>
      </c>
      <c r="F3502" s="2" t="n">
        <v>45</v>
      </c>
      <c r="G3502" s="2" t="s">
        <v>595</v>
      </c>
      <c r="H3502" s="2" t="str">
        <f aca="false">IFERROR(__xludf.dummyfunction("IF(I3540="""", """", REGEXEXTRACT(I3540, ""Padrao/([^/]+)""))"),"Jardim Paulista")</f>
        <v>Jardim Paulista</v>
      </c>
    </row>
    <row r="3503" customFormat="false" ht="15.75" hidden="false" customHeight="false" outlineLevel="0" collapsed="false">
      <c r="A3503" s="2" t="n">
        <v>203336</v>
      </c>
      <c r="B3503" s="2" t="s">
        <v>2828</v>
      </c>
      <c r="C3503" s="2" t="n">
        <v>2</v>
      </c>
      <c r="D3503" s="2" t="n">
        <v>2</v>
      </c>
      <c r="E3503" s="2" t="n">
        <v>1</v>
      </c>
      <c r="F3503" s="2" t="n">
        <v>55</v>
      </c>
      <c r="G3503" s="2" t="s">
        <v>2829</v>
      </c>
      <c r="H3503" s="2" t="str">
        <f aca="false">IFERROR(__xludf.dummyfunction("IF(I3541="""", """", REGEXEXTRACT(I3541, ""Padrao/([^/]+)""))"),"Alto da Boa Vista")</f>
        <v>Alto da Boa Vista</v>
      </c>
    </row>
    <row r="3504" customFormat="false" ht="15.75" hidden="false" customHeight="false" outlineLevel="0" collapsed="false">
      <c r="A3504" s="2" t="n">
        <v>136913</v>
      </c>
      <c r="B3504" s="2" t="s">
        <v>2493</v>
      </c>
      <c r="C3504" s="2" t="n">
        <v>2</v>
      </c>
      <c r="D3504" s="2" t="n">
        <v>1</v>
      </c>
      <c r="E3504" s="2" t="n">
        <v>1</v>
      </c>
      <c r="F3504" s="2" t="n">
        <v>65</v>
      </c>
      <c r="G3504" s="2" t="s">
        <v>2830</v>
      </c>
      <c r="H3504" s="2" t="str">
        <f aca="false">IFERROR(__xludf.dummyfunction("IF(I3542="""", """", REGEXEXTRACT(I3542, ""Padrao/([^/]+)""))"),"Jardim Novo Mundo")</f>
        <v>Jardim Novo Mundo</v>
      </c>
    </row>
    <row r="3505" customFormat="false" ht="15.75" hidden="false" customHeight="false" outlineLevel="0" collapsed="false">
      <c r="A3505" s="2" t="n">
        <v>136883</v>
      </c>
      <c r="B3505" s="2" t="s">
        <v>2493</v>
      </c>
      <c r="C3505" s="2" t="n">
        <v>2</v>
      </c>
      <c r="D3505" s="2" t="n">
        <v>1</v>
      </c>
      <c r="E3505" s="2" t="n">
        <v>1</v>
      </c>
      <c r="F3505" s="2" t="n">
        <v>50</v>
      </c>
      <c r="G3505" s="2" t="s">
        <v>2830</v>
      </c>
      <c r="H3505" s="2" t="str">
        <f aca="false">IFERROR(__xludf.dummyfunction("IF(I3543="""", """", REGEXEXTRACT(I3543, ""Padrao/([^/]+)""))"),"Jardim Novo Mundo")</f>
        <v>Jardim Novo Mundo</v>
      </c>
    </row>
    <row r="3506" customFormat="false" ht="15.75" hidden="false" customHeight="false" outlineLevel="0" collapsed="false">
      <c r="A3506" s="2" t="n">
        <v>225653</v>
      </c>
      <c r="B3506" s="2" t="s">
        <v>2831</v>
      </c>
      <c r="C3506" s="2" t="n">
        <v>2</v>
      </c>
      <c r="D3506" s="2" t="n">
        <v>2</v>
      </c>
      <c r="E3506" s="2" t="n">
        <v>1</v>
      </c>
      <c r="F3506" s="2" t="n">
        <v>66</v>
      </c>
      <c r="G3506" s="2" t="s">
        <v>2832</v>
      </c>
      <c r="H3506" s="2" t="str">
        <f aca="false">IFERROR(__xludf.dummyfunction("IF(I3544="""", """", REGEXEXTRACT(I3544, ""Padrao/([^/]+)""))"),"Residencial e Comercial Palmares")</f>
        <v>Residencial e Comercial Palmares</v>
      </c>
    </row>
    <row r="3507" customFormat="false" ht="15.75" hidden="false" customHeight="false" outlineLevel="0" collapsed="false">
      <c r="A3507" s="2" t="n">
        <v>201725</v>
      </c>
      <c r="B3507" s="2" t="s">
        <v>2833</v>
      </c>
      <c r="C3507" s="2" t="n">
        <v>2</v>
      </c>
      <c r="D3507" s="2" t="n">
        <v>1</v>
      </c>
      <c r="E3507" s="2" t="n">
        <v>1</v>
      </c>
      <c r="F3507" s="2" t="n">
        <v>48</v>
      </c>
      <c r="G3507" s="2" t="s">
        <v>2834</v>
      </c>
      <c r="H3507" s="2" t="str">
        <f aca="false">IFERROR(__xludf.dummyfunction("IF(I3545="""", """", REGEXEXTRACT(I3545, ""Padrao/([^/]+)""))"),"Jardim Paulistano")</f>
        <v>Jardim Paulistano</v>
      </c>
    </row>
    <row r="3508" customFormat="false" ht="15.75" hidden="false" customHeight="false" outlineLevel="0" collapsed="false">
      <c r="A3508" s="2" t="n">
        <v>167669</v>
      </c>
      <c r="B3508" s="2" t="s">
        <v>2835</v>
      </c>
      <c r="C3508" s="2" t="n">
        <v>3</v>
      </c>
      <c r="D3508" s="2" t="n">
        <v>2</v>
      </c>
      <c r="E3508" s="2" t="n">
        <v>1</v>
      </c>
      <c r="F3508" s="2" t="n">
        <v>92</v>
      </c>
      <c r="G3508" s="2" t="s">
        <v>2834</v>
      </c>
      <c r="H3508" s="2" t="str">
        <f aca="false">IFERROR(__xludf.dummyfunction("IF(I3546="""", """", REGEXEXTRACT(I3546, ""Padrao/([^/]+)""))"),"Jardim Sumare")</f>
        <v>Jardim Sumare</v>
      </c>
    </row>
    <row r="3509" customFormat="false" ht="15.75" hidden="false" customHeight="false" outlineLevel="0" collapsed="false">
      <c r="A3509" s="2" t="n">
        <v>226826</v>
      </c>
      <c r="B3509" s="2" t="s">
        <v>2836</v>
      </c>
      <c r="C3509" s="2" t="n">
        <v>1</v>
      </c>
      <c r="D3509" s="2" t="n">
        <v>1</v>
      </c>
      <c r="E3509" s="2" t="n">
        <v>1</v>
      </c>
      <c r="F3509" s="2" t="n">
        <v>54</v>
      </c>
      <c r="G3509" s="2" t="s">
        <v>549</v>
      </c>
      <c r="H3509" s="2" t="str">
        <f aca="false">IFERROR(__xludf.dummyfunction("IF(I3547="""", """", REGEXEXTRACT(I3547, ""Padrao/([^/]+)""))"),"Centro")</f>
        <v>Centro</v>
      </c>
    </row>
    <row r="3510" customFormat="false" ht="15.75" hidden="false" customHeight="false" outlineLevel="0" collapsed="false">
      <c r="A3510" s="2" t="n">
        <v>208784</v>
      </c>
      <c r="B3510" s="2" t="s">
        <v>2837</v>
      </c>
      <c r="C3510" s="2" t="n">
        <v>2</v>
      </c>
      <c r="D3510" s="2" t="n">
        <v>2</v>
      </c>
      <c r="E3510" s="2" t="n">
        <v>1</v>
      </c>
      <c r="F3510" s="2" t="n">
        <v>56</v>
      </c>
      <c r="G3510" s="2" t="s">
        <v>564</v>
      </c>
      <c r="H3510" s="2" t="str">
        <f aca="false">IFERROR(__xludf.dummyfunction("IF(I3548="""", """", REGEXEXTRACT(I3548, ""Padrao/([^/]+)""))"),"Chacaras Pedro Correa de Carvalho")</f>
        <v>Chacaras Pedro Correa de Carvalho</v>
      </c>
    </row>
    <row r="3511" customFormat="false" ht="15.75" hidden="false" customHeight="false" outlineLevel="0" collapsed="false">
      <c r="A3511" s="2" t="n">
        <v>194672</v>
      </c>
      <c r="B3511" s="2" t="s">
        <v>2299</v>
      </c>
      <c r="C3511" s="2" t="n">
        <v>2</v>
      </c>
      <c r="D3511" s="2" t="n">
        <v>1</v>
      </c>
      <c r="E3511" s="2" t="n">
        <v>1</v>
      </c>
      <c r="F3511" s="2" t="n">
        <v>48</v>
      </c>
      <c r="G3511" s="2" t="s">
        <v>564</v>
      </c>
      <c r="H3511" s="2" t="str">
        <f aca="false">IFERROR(__xludf.dummyfunction("IF(I3549="""", """", REGEXEXTRACT(I3549, ""Padrao/([^/]+)""))"),"Jardim Paulistano")</f>
        <v>Jardim Paulistano</v>
      </c>
    </row>
    <row r="3512" customFormat="false" ht="15.75" hidden="false" customHeight="false" outlineLevel="0" collapsed="false">
      <c r="A3512" s="2" t="n">
        <v>245312</v>
      </c>
      <c r="B3512" s="2" t="s">
        <v>1924</v>
      </c>
      <c r="C3512" s="2" t="n">
        <v>2</v>
      </c>
      <c r="D3512" s="2" t="n">
        <v>1</v>
      </c>
      <c r="E3512" s="2" t="n">
        <v>1</v>
      </c>
      <c r="F3512" s="2" t="n">
        <v>47</v>
      </c>
      <c r="G3512" s="2" t="s">
        <v>1524</v>
      </c>
      <c r="H3512" s="2" t="str">
        <f aca="false">IFERROR(__xludf.dummyfunction("IF(I3550="""", """", REGEXEXTRACT(I3550, ""Padrao/([^/]+)""))"),"Quinta da Primavera")</f>
        <v>Quinta da Primavera</v>
      </c>
    </row>
    <row r="3513" customFormat="false" ht="15.75" hidden="false" customHeight="false" outlineLevel="0" collapsed="false">
      <c r="A3513" s="2" t="n">
        <v>221042</v>
      </c>
      <c r="B3513" s="2" t="s">
        <v>2838</v>
      </c>
      <c r="C3513" s="2" t="n">
        <v>1</v>
      </c>
      <c r="D3513" s="2" t="n">
        <v>2</v>
      </c>
      <c r="E3513" s="2" t="n">
        <v>1</v>
      </c>
      <c r="F3513" s="2" t="n">
        <v>47</v>
      </c>
      <c r="G3513" s="2" t="s">
        <v>1524</v>
      </c>
      <c r="H3513" s="2" t="str">
        <f aca="false">IFERROR(__xludf.dummyfunction("IF(I3551="""", """", REGEXEXTRACT(I3551, ""Padrao/([^/]+)""))"),"Nova Alianca")</f>
        <v>Nova Alianca</v>
      </c>
    </row>
    <row r="3514" customFormat="false" ht="15.75" hidden="false" customHeight="false" outlineLevel="0" collapsed="false">
      <c r="A3514" s="2" t="n">
        <v>218987</v>
      </c>
      <c r="B3514" s="2" t="s">
        <v>2839</v>
      </c>
      <c r="C3514" s="2" t="n">
        <v>2</v>
      </c>
      <c r="D3514" s="2" t="n">
        <v>2</v>
      </c>
      <c r="E3514" s="2" t="n">
        <v>1</v>
      </c>
      <c r="F3514" s="2" t="n">
        <v>57</v>
      </c>
      <c r="G3514" s="2" t="s">
        <v>1524</v>
      </c>
      <c r="H3514" s="2" t="str">
        <f aca="false">IFERROR(__xludf.dummyfunction("IF(I3552="""", """", REGEXEXTRACT(I3552, ""Padrao/([^/]+)""))"),"Ipiranga")</f>
        <v>Ipiranga</v>
      </c>
    </row>
    <row r="3515" customFormat="false" ht="15.75" hidden="false" customHeight="false" outlineLevel="0" collapsed="false">
      <c r="A3515" s="2" t="n">
        <v>205556</v>
      </c>
      <c r="B3515" s="2" t="s">
        <v>2839</v>
      </c>
      <c r="C3515" s="2" t="n">
        <v>2</v>
      </c>
      <c r="D3515" s="2" t="n">
        <v>2</v>
      </c>
      <c r="E3515" s="2" t="n">
        <v>1</v>
      </c>
      <c r="F3515" s="2" t="n">
        <v>57</v>
      </c>
      <c r="G3515" s="2" t="s">
        <v>1524</v>
      </c>
      <c r="H3515" s="2" t="str">
        <f aca="false">IFERROR(__xludf.dummyfunction("IF(I3553="""", """", REGEXEXTRACT(I3553, ""Padrao/([^/]+)""))"),"Ipiranga")</f>
        <v>Ipiranga</v>
      </c>
    </row>
    <row r="3516" customFormat="false" ht="15.75" hidden="false" customHeight="false" outlineLevel="0" collapsed="false">
      <c r="A3516" s="2" t="n">
        <v>148178</v>
      </c>
      <c r="B3516" s="2" t="s">
        <v>2840</v>
      </c>
      <c r="C3516" s="2" t="n">
        <v>2</v>
      </c>
      <c r="D3516" s="2" t="n">
        <v>2</v>
      </c>
      <c r="E3516" s="2" t="n">
        <v>2</v>
      </c>
      <c r="F3516" s="2" t="n">
        <v>77</v>
      </c>
      <c r="G3516" s="2" t="s">
        <v>1524</v>
      </c>
      <c r="H3516" s="2" t="str">
        <f aca="false">IFERROR(__xludf.dummyfunction("IF(I3554="""", """", REGEXEXTRACT(I3554, ""Padrao/([^/]+)""))"),"Residencial e Comercial Palmares")</f>
        <v>Residencial e Comercial Palmares</v>
      </c>
    </row>
    <row r="3517" customFormat="false" ht="15.75" hidden="false" customHeight="false" outlineLevel="0" collapsed="false">
      <c r="A3517" s="2" t="n">
        <v>148004</v>
      </c>
      <c r="B3517" s="2" t="s">
        <v>2764</v>
      </c>
      <c r="C3517" s="2" t="n">
        <v>3</v>
      </c>
      <c r="D3517" s="2" t="n">
        <v>2</v>
      </c>
      <c r="E3517" s="2" t="n">
        <v>2</v>
      </c>
      <c r="F3517" s="2" t="n">
        <v>82</v>
      </c>
      <c r="G3517" s="2" t="s">
        <v>1524</v>
      </c>
      <c r="H3517" s="2" t="str">
        <f aca="false">IFERROR(__xludf.dummyfunction("IF(I3555="""", """", REGEXEXTRACT(I3555, ""Padrao/([^/]+)""))"),"Jardim Castelo Branco")</f>
        <v>Jardim Castelo Branco</v>
      </c>
    </row>
    <row r="3518" customFormat="false" ht="15.75" hidden="false" customHeight="false" outlineLevel="0" collapsed="false">
      <c r="A3518" s="2" t="n">
        <v>23948</v>
      </c>
      <c r="B3518" s="2" t="s">
        <v>2841</v>
      </c>
      <c r="C3518" s="2" t="n">
        <v>1</v>
      </c>
      <c r="D3518" s="2" t="n">
        <v>1</v>
      </c>
      <c r="E3518" s="2" t="n">
        <v>1</v>
      </c>
      <c r="F3518" s="2" t="n">
        <v>45</v>
      </c>
      <c r="G3518" s="2" t="s">
        <v>1524</v>
      </c>
      <c r="H3518" s="2" t="str">
        <f aca="false">IFERROR(__xludf.dummyfunction("IF(I3556="""", """", REGEXEXTRACT(I3556, ""Padrao/([^/]+)""))"),"Jardim Iraja")</f>
        <v>Jardim Iraja</v>
      </c>
    </row>
    <row r="3519" customFormat="false" ht="15.75" hidden="false" customHeight="false" outlineLevel="0" collapsed="false">
      <c r="A3519" s="2" t="n">
        <v>170957</v>
      </c>
      <c r="B3519" s="2" t="s">
        <v>2842</v>
      </c>
      <c r="C3519" s="2" t="n">
        <v>2</v>
      </c>
      <c r="D3519" s="2" t="n">
        <v>1</v>
      </c>
      <c r="E3519" s="2" t="n">
        <v>1</v>
      </c>
      <c r="F3519" s="2" t="n">
        <v>48</v>
      </c>
      <c r="G3519" s="2" t="s">
        <v>2843</v>
      </c>
      <c r="H3519" s="2" t="str">
        <f aca="false">IFERROR(__xludf.dummyfunction("IF(I3557="""", """", REGEXEXTRACT(I3557, ""Padrao/([^/]+)""))"),"Vila Virginia")</f>
        <v>Vila Virginia</v>
      </c>
    </row>
    <row r="3520" customFormat="false" ht="15.75" hidden="false" customHeight="false" outlineLevel="0" collapsed="false">
      <c r="A3520" s="2" t="n">
        <v>218990</v>
      </c>
      <c r="B3520" s="2" t="s">
        <v>2839</v>
      </c>
      <c r="C3520" s="2" t="n">
        <v>2</v>
      </c>
      <c r="D3520" s="2" t="n">
        <v>2</v>
      </c>
      <c r="E3520" s="2" t="n">
        <v>1</v>
      </c>
      <c r="F3520" s="2" t="n">
        <v>57</v>
      </c>
      <c r="G3520" s="2" t="s">
        <v>2844</v>
      </c>
      <c r="H3520" s="2" t="str">
        <f aca="false">IFERROR(__xludf.dummyfunction("IF(I3558="""", """", REGEXEXTRACT(I3558, ""Padrao/([^/]+)""))"),"Ipiranga")</f>
        <v>Ipiranga</v>
      </c>
    </row>
    <row r="3521" customFormat="false" ht="15.75" hidden="false" customHeight="false" outlineLevel="0" collapsed="false">
      <c r="A3521" s="2" t="n">
        <v>180836</v>
      </c>
      <c r="B3521" s="2" t="s">
        <v>748</v>
      </c>
      <c r="C3521" s="2" t="n">
        <v>2</v>
      </c>
      <c r="D3521" s="2" t="n">
        <v>1</v>
      </c>
      <c r="E3521" s="2" t="n">
        <v>1</v>
      </c>
      <c r="F3521" s="2" t="n">
        <v>56</v>
      </c>
      <c r="G3521" s="2" t="s">
        <v>554</v>
      </c>
      <c r="H3521" s="2" t="str">
        <f aca="false">IFERROR(__xludf.dummyfunction("IF(I3559="""", """", REGEXEXTRACT(I3559, ""Padrao/([^/]+)""))"),"Parque Sao Sebastiao")</f>
        <v>Parque Sao Sebastiao</v>
      </c>
    </row>
    <row r="3522" customFormat="false" ht="15.75" hidden="false" customHeight="false" outlineLevel="0" collapsed="false">
      <c r="A3522" s="2" t="n">
        <v>203879</v>
      </c>
      <c r="B3522" s="2" t="s">
        <v>2845</v>
      </c>
      <c r="C3522" s="2" t="n">
        <v>2</v>
      </c>
      <c r="D3522" s="2" t="n">
        <v>1</v>
      </c>
      <c r="E3522" s="2" t="n">
        <v>1</v>
      </c>
      <c r="F3522" s="2" t="n">
        <v>50</v>
      </c>
      <c r="G3522" s="2" t="s">
        <v>2846</v>
      </c>
      <c r="H3522" s="2" t="str">
        <f aca="false">IFERROR(__xludf.dummyfunction("IF(I3560="""", """", REGEXEXTRACT(I3560, ""Padrao/([^/]+)""))"),"Jardim Novo Mundo")</f>
        <v>Jardim Novo Mundo</v>
      </c>
    </row>
    <row r="3523" customFormat="false" ht="15.75" hidden="false" customHeight="false" outlineLevel="0" collapsed="false">
      <c r="A3523" s="2" t="n">
        <v>157598</v>
      </c>
      <c r="B3523" s="2" t="s">
        <v>2178</v>
      </c>
      <c r="C3523" s="2" t="n">
        <v>2</v>
      </c>
      <c r="D3523" s="2" t="n">
        <v>1</v>
      </c>
      <c r="E3523" s="2" t="n">
        <v>1</v>
      </c>
      <c r="F3523" s="2" t="n">
        <v>46</v>
      </c>
      <c r="G3523" s="2" t="s">
        <v>2847</v>
      </c>
      <c r="H3523" s="2" t="str">
        <f aca="false">IFERROR(__xludf.dummyfunction("IF(I3561="""", """", REGEXEXTRACT(I3561, ""Padrao/([^/]+)""))"),"Jardim Manoel Penna")</f>
        <v>Jardim Manoel Penna</v>
      </c>
    </row>
    <row r="3524" customFormat="false" ht="15.75" hidden="false" customHeight="false" outlineLevel="0" collapsed="false">
      <c r="A3524" s="2" t="n">
        <v>147020</v>
      </c>
      <c r="B3524" s="2" t="s">
        <v>2848</v>
      </c>
      <c r="C3524" s="2" t="n">
        <v>2</v>
      </c>
      <c r="D3524" s="2" t="n">
        <v>1</v>
      </c>
      <c r="E3524" s="2" t="n">
        <v>1</v>
      </c>
      <c r="F3524" s="2" t="n">
        <v>84</v>
      </c>
      <c r="G3524" s="2" t="s">
        <v>564</v>
      </c>
      <c r="H3524" s="2" t="str">
        <f aca="false">IFERROR(__xludf.dummyfunction("IF(I3562="""", """", REGEXEXTRACT(I3562, ""Padrao/([^/]+)""))"),"Centro")</f>
        <v>Centro</v>
      </c>
    </row>
    <row r="3525" customFormat="false" ht="15.75" hidden="false" customHeight="false" outlineLevel="0" collapsed="false">
      <c r="A3525" s="2" t="n">
        <v>192440</v>
      </c>
      <c r="B3525" s="2" t="s">
        <v>1221</v>
      </c>
      <c r="C3525" s="2" t="n">
        <v>2</v>
      </c>
      <c r="D3525" s="2" t="n">
        <v>1</v>
      </c>
      <c r="E3525" s="2" t="n">
        <v>1</v>
      </c>
      <c r="F3525" s="2" t="n">
        <v>51</v>
      </c>
      <c r="G3525" s="2" t="s">
        <v>573</v>
      </c>
      <c r="H3525" s="2" t="str">
        <f aca="false">IFERROR(__xludf.dummyfunction("IF(I3563="""", """", REGEXEXTRACT(I3563, ""Padrao/([^/]+)""))"),"Loteamento Santa Marta")</f>
        <v>Loteamento Santa Marta</v>
      </c>
    </row>
    <row r="3526" customFormat="false" ht="15.75" hidden="false" customHeight="false" outlineLevel="0" collapsed="false">
      <c r="A3526" s="2" t="n">
        <v>139823</v>
      </c>
      <c r="B3526" s="2" t="s">
        <v>2849</v>
      </c>
      <c r="C3526" s="2" t="n">
        <v>2</v>
      </c>
      <c r="D3526" s="2" t="n">
        <v>2</v>
      </c>
      <c r="E3526" s="2" t="n">
        <v>1</v>
      </c>
      <c r="F3526" s="2" t="n">
        <v>73</v>
      </c>
      <c r="G3526" s="2" t="s">
        <v>2565</v>
      </c>
      <c r="H3526" s="2" t="str">
        <f aca="false">IFERROR(__xludf.dummyfunction("IF(I3564="""", """", REGEXEXTRACT(I3564, ""Padrao/([^/]+)""))"),"Jardim Palma Travassos")</f>
        <v>Jardim Palma Travassos</v>
      </c>
    </row>
    <row r="3527" customFormat="false" ht="15.75" hidden="false" customHeight="false" outlineLevel="0" collapsed="false">
      <c r="A3527" s="2" t="n">
        <v>69680</v>
      </c>
      <c r="B3527" s="2" t="s">
        <v>2850</v>
      </c>
      <c r="C3527" s="2" t="n">
        <v>3</v>
      </c>
      <c r="D3527" s="2" t="n">
        <v>2</v>
      </c>
      <c r="E3527" s="2" t="n">
        <v>2</v>
      </c>
      <c r="F3527" s="2" t="n">
        <v>101</v>
      </c>
      <c r="G3527" s="2" t="s">
        <v>2646</v>
      </c>
      <c r="H3527" s="2" t="str">
        <f aca="false">IFERROR(__xludf.dummyfunction("IF(I3565="""", """", REGEXEXTRACT(I3565, ""Padrao/([^/]+)""))"),"Campos Eliseos")</f>
        <v>Campos Eliseos</v>
      </c>
    </row>
    <row r="3528" customFormat="false" ht="15.75" hidden="false" customHeight="false" outlineLevel="0" collapsed="false">
      <c r="A3528" s="2" t="n">
        <v>200363</v>
      </c>
      <c r="B3528" s="2" t="s">
        <v>2395</v>
      </c>
      <c r="C3528" s="2" t="n">
        <v>1</v>
      </c>
      <c r="D3528" s="2" t="n">
        <v>1</v>
      </c>
      <c r="E3528" s="2" t="n">
        <v>1</v>
      </c>
      <c r="F3528" s="2" t="n">
        <v>39</v>
      </c>
      <c r="G3528" s="2" t="s">
        <v>2851</v>
      </c>
      <c r="H3528" s="2" t="str">
        <f aca="false">IFERROR(__xludf.dummyfunction("IF(I3566="""", """", REGEXEXTRACT(I3566, ""Padrao/([^/]+)""))"),"Jardim Palma Travassos")</f>
        <v>Jardim Palma Travassos</v>
      </c>
    </row>
    <row r="3529" customFormat="false" ht="15.75" hidden="false" customHeight="false" outlineLevel="0" collapsed="false">
      <c r="A3529" s="2" t="n">
        <v>197534</v>
      </c>
      <c r="B3529" s="2" t="s">
        <v>2852</v>
      </c>
      <c r="C3529" s="2" t="n">
        <v>2</v>
      </c>
      <c r="D3529" s="2" t="n">
        <v>1</v>
      </c>
      <c r="E3529" s="2" t="n">
        <v>1</v>
      </c>
      <c r="F3529" s="2" t="n">
        <v>48</v>
      </c>
      <c r="G3529" s="2" t="s">
        <v>2851</v>
      </c>
      <c r="H3529" s="2" t="str">
        <f aca="false">IFERROR(__xludf.dummyfunction("IF(I3567="""", """", REGEXEXTRACT(I3567, ""Padrao/([^/]+)""))"),"Jardim Paulistano")</f>
        <v>Jardim Paulistano</v>
      </c>
    </row>
    <row r="3530" customFormat="false" ht="15.75" hidden="false" customHeight="false" outlineLevel="0" collapsed="false">
      <c r="A3530" s="2" t="n">
        <v>142895</v>
      </c>
      <c r="B3530" s="2" t="s">
        <v>2853</v>
      </c>
      <c r="C3530" s="2" t="n">
        <v>2</v>
      </c>
      <c r="D3530" s="2" t="n">
        <v>1</v>
      </c>
      <c r="E3530" s="2" t="n">
        <v>1</v>
      </c>
      <c r="F3530" s="2" t="n">
        <v>52</v>
      </c>
      <c r="G3530" s="2" t="s">
        <v>2851</v>
      </c>
      <c r="H3530" s="2" t="str">
        <f aca="false">IFERROR(__xludf.dummyfunction("IF(I3568="""", """", REGEXEXTRACT(I3568, ""Padrao/([^/]+)""))"),"Residencial Greenville")</f>
        <v>Residencial Greenville</v>
      </c>
    </row>
    <row r="3531" customFormat="false" ht="15.75" hidden="false" customHeight="false" outlineLevel="0" collapsed="false">
      <c r="A3531" s="2" t="n">
        <v>217865</v>
      </c>
      <c r="B3531" s="2" t="s">
        <v>2854</v>
      </c>
      <c r="C3531" s="2" t="n">
        <v>1</v>
      </c>
      <c r="D3531" s="2" t="n">
        <v>1</v>
      </c>
      <c r="E3531" s="2" t="n">
        <v>1</v>
      </c>
      <c r="F3531" s="2" t="n">
        <v>29</v>
      </c>
      <c r="G3531" s="2" t="s">
        <v>2855</v>
      </c>
      <c r="H3531" s="2" t="str">
        <f aca="false">IFERROR(__xludf.dummyfunction("IF(I3569="""", """", REGEXEXTRACT(I3569, ""Padrao/([^/]+)""))"),"Vila Tiberio")</f>
        <v>Vila Tiberio</v>
      </c>
    </row>
    <row r="3532" customFormat="false" ht="15.75" hidden="false" customHeight="false" outlineLevel="0" collapsed="false">
      <c r="A3532" s="2" t="n">
        <v>212552</v>
      </c>
      <c r="B3532" s="2" t="s">
        <v>2856</v>
      </c>
      <c r="C3532" s="2" t="n">
        <v>2</v>
      </c>
      <c r="D3532" s="2" t="n">
        <v>2</v>
      </c>
      <c r="E3532" s="2" t="n">
        <v>1</v>
      </c>
      <c r="F3532" s="2" t="n">
        <v>84</v>
      </c>
      <c r="G3532" s="2" t="s">
        <v>2857</v>
      </c>
      <c r="H3532" s="2" t="str">
        <f aca="false">IFERROR(__xludf.dummyfunction("IF(I3570="""", """", REGEXEXTRACT(I3570, ""Padrao/([^/]+)""))"),"Residencial Florida")</f>
        <v>Residencial Florida</v>
      </c>
    </row>
    <row r="3533" customFormat="false" ht="15.75" hidden="false" customHeight="false" outlineLevel="0" collapsed="false">
      <c r="A3533" s="2" t="n">
        <v>208274</v>
      </c>
      <c r="B3533" s="2" t="s">
        <v>2858</v>
      </c>
      <c r="C3533" s="2" t="n">
        <v>2</v>
      </c>
      <c r="D3533" s="2" t="n">
        <v>2</v>
      </c>
      <c r="E3533" s="2" t="n">
        <v>1</v>
      </c>
      <c r="F3533" s="2" t="n">
        <v>48</v>
      </c>
      <c r="G3533" s="2" t="s">
        <v>2857</v>
      </c>
      <c r="H3533" s="2" t="str">
        <f aca="false">IFERROR(__xludf.dummyfunction("IF(I3571="""", """", REGEXEXTRACT(I3571, ""Padrao/([^/]+)""))"),"Quintas de Sao Jose")</f>
        <v>Quintas de Sao Jose</v>
      </c>
    </row>
    <row r="3534" customFormat="false" ht="15.75" hidden="false" customHeight="false" outlineLevel="0" collapsed="false">
      <c r="A3534" s="2" t="n">
        <v>116987</v>
      </c>
      <c r="B3534" s="2" t="s">
        <v>2859</v>
      </c>
      <c r="C3534" s="2" t="n">
        <v>2</v>
      </c>
      <c r="D3534" s="2" t="n">
        <v>3</v>
      </c>
      <c r="E3534" s="2" t="n">
        <v>1</v>
      </c>
      <c r="F3534" s="2" t="n">
        <v>102</v>
      </c>
      <c r="G3534" s="2" t="s">
        <v>2857</v>
      </c>
      <c r="H3534" s="2" t="str">
        <f aca="false">IFERROR(__xludf.dummyfunction("IF(I3572="""", """", REGEXEXTRACT(I3572, ""Padrao/([^/]+)""))"),"Centro")</f>
        <v>Centro</v>
      </c>
    </row>
    <row r="3535" customFormat="false" ht="15.75" hidden="false" customHeight="false" outlineLevel="0" collapsed="false">
      <c r="A3535" s="2" t="n">
        <v>233189</v>
      </c>
      <c r="B3535" s="2" t="s">
        <v>2860</v>
      </c>
      <c r="C3535" s="2" t="n">
        <v>2</v>
      </c>
      <c r="D3535" s="2" t="n">
        <v>2</v>
      </c>
      <c r="E3535" s="2" t="n">
        <v>1</v>
      </c>
      <c r="F3535" s="2" t="n">
        <v>50</v>
      </c>
      <c r="G3535" s="2" t="s">
        <v>2861</v>
      </c>
      <c r="H3535" s="2" t="str">
        <f aca="false">IFERROR(__xludf.dummyfunction("IF(I3573="""", """", REGEXEXTRACT(I3573, ""Padrao/([^/]+)""))"),"Quinta da Primavera")</f>
        <v>Quinta da Primavera</v>
      </c>
    </row>
    <row r="3536" customFormat="false" ht="15.75" hidden="false" customHeight="false" outlineLevel="0" collapsed="false">
      <c r="A3536" s="2" t="n">
        <v>211298</v>
      </c>
      <c r="B3536" s="2" t="s">
        <v>2862</v>
      </c>
      <c r="C3536" s="2" t="n">
        <v>2</v>
      </c>
      <c r="D3536" s="2" t="n">
        <v>1</v>
      </c>
      <c r="E3536" s="2" t="n">
        <v>1</v>
      </c>
      <c r="F3536" s="2" t="n">
        <v>49</v>
      </c>
      <c r="G3536" s="2" t="s">
        <v>525</v>
      </c>
      <c r="H3536" s="2" t="str">
        <f aca="false">IFERROR(__xludf.dummyfunction("IF(I3574="""", """", REGEXEXTRACT(I3574, ""Padrao/([^/]+)""))"),"Ipiranga")</f>
        <v>Ipiranga</v>
      </c>
    </row>
    <row r="3537" customFormat="false" ht="15.75" hidden="false" customHeight="false" outlineLevel="0" collapsed="false">
      <c r="A3537" s="2" t="n">
        <v>104780</v>
      </c>
      <c r="B3537" s="2" t="s">
        <v>2863</v>
      </c>
      <c r="C3537" s="2" t="n">
        <v>3</v>
      </c>
      <c r="D3537" s="2" t="n">
        <v>2</v>
      </c>
      <c r="E3537" s="2" t="n">
        <v>1</v>
      </c>
      <c r="F3537" s="2" t="n">
        <v>75</v>
      </c>
      <c r="G3537" s="2" t="s">
        <v>566</v>
      </c>
      <c r="H3537" s="2" t="str">
        <f aca="false">IFERROR(__xludf.dummyfunction("IF(I3575="""", """", REGEXEXTRACT(I3575, ""Padrao/([^/]+)""))"),"Planalto Verde")</f>
        <v>Planalto Verde</v>
      </c>
    </row>
    <row r="3538" customFormat="false" ht="15.75" hidden="false" customHeight="false" outlineLevel="0" collapsed="false">
      <c r="A3538" s="2" t="n">
        <v>221411</v>
      </c>
      <c r="B3538" s="2" t="s">
        <v>2864</v>
      </c>
      <c r="C3538" s="2" t="n">
        <v>3</v>
      </c>
      <c r="D3538" s="2" t="n">
        <v>2</v>
      </c>
      <c r="E3538" s="2" t="n">
        <v>2</v>
      </c>
      <c r="F3538" s="2" t="n">
        <v>73</v>
      </c>
      <c r="G3538" s="2" t="s">
        <v>585</v>
      </c>
      <c r="H3538" s="2" t="str">
        <f aca="false">IFERROR(__xludf.dummyfunction("IF(I3576="""", """", REGEXEXTRACT(I3576, ""Padrao/([^/]+)""))"),"Jardim Antartica")</f>
        <v>Jardim Antartica</v>
      </c>
    </row>
    <row r="3539" customFormat="false" ht="15.75" hidden="false" customHeight="false" outlineLevel="0" collapsed="false">
      <c r="A3539" s="2" t="n">
        <v>158915</v>
      </c>
      <c r="B3539" s="2" t="s">
        <v>2865</v>
      </c>
      <c r="C3539" s="2" t="n">
        <v>3</v>
      </c>
      <c r="D3539" s="2" t="n">
        <v>2</v>
      </c>
      <c r="E3539" s="2" t="n">
        <v>1</v>
      </c>
      <c r="F3539" s="2" t="n">
        <v>97</v>
      </c>
      <c r="G3539" s="2" t="s">
        <v>2866</v>
      </c>
      <c r="H3539" s="2" t="str">
        <f aca="false">IFERROR(__xludf.dummyfunction("IF(I3577="""", """", REGEXEXTRACT(I3577, ""Padrao/([^/]+)""))"),"Jardim Paulistano")</f>
        <v>Jardim Paulistano</v>
      </c>
    </row>
    <row r="3540" customFormat="false" ht="15.75" hidden="false" customHeight="false" outlineLevel="0" collapsed="false">
      <c r="A3540" s="2" t="n">
        <v>241166</v>
      </c>
      <c r="B3540" s="2" t="s">
        <v>2867</v>
      </c>
      <c r="C3540" s="2" t="n">
        <v>2</v>
      </c>
      <c r="D3540" s="2" t="n">
        <v>1</v>
      </c>
      <c r="E3540" s="2" t="n">
        <v>1</v>
      </c>
      <c r="F3540" s="2" t="n">
        <v>63</v>
      </c>
      <c r="G3540" s="2" t="s">
        <v>609</v>
      </c>
      <c r="H3540" s="2" t="str">
        <f aca="false">IFERROR(__xludf.dummyfunction("IF(I3578="""", """", REGEXEXTRACT(I3578, ""Padrao/([^/]+)""))"),"Jardim Botanico")</f>
        <v>Jardim Botanico</v>
      </c>
    </row>
    <row r="3541" customFormat="false" ht="15.75" hidden="false" customHeight="false" outlineLevel="0" collapsed="false">
      <c r="A3541" s="2" t="n">
        <v>224123</v>
      </c>
      <c r="B3541" s="2" t="s">
        <v>2868</v>
      </c>
      <c r="C3541" s="2" t="n">
        <v>2</v>
      </c>
      <c r="D3541" s="2" t="n">
        <v>3</v>
      </c>
      <c r="E3541" s="2" t="n">
        <v>1</v>
      </c>
      <c r="F3541" s="2" t="n">
        <v>80</v>
      </c>
      <c r="G3541" s="2" t="s">
        <v>609</v>
      </c>
      <c r="H3541" s="2" t="str">
        <f aca="false">IFERROR(__xludf.dummyfunction("IF(I3579="""", """", REGEXEXTRACT(I3579, ""Padrao/([^/]+)""))"),"Centro")</f>
        <v>Centro</v>
      </c>
    </row>
    <row r="3542" customFormat="false" ht="15.75" hidden="false" customHeight="false" outlineLevel="0" collapsed="false">
      <c r="A3542" s="2" t="n">
        <v>217292</v>
      </c>
      <c r="B3542" s="2" t="s">
        <v>2869</v>
      </c>
      <c r="C3542" s="2" t="n">
        <v>2</v>
      </c>
      <c r="D3542" s="2" t="n">
        <v>1</v>
      </c>
      <c r="E3542" s="2" t="n">
        <v>1</v>
      </c>
      <c r="F3542" s="2" t="n">
        <v>47</v>
      </c>
      <c r="G3542" s="2" t="s">
        <v>609</v>
      </c>
      <c r="H3542" s="2" t="str">
        <f aca="false">IFERROR(__xludf.dummyfunction("IF(I3580="""", """", REGEXEXTRACT(I3580, ""Padrao/([^/]+)""))"),"Ipiranga")</f>
        <v>Ipiranga</v>
      </c>
    </row>
    <row r="3543" customFormat="false" ht="15.75" hidden="false" customHeight="false" outlineLevel="0" collapsed="false">
      <c r="A3543" s="2" t="n">
        <v>213104</v>
      </c>
      <c r="B3543" s="2" t="s">
        <v>2870</v>
      </c>
      <c r="C3543" s="2" t="n">
        <v>2</v>
      </c>
      <c r="D3543" s="2" t="n">
        <v>2</v>
      </c>
      <c r="E3543" s="2" t="n">
        <v>1</v>
      </c>
      <c r="F3543" s="2" t="n">
        <v>78</v>
      </c>
      <c r="G3543" s="2" t="s">
        <v>609</v>
      </c>
      <c r="H3543" s="2" t="str">
        <f aca="false">IFERROR(__xludf.dummyfunction("IF(I3581="""", """", REGEXEXTRACT(I3581, ""Padrao/([^/]+)""))"),"Alto do Ipiranga")</f>
        <v>Alto do Ipiranga</v>
      </c>
    </row>
    <row r="3544" customFormat="false" ht="15.75" hidden="false" customHeight="false" outlineLevel="0" collapsed="false">
      <c r="A3544" s="2" t="n">
        <v>212765</v>
      </c>
      <c r="B3544" s="2" t="s">
        <v>2871</v>
      </c>
      <c r="C3544" s="2" t="n">
        <v>2</v>
      </c>
      <c r="D3544" s="2" t="n">
        <v>2</v>
      </c>
      <c r="E3544" s="2" t="n">
        <v>1</v>
      </c>
      <c r="F3544" s="2" t="n">
        <v>57</v>
      </c>
      <c r="G3544" s="2" t="s">
        <v>609</v>
      </c>
      <c r="H3544" s="2" t="str">
        <f aca="false">IFERROR(__xludf.dummyfunction("IF(I3582="""", """", REGEXEXTRACT(I3582, ""Padrao/([^/]+)""))"),"Ipiranga")</f>
        <v>Ipiranga</v>
      </c>
    </row>
    <row r="3545" customFormat="false" ht="15.75" hidden="false" customHeight="false" outlineLevel="0" collapsed="false">
      <c r="A3545" s="2" t="n">
        <v>194468</v>
      </c>
      <c r="B3545" s="2" t="s">
        <v>2872</v>
      </c>
      <c r="C3545" s="2" t="n">
        <v>1</v>
      </c>
      <c r="D3545" s="2" t="n">
        <v>1</v>
      </c>
      <c r="E3545" s="2" t="n">
        <v>1</v>
      </c>
      <c r="F3545" s="2" t="n">
        <v>50</v>
      </c>
      <c r="G3545" s="2" t="s">
        <v>609</v>
      </c>
      <c r="H3545" s="2" t="str">
        <f aca="false">IFERROR(__xludf.dummyfunction("IF(I3583="""", """", REGEXEXTRACT(I3583, ""Padrao/([^/]+)""))"),"Santa Cruz do Jose Jacques")</f>
        <v>Santa Cruz do Jose Jacques</v>
      </c>
    </row>
    <row r="3546" customFormat="false" ht="15.75" hidden="false" customHeight="false" outlineLevel="0" collapsed="false">
      <c r="A3546" s="2" t="n">
        <v>179837</v>
      </c>
      <c r="B3546" s="2" t="s">
        <v>2873</v>
      </c>
      <c r="C3546" s="2" t="n">
        <v>1</v>
      </c>
      <c r="D3546" s="2" t="n">
        <v>1</v>
      </c>
      <c r="E3546" s="2" t="n">
        <v>1</v>
      </c>
      <c r="F3546" s="2" t="n">
        <v>43</v>
      </c>
      <c r="G3546" s="2" t="s">
        <v>609</v>
      </c>
      <c r="H3546" s="2" t="str">
        <f aca="false">IFERROR(__xludf.dummyfunction("IF(I3584="""", """", REGEXEXTRACT(I3584, ""Padrao/([^/]+)""))"),"Bosque das Juritis")</f>
        <v>Bosque das Juritis</v>
      </c>
    </row>
    <row r="3547" customFormat="false" ht="15.75" hidden="false" customHeight="false" outlineLevel="0" collapsed="false">
      <c r="A3547" s="2" t="n">
        <v>179333</v>
      </c>
      <c r="B3547" s="2" t="s">
        <v>2874</v>
      </c>
      <c r="C3547" s="2" t="n">
        <v>2</v>
      </c>
      <c r="D3547" s="2" t="n">
        <v>2</v>
      </c>
      <c r="E3547" s="2" t="n">
        <v>1</v>
      </c>
      <c r="F3547" s="2" t="n">
        <v>84</v>
      </c>
      <c r="G3547" s="2" t="s">
        <v>609</v>
      </c>
      <c r="H3547" s="2" t="str">
        <f aca="false">IFERROR(__xludf.dummyfunction("IF(I3585="""", """", REGEXEXTRACT(I3585, ""Padrao/([^/]+)""))"),"Vila Monte Alegre")</f>
        <v>Vila Monte Alegre</v>
      </c>
    </row>
    <row r="3548" customFormat="false" ht="15.75" hidden="false" customHeight="false" outlineLevel="0" collapsed="false">
      <c r="A3548" s="2" t="n">
        <v>179330</v>
      </c>
      <c r="B3548" s="2" t="s">
        <v>2875</v>
      </c>
      <c r="C3548" s="2" t="n">
        <v>2</v>
      </c>
      <c r="D3548" s="2" t="n">
        <v>2</v>
      </c>
      <c r="E3548" s="2" t="n">
        <v>1</v>
      </c>
      <c r="F3548" s="2" t="n">
        <v>84</v>
      </c>
      <c r="G3548" s="2" t="s">
        <v>609</v>
      </c>
      <c r="H3548" s="2" t="str">
        <f aca="false">IFERROR(__xludf.dummyfunction("IF(I3586="""", """", REGEXEXTRACT(I3586, ""Padrao/([^/]+)""))"),"Vila Monte Alegre")</f>
        <v>Vila Monte Alegre</v>
      </c>
    </row>
    <row r="3549" customFormat="false" ht="15.75" hidden="false" customHeight="false" outlineLevel="0" collapsed="false">
      <c r="A3549" s="2" t="n">
        <v>156716</v>
      </c>
      <c r="B3549" s="2" t="s">
        <v>2876</v>
      </c>
      <c r="C3549" s="2" t="n">
        <v>2</v>
      </c>
      <c r="D3549" s="2" t="n">
        <v>2</v>
      </c>
      <c r="E3549" s="2" t="n">
        <v>1</v>
      </c>
      <c r="F3549" s="2" t="n">
        <v>53</v>
      </c>
      <c r="G3549" s="2" t="s">
        <v>609</v>
      </c>
      <c r="H3549" s="2" t="str">
        <f aca="false">IFERROR(__xludf.dummyfunction("IF(I3587="""", """", REGEXEXTRACT(I3587, ""Padrao/([^/]+)""))"),"Jardim Palma Travassos")</f>
        <v>Jardim Palma Travassos</v>
      </c>
    </row>
    <row r="3550" customFormat="false" ht="15.75" hidden="false" customHeight="false" outlineLevel="0" collapsed="false">
      <c r="A3550" s="2" t="n">
        <v>156431</v>
      </c>
      <c r="B3550" s="2" t="s">
        <v>2533</v>
      </c>
      <c r="C3550" s="2" t="n">
        <v>2</v>
      </c>
      <c r="D3550" s="2" t="n">
        <v>2</v>
      </c>
      <c r="E3550" s="2" t="n">
        <v>1</v>
      </c>
      <c r="F3550" s="2" t="n">
        <v>121</v>
      </c>
      <c r="G3550" s="2" t="s">
        <v>609</v>
      </c>
      <c r="H3550" s="2" t="str">
        <f aca="false">IFERROR(__xludf.dummyfunction("IF(I3588="""", """", REGEXEXTRACT(I3588, ""Padrao/([^/]+)""))"),"Jardim Sumare")</f>
        <v>Jardim Sumare</v>
      </c>
    </row>
    <row r="3551" customFormat="false" ht="15.75" hidden="false" customHeight="false" outlineLevel="0" collapsed="false">
      <c r="A3551" s="2" t="n">
        <v>152477</v>
      </c>
      <c r="B3551" s="2" t="s">
        <v>900</v>
      </c>
      <c r="C3551" s="2" t="n">
        <v>3</v>
      </c>
      <c r="D3551" s="2" t="n">
        <v>3</v>
      </c>
      <c r="E3551" s="2" t="n">
        <v>1</v>
      </c>
      <c r="F3551" s="2" t="n">
        <v>85</v>
      </c>
      <c r="G3551" s="2" t="s">
        <v>609</v>
      </c>
      <c r="H3551" s="2" t="str">
        <f aca="false">IFERROR(__xludf.dummyfunction("IF(I3589="""", """", REGEXEXTRACT(I3589, ""Padrao/([^/]+)""))"),"Parque dos Bandeirantes")</f>
        <v>Parque dos Bandeirantes</v>
      </c>
    </row>
    <row r="3552" customFormat="false" ht="15.75" hidden="false" customHeight="false" outlineLevel="0" collapsed="false">
      <c r="A3552" s="2" t="n">
        <v>151784</v>
      </c>
      <c r="B3552" s="2" t="s">
        <v>2877</v>
      </c>
      <c r="C3552" s="2" t="n">
        <v>2</v>
      </c>
      <c r="D3552" s="2" t="n">
        <v>2</v>
      </c>
      <c r="E3552" s="2" t="n">
        <v>1</v>
      </c>
      <c r="F3552" s="2" t="n">
        <v>54</v>
      </c>
      <c r="G3552" s="2" t="s">
        <v>609</v>
      </c>
      <c r="H3552" s="2" t="str">
        <f aca="false">IFERROR(__xludf.dummyfunction("IF(I3590="""", """", REGEXEXTRACT(I3590, ""Padrao/([^/]+)""))"),"Jardim Palma Travassos")</f>
        <v>Jardim Palma Travassos</v>
      </c>
    </row>
    <row r="3553" customFormat="false" ht="15.75" hidden="false" customHeight="false" outlineLevel="0" collapsed="false">
      <c r="A3553" s="2" t="n">
        <v>149264</v>
      </c>
      <c r="B3553" s="2" t="s">
        <v>2878</v>
      </c>
      <c r="C3553" s="2" t="n">
        <v>2</v>
      </c>
      <c r="D3553" s="2" t="n">
        <v>1</v>
      </c>
      <c r="E3553" s="2" t="n">
        <v>1</v>
      </c>
      <c r="F3553" s="2" t="n">
        <v>44</v>
      </c>
      <c r="G3553" s="2" t="s">
        <v>609</v>
      </c>
      <c r="H3553" s="2" t="str">
        <f aca="false">IFERROR(__xludf.dummyfunction("IF(I3591="""", """", REGEXEXTRACT(I3591, ""Padrao/([^/]+)""))"),"Vila Guiomar")</f>
        <v>Vila Guiomar</v>
      </c>
    </row>
    <row r="3554" customFormat="false" ht="15.75" hidden="false" customHeight="false" outlineLevel="0" collapsed="false">
      <c r="A3554" s="2" t="n">
        <v>138632</v>
      </c>
      <c r="B3554" s="2" t="s">
        <v>2879</v>
      </c>
      <c r="C3554" s="2" t="n">
        <v>1</v>
      </c>
      <c r="D3554" s="2" t="n">
        <v>1</v>
      </c>
      <c r="E3554" s="2" t="n">
        <v>1</v>
      </c>
      <c r="F3554" s="2" t="n">
        <v>48</v>
      </c>
      <c r="G3554" s="2" t="s">
        <v>609</v>
      </c>
      <c r="H3554" s="2" t="str">
        <f aca="false">IFERROR(__xludf.dummyfunction("IF(I3592="""", """", REGEXEXTRACT(I3592, ""Padrao/([^/]+)""))"),"Jardim Botanico")</f>
        <v>Jardim Botanico</v>
      </c>
    </row>
    <row r="3555" customFormat="false" ht="15.75" hidden="false" customHeight="false" outlineLevel="0" collapsed="false">
      <c r="A3555" s="2" t="n">
        <v>134441</v>
      </c>
      <c r="B3555" s="2" t="s">
        <v>2880</v>
      </c>
      <c r="C3555" s="2" t="n">
        <v>2</v>
      </c>
      <c r="D3555" s="2" t="n">
        <v>1</v>
      </c>
      <c r="E3555" s="2" t="n">
        <v>1</v>
      </c>
      <c r="F3555" s="2" t="n">
        <v>49</v>
      </c>
      <c r="G3555" s="2" t="s">
        <v>609</v>
      </c>
      <c r="H3555" s="2" t="str">
        <f aca="false">IFERROR(__xludf.dummyfunction("IF(I3593="""", """", REGEXEXTRACT(I3593, ""Padrao/([^/]+)""))"),"Jardim Iraja")</f>
        <v>Jardim Iraja</v>
      </c>
    </row>
    <row r="3556" customFormat="false" ht="15.75" hidden="false" customHeight="false" outlineLevel="0" collapsed="false">
      <c r="A3556" s="2" t="n">
        <v>127706</v>
      </c>
      <c r="B3556" s="2" t="s">
        <v>2604</v>
      </c>
      <c r="C3556" s="2" t="n">
        <v>2</v>
      </c>
      <c r="D3556" s="2" t="n">
        <v>1</v>
      </c>
      <c r="E3556" s="2" t="n">
        <v>1</v>
      </c>
      <c r="F3556" s="2" t="n">
        <v>50</v>
      </c>
      <c r="G3556" s="2" t="s">
        <v>609</v>
      </c>
      <c r="H3556" s="2" t="str">
        <f aca="false">IFERROR(__xludf.dummyfunction("IF(I3594="""", """", REGEXEXTRACT(I3594, ""Padrao/([^/]+)""))"),"Jardim Anhanguera")</f>
        <v>Jardim Anhanguera</v>
      </c>
    </row>
    <row r="3557" customFormat="false" ht="15.75" hidden="false" customHeight="false" outlineLevel="0" collapsed="false">
      <c r="A3557" s="2" t="n">
        <v>124892</v>
      </c>
      <c r="B3557" s="2" t="s">
        <v>2800</v>
      </c>
      <c r="C3557" s="2" t="n">
        <v>2</v>
      </c>
      <c r="D3557" s="2" t="n">
        <v>1</v>
      </c>
      <c r="E3557" s="2" t="n">
        <v>1</v>
      </c>
      <c r="F3557" s="2" t="n">
        <v>48</v>
      </c>
      <c r="G3557" s="2" t="s">
        <v>609</v>
      </c>
      <c r="H3557" s="2" t="str">
        <f aca="false">IFERROR(__xludf.dummyfunction("IF(I3595="""", """", REGEXEXTRACT(I3595, ""Padrao/([^/]+)""))"),"Jardim Paulistano")</f>
        <v>Jardim Paulistano</v>
      </c>
    </row>
    <row r="3558" customFormat="false" ht="15.75" hidden="false" customHeight="false" outlineLevel="0" collapsed="false">
      <c r="A3558" s="2" t="n">
        <v>116909</v>
      </c>
      <c r="B3558" s="2" t="s">
        <v>2881</v>
      </c>
      <c r="C3558" s="2" t="n">
        <v>2</v>
      </c>
      <c r="D3558" s="2" t="n">
        <v>1</v>
      </c>
      <c r="E3558" s="2" t="n">
        <v>1</v>
      </c>
      <c r="F3558" s="2" t="n">
        <v>71</v>
      </c>
      <c r="G3558" s="2" t="s">
        <v>609</v>
      </c>
      <c r="H3558" s="2" t="str">
        <f aca="false">IFERROR(__xludf.dummyfunction("IF(I3596="""", """", REGEXEXTRACT(I3596, ""Padrao/([^/]+)""))"),"Jardim Paulistano")</f>
        <v>Jardim Paulistano</v>
      </c>
    </row>
    <row r="3559" customFormat="false" ht="15.75" hidden="false" customHeight="false" outlineLevel="0" collapsed="false">
      <c r="A3559" s="2" t="n">
        <v>107282</v>
      </c>
      <c r="B3559" s="2" t="s">
        <v>602</v>
      </c>
      <c r="C3559" s="2" t="n">
        <v>3</v>
      </c>
      <c r="D3559" s="2" t="n">
        <v>2</v>
      </c>
      <c r="E3559" s="2" t="n">
        <v>1</v>
      </c>
      <c r="F3559" s="2" t="n">
        <v>103</v>
      </c>
      <c r="G3559" s="2" t="s">
        <v>609</v>
      </c>
      <c r="H3559" s="2" t="str">
        <f aca="false">IFERROR(__xludf.dummyfunction("IF(I3597="""", """", REGEXEXTRACT(I3597, ""Padrao/([^/]+)""))"),"Centro")</f>
        <v>Centro</v>
      </c>
    </row>
    <row r="3560" customFormat="false" ht="15.75" hidden="false" customHeight="false" outlineLevel="0" collapsed="false">
      <c r="A3560" s="2" t="n">
        <v>102293</v>
      </c>
      <c r="B3560" s="2" t="s">
        <v>2444</v>
      </c>
      <c r="C3560" s="2" t="n">
        <v>3</v>
      </c>
      <c r="D3560" s="2" t="n">
        <v>2</v>
      </c>
      <c r="E3560" s="2" t="n">
        <v>1</v>
      </c>
      <c r="F3560" s="2" t="n">
        <v>106</v>
      </c>
      <c r="G3560" s="2" t="s">
        <v>609</v>
      </c>
      <c r="H3560" s="2" t="str">
        <f aca="false">IFERROR(__xludf.dummyfunction("IF(I3598="""", """", REGEXEXTRACT(I3598, ""Padrao/([^/]+)""))"),"Centro")</f>
        <v>Centro</v>
      </c>
    </row>
    <row r="3561" customFormat="false" ht="15.75" hidden="false" customHeight="false" outlineLevel="0" collapsed="false">
      <c r="A3561" s="2" t="n">
        <v>98768</v>
      </c>
      <c r="B3561" s="2" t="s">
        <v>2882</v>
      </c>
      <c r="C3561" s="2" t="n">
        <v>1</v>
      </c>
      <c r="D3561" s="2" t="n">
        <v>1</v>
      </c>
      <c r="E3561" s="2" t="n">
        <v>1</v>
      </c>
      <c r="F3561" s="2" t="n">
        <v>40</v>
      </c>
      <c r="G3561" s="2" t="s">
        <v>609</v>
      </c>
      <c r="H3561" s="2" t="str">
        <f aca="false">IFERROR(__xludf.dummyfunction("IF(I3599="""", """", REGEXEXTRACT(I3599, ""Padrao/([^/]+)""))"),"Bosque das Juritis")</f>
        <v>Bosque das Juritis</v>
      </c>
    </row>
    <row r="3562" customFormat="false" ht="15.75" hidden="false" customHeight="false" outlineLevel="0" collapsed="false">
      <c r="A3562" s="2" t="n">
        <v>98003</v>
      </c>
      <c r="B3562" s="2" t="s">
        <v>2000</v>
      </c>
      <c r="C3562" s="2" t="n">
        <v>1</v>
      </c>
      <c r="D3562" s="2" t="n">
        <v>1</v>
      </c>
      <c r="E3562" s="2" t="n">
        <v>1</v>
      </c>
      <c r="F3562" s="2" t="n">
        <v>40</v>
      </c>
      <c r="G3562" s="2" t="s">
        <v>609</v>
      </c>
      <c r="H3562" s="2" t="str">
        <f aca="false">IFERROR(__xludf.dummyfunction("IF(I3600="""", """", REGEXEXTRACT(I3600, ""Padrao/([^/]+)""))"),"Bosque das Juritis")</f>
        <v>Bosque das Juritis</v>
      </c>
    </row>
    <row r="3563" customFormat="false" ht="15.75" hidden="false" customHeight="false" outlineLevel="0" collapsed="false">
      <c r="A3563" s="2" t="n">
        <v>94460</v>
      </c>
      <c r="B3563" s="2" t="s">
        <v>2883</v>
      </c>
      <c r="C3563" s="2" t="n">
        <v>1</v>
      </c>
      <c r="D3563" s="2" t="n">
        <v>1</v>
      </c>
      <c r="E3563" s="2" t="n">
        <v>1</v>
      </c>
      <c r="F3563" s="2" t="n">
        <v>45</v>
      </c>
      <c r="G3563" s="2" t="s">
        <v>609</v>
      </c>
      <c r="H3563" s="2" t="str">
        <f aca="false">IFERROR(__xludf.dummyfunction("IF(I3601="""", """", REGEXEXTRACT(I3601, ""Padrao/([^/]+)""))"),"Santa Cruz do Jose Jacques")</f>
        <v>Santa Cruz do Jose Jacques</v>
      </c>
    </row>
    <row r="3564" customFormat="false" ht="15.75" hidden="false" customHeight="false" outlineLevel="0" collapsed="false">
      <c r="A3564" s="2" t="n">
        <v>92798</v>
      </c>
      <c r="B3564" s="2" t="s">
        <v>2884</v>
      </c>
      <c r="C3564" s="2" t="n">
        <v>3</v>
      </c>
      <c r="D3564" s="2" t="n">
        <v>2</v>
      </c>
      <c r="E3564" s="2" t="n">
        <v>1</v>
      </c>
      <c r="F3564" s="2" t="n">
        <v>103</v>
      </c>
      <c r="G3564" s="2" t="s">
        <v>609</v>
      </c>
      <c r="H3564" s="2" t="str">
        <f aca="false">IFERROR(__xludf.dummyfunction("IF(I3602="""", """", REGEXEXTRACT(I3602, ""Padrao/([^/]+)""))"),"Centro")</f>
        <v>Centro</v>
      </c>
    </row>
    <row r="3565" customFormat="false" ht="15.75" hidden="false" customHeight="false" outlineLevel="0" collapsed="false">
      <c r="A3565" s="2" t="n">
        <v>83954</v>
      </c>
      <c r="B3565" s="2" t="s">
        <v>2885</v>
      </c>
      <c r="C3565" s="2" t="n">
        <v>1</v>
      </c>
      <c r="D3565" s="2" t="n">
        <v>1</v>
      </c>
      <c r="E3565" s="2" t="n">
        <v>1</v>
      </c>
      <c r="F3565" s="2" t="n">
        <v>45</v>
      </c>
      <c r="G3565" s="2" t="s">
        <v>609</v>
      </c>
      <c r="H3565" s="2" t="str">
        <f aca="false">IFERROR(__xludf.dummyfunction("IF(I3603="""", """", REGEXEXTRACT(I3603, ""Padrao/([^/]+)""))"),"Santa Cruz do Jose Jacques")</f>
        <v>Santa Cruz do Jose Jacques</v>
      </c>
    </row>
    <row r="3566" customFormat="false" ht="15.75" hidden="false" customHeight="false" outlineLevel="0" collapsed="false">
      <c r="A3566" s="2" t="n">
        <v>79898</v>
      </c>
      <c r="B3566" s="2" t="s">
        <v>961</v>
      </c>
      <c r="C3566" s="2" t="n">
        <v>2</v>
      </c>
      <c r="D3566" s="2" t="n">
        <v>2</v>
      </c>
      <c r="E3566" s="2" t="n">
        <v>2</v>
      </c>
      <c r="F3566" s="2" t="n">
        <v>65</v>
      </c>
      <c r="G3566" s="2" t="s">
        <v>609</v>
      </c>
      <c r="H3566" s="2" t="str">
        <f aca="false">IFERROR(__xludf.dummyfunction("IF(I3604="""", """", REGEXEXTRACT(I3604, ""Padrao/([^/]+)""))"),"Vila Seixas")</f>
        <v>Vila Seixas</v>
      </c>
    </row>
    <row r="3567" customFormat="false" ht="15.75" hidden="false" customHeight="false" outlineLevel="0" collapsed="false">
      <c r="A3567" s="2" t="n">
        <v>78728</v>
      </c>
      <c r="B3567" s="2" t="s">
        <v>162</v>
      </c>
      <c r="C3567" s="2" t="n">
        <v>3</v>
      </c>
      <c r="D3567" s="2" t="n">
        <v>4</v>
      </c>
      <c r="E3567" s="2" t="n">
        <v>2</v>
      </c>
      <c r="F3567" s="2" t="n">
        <v>180</v>
      </c>
      <c r="G3567" s="2" t="s">
        <v>609</v>
      </c>
      <c r="H3567" s="2" t="str">
        <f aca="false">IFERROR(__xludf.dummyfunction("IF(I3605="""", """", REGEXEXTRACT(I3605, ""Padrao/([^/]+)""))"),"Ipiranga")</f>
        <v>Ipiranga</v>
      </c>
    </row>
    <row r="3568" customFormat="false" ht="15.75" hidden="false" customHeight="false" outlineLevel="0" collapsed="false">
      <c r="A3568" s="2" t="n">
        <v>75215</v>
      </c>
      <c r="B3568" s="2" t="s">
        <v>847</v>
      </c>
      <c r="C3568" s="2" t="n">
        <v>3</v>
      </c>
      <c r="D3568" s="2" t="n">
        <v>1</v>
      </c>
      <c r="E3568" s="2" t="n">
        <v>1</v>
      </c>
      <c r="F3568" s="2" t="n">
        <v>69</v>
      </c>
      <c r="G3568" s="2" t="s">
        <v>609</v>
      </c>
      <c r="H3568" s="2" t="str">
        <f aca="false">IFERROR(__xludf.dummyfunction("IF(I3606="""", """", REGEXEXTRACT(I3606, ""Padrao/([^/]+)""))"),"Jardim Paulista")</f>
        <v>Jardim Paulista</v>
      </c>
    </row>
    <row r="3569" customFormat="false" ht="15.75" hidden="false" customHeight="false" outlineLevel="0" collapsed="false">
      <c r="A3569" s="2" t="n">
        <v>174938</v>
      </c>
      <c r="B3569" s="2" t="s">
        <v>2886</v>
      </c>
      <c r="C3569" s="2" t="n">
        <v>3</v>
      </c>
      <c r="D3569" s="2" t="n">
        <v>2</v>
      </c>
      <c r="E3569" s="2" t="n">
        <v>1</v>
      </c>
      <c r="F3569" s="2" t="n">
        <v>80</v>
      </c>
      <c r="G3569" s="2" t="s">
        <v>575</v>
      </c>
      <c r="H3569" s="2" t="str">
        <f aca="false">IFERROR(__xludf.dummyfunction("IF(I3607="""", """", REGEXEXTRACT(I3607, ""Padrao/([^/]+)""))"),"Jardim Palma Travassos")</f>
        <v>Jardim Palma Travassos</v>
      </c>
    </row>
    <row r="3570" customFormat="false" ht="15.75" hidden="false" customHeight="false" outlineLevel="0" collapsed="false">
      <c r="A3570" s="2" t="n">
        <v>220994</v>
      </c>
      <c r="B3570" s="2" t="s">
        <v>2887</v>
      </c>
      <c r="C3570" s="2" t="n">
        <v>2</v>
      </c>
      <c r="D3570" s="2" t="n">
        <v>1</v>
      </c>
      <c r="E3570" s="2" t="n">
        <v>1</v>
      </c>
      <c r="F3570" s="2" t="n">
        <v>49</v>
      </c>
      <c r="G3570" s="2" t="s">
        <v>2888</v>
      </c>
      <c r="H3570" s="2" t="str">
        <f aca="false">IFERROR(__xludf.dummyfunction("IF(I3608="""", """", REGEXEXTRACT(I3608, ""Padrao/([^/]+)""))"),"Jardim Anhanguera")</f>
        <v>Jardim Anhanguera</v>
      </c>
    </row>
    <row r="3571" customFormat="false" ht="15.75" hidden="false" customHeight="false" outlineLevel="0" collapsed="false">
      <c r="A3571" s="2" t="n">
        <v>164663</v>
      </c>
      <c r="B3571" s="2" t="s">
        <v>2889</v>
      </c>
      <c r="C3571" s="2" t="n">
        <v>2</v>
      </c>
      <c r="D3571" s="2" t="n">
        <v>2</v>
      </c>
      <c r="E3571" s="2" t="n">
        <v>1</v>
      </c>
      <c r="F3571" s="2" t="n">
        <v>54</v>
      </c>
      <c r="G3571" s="2" t="s">
        <v>2888</v>
      </c>
      <c r="H3571" s="2" t="str">
        <f aca="false">IFERROR(__xludf.dummyfunction("IF(I3609="""", """", REGEXEXTRACT(I3609, ""Padrao/([^/]+)""))"),"Jardim Botanico")</f>
        <v>Jardim Botanico</v>
      </c>
    </row>
    <row r="3572" customFormat="false" ht="15.75" hidden="false" customHeight="false" outlineLevel="0" collapsed="false">
      <c r="A3572" s="2" t="n">
        <v>245363</v>
      </c>
      <c r="B3572" s="2" t="s">
        <v>2890</v>
      </c>
      <c r="C3572" s="2" t="n">
        <v>1</v>
      </c>
      <c r="D3572" s="2" t="n">
        <v>1</v>
      </c>
      <c r="E3572" s="2" t="n">
        <v>1</v>
      </c>
      <c r="F3572" s="2" t="n">
        <v>45</v>
      </c>
      <c r="G3572" s="2" t="s">
        <v>2891</v>
      </c>
      <c r="H3572" s="2" t="str">
        <f aca="false">IFERROR(__xludf.dummyfunction("IF(I3610="""", """", REGEXEXTRACT(I3610, ""Padrao/([^/]+)""))"),"Jardim Paulista")</f>
        <v>Jardim Paulista</v>
      </c>
    </row>
    <row r="3573" customFormat="false" ht="15.75" hidden="false" customHeight="false" outlineLevel="0" collapsed="false">
      <c r="A3573" s="2" t="n">
        <v>207485</v>
      </c>
      <c r="B3573" s="2" t="s">
        <v>2892</v>
      </c>
      <c r="C3573" s="2" t="n">
        <v>2</v>
      </c>
      <c r="D3573" s="2" t="n">
        <v>2</v>
      </c>
      <c r="E3573" s="2" t="n">
        <v>1</v>
      </c>
      <c r="F3573" s="2" t="n">
        <v>57</v>
      </c>
      <c r="G3573" s="2" t="s">
        <v>2891</v>
      </c>
      <c r="H3573" s="2" t="str">
        <f aca="false">IFERROR(__xludf.dummyfunction("IF(I3611="""", """", REGEXEXTRACT(I3611, ""Padrao/([^/]+)""))"),"Ipiranga")</f>
        <v>Ipiranga</v>
      </c>
    </row>
    <row r="3574" customFormat="false" ht="15.75" hidden="false" customHeight="false" outlineLevel="0" collapsed="false">
      <c r="A3574" s="2" t="n">
        <v>100427</v>
      </c>
      <c r="B3574" s="2" t="s">
        <v>2893</v>
      </c>
      <c r="C3574" s="2" t="n">
        <v>3</v>
      </c>
      <c r="D3574" s="2" t="n">
        <v>1</v>
      </c>
      <c r="E3574" s="2" t="n">
        <v>1</v>
      </c>
      <c r="F3574" s="2" t="n">
        <v>86</v>
      </c>
      <c r="G3574" s="2" t="s">
        <v>2403</v>
      </c>
      <c r="H3574" s="2" t="str">
        <f aca="false">IFERROR(__xludf.dummyfunction("IF(I3612="""", """", REGEXEXTRACT(I3612, ""Padrao/([^/]+)""))"),"Jardim Paulistano")</f>
        <v>Jardim Paulistano</v>
      </c>
    </row>
    <row r="3575" customFormat="false" ht="15.75" hidden="false" customHeight="false" outlineLevel="0" collapsed="false">
      <c r="A3575" s="2" t="n">
        <v>232700</v>
      </c>
      <c r="B3575" s="2" t="s">
        <v>2894</v>
      </c>
      <c r="C3575" s="2" t="n">
        <v>3</v>
      </c>
      <c r="D3575" s="2" t="n">
        <v>2</v>
      </c>
      <c r="E3575" s="2" t="n">
        <v>1</v>
      </c>
      <c r="F3575" s="2" t="n">
        <v>62</v>
      </c>
      <c r="G3575" s="2" t="s">
        <v>2895</v>
      </c>
      <c r="H3575" s="2" t="str">
        <f aca="false">IFERROR(__xludf.dummyfunction("IF(I3613="""", """", REGEXEXTRACT(I3613, ""Padrao/([^/]+)""))"),"Jardim Palma Travassos")</f>
        <v>Jardim Palma Travassos</v>
      </c>
    </row>
    <row r="3576" customFormat="false" ht="15.75" hidden="false" customHeight="false" outlineLevel="0" collapsed="false">
      <c r="A3576" s="2" t="n">
        <v>220991</v>
      </c>
      <c r="B3576" s="2" t="s">
        <v>2896</v>
      </c>
      <c r="C3576" s="2" t="n">
        <v>2</v>
      </c>
      <c r="D3576" s="2" t="n">
        <v>1</v>
      </c>
      <c r="E3576" s="2" t="n">
        <v>1</v>
      </c>
      <c r="F3576" s="2" t="n">
        <v>47</v>
      </c>
      <c r="G3576" s="2" t="s">
        <v>2895</v>
      </c>
      <c r="H3576" s="2" t="str">
        <f aca="false">IFERROR(__xludf.dummyfunction("IF(I3614="""", """", REGEXEXTRACT(I3614, ""Padrao/([^/]+)""))"),"Jardim Paulistano")</f>
        <v>Jardim Paulistano</v>
      </c>
    </row>
    <row r="3577" customFormat="false" ht="15.75" hidden="false" customHeight="false" outlineLevel="0" collapsed="false">
      <c r="A3577" s="2" t="n">
        <v>218999</v>
      </c>
      <c r="B3577" s="2" t="s">
        <v>2839</v>
      </c>
      <c r="C3577" s="2" t="n">
        <v>2</v>
      </c>
      <c r="D3577" s="2" t="n">
        <v>2</v>
      </c>
      <c r="E3577" s="2" t="n">
        <v>1</v>
      </c>
      <c r="F3577" s="2" t="n">
        <v>57</v>
      </c>
      <c r="G3577" s="2" t="s">
        <v>2895</v>
      </c>
      <c r="H3577" s="2" t="str">
        <f aca="false">IFERROR(__xludf.dummyfunction("IF(I3615="""", """", REGEXEXTRACT(I3615, ""Padrao/([^/]+)""))"),"Ipiranga")</f>
        <v>Ipiranga</v>
      </c>
    </row>
    <row r="3578" customFormat="false" ht="15.75" hidden="false" customHeight="false" outlineLevel="0" collapsed="false">
      <c r="A3578" s="2" t="n">
        <v>211373</v>
      </c>
      <c r="B3578" s="2" t="s">
        <v>2897</v>
      </c>
      <c r="C3578" s="2" t="n">
        <v>1</v>
      </c>
      <c r="D3578" s="2" t="n">
        <v>1</v>
      </c>
      <c r="E3578" s="2" t="n">
        <v>1</v>
      </c>
      <c r="F3578" s="2" t="n">
        <v>43</v>
      </c>
      <c r="G3578" s="2" t="s">
        <v>2895</v>
      </c>
      <c r="H3578" s="2" t="str">
        <f aca="false">IFERROR(__xludf.dummyfunction("IF(I3616="""", """", REGEXEXTRACT(I3616, ""Padrao/([^/]+)""))"),"Nova Alianca")</f>
        <v>Nova Alianca</v>
      </c>
    </row>
    <row r="3579" customFormat="false" ht="15.75" hidden="false" customHeight="false" outlineLevel="0" collapsed="false">
      <c r="A3579" s="2" t="n">
        <v>204557</v>
      </c>
      <c r="B3579" s="2" t="s">
        <v>615</v>
      </c>
      <c r="C3579" s="2" t="n">
        <v>2</v>
      </c>
      <c r="D3579" s="2" t="n">
        <v>2</v>
      </c>
      <c r="E3579" s="2" t="n">
        <v>1</v>
      </c>
      <c r="F3579" s="2" t="n">
        <v>68</v>
      </c>
      <c r="G3579" s="2" t="s">
        <v>2895</v>
      </c>
      <c r="H3579" s="2" t="str">
        <f aca="false">IFERROR(__xludf.dummyfunction("IF(I3617="""", """", REGEXEXTRACT(I3617, ""Padrao/([^/]+)""))"),"Centro")</f>
        <v>Centro</v>
      </c>
    </row>
    <row r="3580" customFormat="false" ht="15.75" hidden="false" customHeight="false" outlineLevel="0" collapsed="false">
      <c r="A3580" s="2" t="n">
        <v>142442</v>
      </c>
      <c r="B3580" s="2" t="s">
        <v>2898</v>
      </c>
      <c r="C3580" s="2" t="n">
        <v>1</v>
      </c>
      <c r="D3580" s="2" t="n">
        <v>1</v>
      </c>
      <c r="E3580" s="2" t="n">
        <v>1</v>
      </c>
      <c r="F3580" s="2" t="n">
        <v>50</v>
      </c>
      <c r="G3580" s="2" t="s">
        <v>2895</v>
      </c>
      <c r="H3580" s="2" t="str">
        <f aca="false">IFERROR(__xludf.dummyfunction("IF(I3618="""", """", REGEXEXTRACT(I3618, ""Padrao/([^/]+)""))"),"Jardim Botanico")</f>
        <v>Jardim Botanico</v>
      </c>
    </row>
    <row r="3581" customFormat="false" ht="15.75" hidden="false" customHeight="false" outlineLevel="0" collapsed="false">
      <c r="A3581" s="2" t="n">
        <v>75638</v>
      </c>
      <c r="B3581" s="2" t="s">
        <v>2899</v>
      </c>
      <c r="C3581" s="2" t="n">
        <v>2</v>
      </c>
      <c r="D3581" s="2" t="n">
        <v>2</v>
      </c>
      <c r="E3581" s="2" t="n">
        <v>2</v>
      </c>
      <c r="F3581" s="2" t="n">
        <v>63</v>
      </c>
      <c r="G3581" s="2" t="s">
        <v>2895</v>
      </c>
      <c r="H3581" s="2" t="str">
        <f aca="false">IFERROR(__xludf.dummyfunction("IF(I3619="""", """", REGEXEXTRACT(I3619, ""Padrao/([^/]+)""))"),"Jardim Botanico")</f>
        <v>Jardim Botanico</v>
      </c>
    </row>
    <row r="3582" customFormat="false" ht="15.75" hidden="false" customHeight="false" outlineLevel="0" collapsed="false">
      <c r="A3582" s="2" t="n">
        <v>41315</v>
      </c>
      <c r="B3582" s="2" t="s">
        <v>162</v>
      </c>
      <c r="C3582" s="2" t="n">
        <v>3</v>
      </c>
      <c r="D3582" s="2" t="n">
        <v>1</v>
      </c>
      <c r="E3582" s="2" t="n">
        <v>1</v>
      </c>
      <c r="F3582" s="2" t="n">
        <v>100</v>
      </c>
      <c r="G3582" s="2" t="s">
        <v>2895</v>
      </c>
      <c r="H3582" s="2" t="str">
        <f aca="false">IFERROR(__xludf.dummyfunction("IF(I3620="""", """", REGEXEXTRACT(I3620, ""Padrao/([^/]+)""))"),"Residencial e Comercial Palmares")</f>
        <v>Residencial e Comercial Palmares</v>
      </c>
    </row>
    <row r="3583" customFormat="false" ht="15.75" hidden="false" customHeight="false" outlineLevel="0" collapsed="false">
      <c r="A3583" s="2" t="n">
        <v>220139</v>
      </c>
      <c r="B3583" s="2" t="s">
        <v>2900</v>
      </c>
      <c r="C3583" s="2" t="n">
        <v>2</v>
      </c>
      <c r="D3583" s="2" t="n">
        <v>1</v>
      </c>
      <c r="E3583" s="2" t="n">
        <v>1</v>
      </c>
      <c r="F3583" s="2" t="n">
        <v>47</v>
      </c>
      <c r="G3583" s="2" t="s">
        <v>2901</v>
      </c>
      <c r="H3583" s="2" t="str">
        <f aca="false">IFERROR(__xludf.dummyfunction("IF(I3621="""", """", REGEXEXTRACT(I3621, ""Padrao/([^/]+)""))"),"Jardim Paulistano")</f>
        <v>Jardim Paulistano</v>
      </c>
    </row>
    <row r="3584" customFormat="false" ht="15.75" hidden="false" customHeight="false" outlineLevel="0" collapsed="false">
      <c r="A3584" s="2" t="n">
        <v>196397</v>
      </c>
      <c r="B3584" s="2" t="s">
        <v>602</v>
      </c>
      <c r="C3584" s="2" t="n">
        <v>1</v>
      </c>
      <c r="D3584" s="2" t="n">
        <v>1</v>
      </c>
      <c r="E3584" s="2" t="n">
        <v>1</v>
      </c>
      <c r="F3584" s="2" t="n">
        <v>43</v>
      </c>
      <c r="G3584" s="2" t="s">
        <v>554</v>
      </c>
      <c r="H3584" s="2" t="str">
        <f aca="false">IFERROR(__xludf.dummyfunction("IF(I3622="""", """", REGEXEXTRACT(I3622, ""Padrao/([^/]+)""))"),"Centro")</f>
        <v>Centro</v>
      </c>
    </row>
    <row r="3585" customFormat="false" ht="15.75" hidden="false" customHeight="false" outlineLevel="0" collapsed="false">
      <c r="A3585" s="2" t="n">
        <v>127049</v>
      </c>
      <c r="B3585" s="2" t="s">
        <v>2902</v>
      </c>
      <c r="C3585" s="2" t="n">
        <v>3</v>
      </c>
      <c r="D3585" s="2" t="n">
        <v>2</v>
      </c>
      <c r="E3585" s="2" t="n">
        <v>1</v>
      </c>
      <c r="F3585" s="2" t="n">
        <v>70</v>
      </c>
      <c r="G3585" s="2" t="s">
        <v>595</v>
      </c>
      <c r="H3585" s="2" t="str">
        <f aca="false">IFERROR(__xludf.dummyfunction("IF(I3623="""", """", REGEXEXTRACT(I3623, ""Padrao/([^/]+)""))"),"Nova Ribeirania")</f>
        <v>Nova Ribeirania</v>
      </c>
    </row>
    <row r="3586" customFormat="false" ht="15.75" hidden="false" customHeight="false" outlineLevel="0" collapsed="false">
      <c r="A3586" s="2" t="n">
        <v>236579</v>
      </c>
      <c r="B3586" s="2" t="s">
        <v>2903</v>
      </c>
      <c r="C3586" s="2" t="n">
        <v>2</v>
      </c>
      <c r="D3586" s="2" t="n">
        <v>2</v>
      </c>
      <c r="E3586" s="2" t="n">
        <v>1</v>
      </c>
      <c r="F3586" s="2" t="n">
        <v>52</v>
      </c>
      <c r="G3586" s="2" t="s">
        <v>612</v>
      </c>
      <c r="H3586" s="2" t="str">
        <f aca="false">IFERROR(__xludf.dummyfunction("IF(I3624="""", """", REGEXEXTRACT(I3624, ""Padrao/([^/]+)""))"),"Loteamento Santa Marta")</f>
        <v>Loteamento Santa Marta</v>
      </c>
    </row>
    <row r="3587" customFormat="false" ht="15.75" hidden="false" customHeight="false" outlineLevel="0" collapsed="false">
      <c r="A3587" s="2" t="n">
        <v>234053</v>
      </c>
      <c r="B3587" s="2" t="s">
        <v>2904</v>
      </c>
      <c r="C3587" s="2" t="n">
        <v>2</v>
      </c>
      <c r="D3587" s="2" t="n">
        <v>2</v>
      </c>
      <c r="E3587" s="2" t="n">
        <v>1</v>
      </c>
      <c r="F3587" s="2" t="n">
        <v>99</v>
      </c>
      <c r="G3587" s="2" t="s">
        <v>612</v>
      </c>
      <c r="H3587" s="2" t="str">
        <f aca="false">IFERROR(__xludf.dummyfunction("IF(I3625="""", """", REGEXEXTRACT(I3625, ""Padrao/([^/]+)""))"),"Centro")</f>
        <v>Centro</v>
      </c>
    </row>
    <row r="3588" customFormat="false" ht="15.75" hidden="false" customHeight="false" outlineLevel="0" collapsed="false">
      <c r="A3588" s="2" t="n">
        <v>207494</v>
      </c>
      <c r="B3588" s="2" t="s">
        <v>2905</v>
      </c>
      <c r="C3588" s="2" t="n">
        <v>2</v>
      </c>
      <c r="D3588" s="2" t="n">
        <v>2</v>
      </c>
      <c r="E3588" s="2" t="n">
        <v>1</v>
      </c>
      <c r="F3588" s="2" t="n">
        <v>57</v>
      </c>
      <c r="G3588" s="2" t="s">
        <v>612</v>
      </c>
      <c r="H3588" s="2" t="str">
        <f aca="false">IFERROR(__xludf.dummyfunction("IF(I3626="""", """", REGEXEXTRACT(I3626, ""Padrao/([^/]+)""))"),"Ipiranga")</f>
        <v>Ipiranga</v>
      </c>
    </row>
    <row r="3589" customFormat="false" ht="15.75" hidden="false" customHeight="false" outlineLevel="0" collapsed="false">
      <c r="A3589" s="2" t="n">
        <v>198419</v>
      </c>
      <c r="B3589" s="2" t="s">
        <v>1394</v>
      </c>
      <c r="C3589" s="2" t="n">
        <v>2</v>
      </c>
      <c r="D3589" s="2" t="n">
        <v>2</v>
      </c>
      <c r="E3589" s="2" t="n">
        <v>2</v>
      </c>
      <c r="F3589" s="2" t="n">
        <v>110</v>
      </c>
      <c r="G3589" s="2" t="s">
        <v>612</v>
      </c>
      <c r="H3589" s="2" t="str">
        <f aca="false">IFERROR(__xludf.dummyfunction("IF(I3627="""", """", REGEXEXTRACT(I3627, ""Padrao/([^/]+)""))"),"Presidente Medici")</f>
        <v>Presidente Medici</v>
      </c>
    </row>
    <row r="3590" customFormat="false" ht="15.75" hidden="false" customHeight="false" outlineLevel="0" collapsed="false">
      <c r="A3590" s="2" t="n">
        <v>198281</v>
      </c>
      <c r="B3590" s="2" t="s">
        <v>1648</v>
      </c>
      <c r="C3590" s="2" t="n">
        <v>1</v>
      </c>
      <c r="D3590" s="2" t="n">
        <v>1</v>
      </c>
      <c r="E3590" s="2" t="n">
        <v>1</v>
      </c>
      <c r="F3590" s="2" t="n">
        <v>41</v>
      </c>
      <c r="G3590" s="2" t="s">
        <v>612</v>
      </c>
      <c r="H3590" s="2" t="str">
        <f aca="false">IFERROR(__xludf.dummyfunction("IF(I3628="""", """", REGEXEXTRACT(I3628, ""Padrao/([^/]+)""))"),"Nova Alianca")</f>
        <v>Nova Alianca</v>
      </c>
    </row>
    <row r="3591" customFormat="false" ht="15.75" hidden="false" customHeight="false" outlineLevel="0" collapsed="false">
      <c r="A3591" s="2" t="n">
        <v>191810</v>
      </c>
      <c r="B3591" s="2" t="s">
        <v>2906</v>
      </c>
      <c r="C3591" s="2" t="n">
        <v>1</v>
      </c>
      <c r="D3591" s="2" t="n">
        <v>1</v>
      </c>
      <c r="E3591" s="2" t="n">
        <v>1</v>
      </c>
      <c r="F3591" s="2" t="n">
        <v>49</v>
      </c>
      <c r="G3591" s="2" t="s">
        <v>612</v>
      </c>
      <c r="H3591" s="2" t="str">
        <f aca="false">IFERROR(__xludf.dummyfunction("IF(I3629="""", """", REGEXEXTRACT(I3629, ""Padrao/([^/]+)""))"),"Nova Alianca")</f>
        <v>Nova Alianca</v>
      </c>
    </row>
    <row r="3592" customFormat="false" ht="15.75" hidden="false" customHeight="false" outlineLevel="0" collapsed="false">
      <c r="A3592" s="2" t="n">
        <v>160319</v>
      </c>
      <c r="B3592" s="2" t="s">
        <v>2907</v>
      </c>
      <c r="C3592" s="2" t="n">
        <v>3</v>
      </c>
      <c r="D3592" s="2" t="n">
        <v>3</v>
      </c>
      <c r="E3592" s="2" t="n">
        <v>1</v>
      </c>
      <c r="F3592" s="2" t="n">
        <v>96</v>
      </c>
      <c r="G3592" s="2" t="s">
        <v>612</v>
      </c>
      <c r="H3592" s="2" t="str">
        <f aca="false">IFERROR(__xludf.dummyfunction("IF(I3630="""", """", REGEXEXTRACT(I3630, ""Padrao/([^/]+)""))"),"Jardim Paulista")</f>
        <v>Jardim Paulista</v>
      </c>
    </row>
    <row r="3593" customFormat="false" ht="15.75" hidden="false" customHeight="false" outlineLevel="0" collapsed="false">
      <c r="A3593" s="2" t="n">
        <v>158903</v>
      </c>
      <c r="B3593" s="2" t="s">
        <v>2908</v>
      </c>
      <c r="C3593" s="2" t="n">
        <v>3</v>
      </c>
      <c r="D3593" s="2" t="n">
        <v>2</v>
      </c>
      <c r="E3593" s="2" t="n">
        <v>1</v>
      </c>
      <c r="F3593" s="2" t="n">
        <v>66</v>
      </c>
      <c r="G3593" s="2" t="s">
        <v>612</v>
      </c>
      <c r="H3593" s="2" t="str">
        <f aca="false">IFERROR(__xludf.dummyfunction("IF(I3631="""", """", REGEXEXTRACT(I3631, ""Padrao/([^/]+)""))"),"Parque Industrial Lagoinha")</f>
        <v>Parque Industrial Lagoinha</v>
      </c>
    </row>
    <row r="3594" customFormat="false" ht="15.75" hidden="false" customHeight="false" outlineLevel="0" collapsed="false">
      <c r="A3594" s="2" t="n">
        <v>144596</v>
      </c>
      <c r="B3594" s="2" t="s">
        <v>2909</v>
      </c>
      <c r="C3594" s="2" t="n">
        <v>2</v>
      </c>
      <c r="D3594" s="2" t="n">
        <v>3</v>
      </c>
      <c r="E3594" s="2" t="n">
        <v>1</v>
      </c>
      <c r="F3594" s="2" t="n">
        <v>23</v>
      </c>
      <c r="G3594" s="2" t="s">
        <v>612</v>
      </c>
      <c r="H3594" s="2" t="str">
        <f aca="false">IFERROR(__xludf.dummyfunction("IF(I3632="""", """", REGEXEXTRACT(I3632, ""Padrao/([^/]+)""))"),"Centro")</f>
        <v>Centro</v>
      </c>
    </row>
    <row r="3595" customFormat="false" ht="15.75" hidden="false" customHeight="false" outlineLevel="0" collapsed="false">
      <c r="A3595" s="2" t="n">
        <v>143873</v>
      </c>
      <c r="B3595" s="2" t="s">
        <v>2910</v>
      </c>
      <c r="C3595" s="2" t="n">
        <v>1</v>
      </c>
      <c r="D3595" s="2" t="n">
        <v>1</v>
      </c>
      <c r="E3595" s="2" t="n">
        <v>1</v>
      </c>
      <c r="F3595" s="2" t="n">
        <v>27</v>
      </c>
      <c r="G3595" s="2" t="s">
        <v>612</v>
      </c>
      <c r="H3595" s="2" t="str">
        <f aca="false">IFERROR(__xludf.dummyfunction("IF(I3633="""", """", REGEXEXTRACT(I3633, ""Padrao/([^/]+)""))"),"Vila Monte Alegre")</f>
        <v>Vila Monte Alegre</v>
      </c>
    </row>
    <row r="3596" customFormat="false" ht="15.75" hidden="false" customHeight="false" outlineLevel="0" collapsed="false">
      <c r="A3596" s="2" t="n">
        <v>137921</v>
      </c>
      <c r="B3596" s="2" t="s">
        <v>1107</v>
      </c>
      <c r="C3596" s="2" t="n">
        <v>2</v>
      </c>
      <c r="D3596" s="2" t="n">
        <v>2</v>
      </c>
      <c r="E3596" s="2" t="n">
        <v>1</v>
      </c>
      <c r="F3596" s="2" t="n">
        <v>81</v>
      </c>
      <c r="G3596" s="2" t="s">
        <v>612</v>
      </c>
      <c r="H3596" s="2" t="str">
        <f aca="false">IFERROR(__xludf.dummyfunction("IF(I3634="""", """", REGEXEXTRACT(I3634, ""Padrao/([^/]+)""))"),"Parque Industrial Lagoinha")</f>
        <v>Parque Industrial Lagoinha</v>
      </c>
    </row>
    <row r="3597" customFormat="false" ht="15.75" hidden="false" customHeight="false" outlineLevel="0" collapsed="false">
      <c r="A3597" s="2" t="n">
        <v>89360</v>
      </c>
      <c r="B3597" s="2" t="s">
        <v>2911</v>
      </c>
      <c r="C3597" s="2" t="n">
        <v>2</v>
      </c>
      <c r="D3597" s="2" t="n">
        <v>2</v>
      </c>
      <c r="E3597" s="2" t="n">
        <v>1</v>
      </c>
      <c r="F3597" s="2" t="n">
        <v>57</v>
      </c>
      <c r="G3597" s="2" t="s">
        <v>612</v>
      </c>
      <c r="H3597" s="2" t="str">
        <f aca="false">IFERROR(__xludf.dummyfunction("IF(I3635="""", """", REGEXEXTRACT(I3635, ""Padrao/([^/]+)""))"),"Residencial Greenville")</f>
        <v>Residencial Greenville</v>
      </c>
    </row>
    <row r="3598" customFormat="false" ht="15.75" hidden="false" customHeight="false" outlineLevel="0" collapsed="false">
      <c r="A3598" s="2" t="n">
        <v>84170</v>
      </c>
      <c r="B3598" s="2" t="s">
        <v>961</v>
      </c>
      <c r="C3598" s="2" t="n">
        <v>2</v>
      </c>
      <c r="D3598" s="2" t="n">
        <v>2</v>
      </c>
      <c r="E3598" s="2" t="n">
        <v>1</v>
      </c>
      <c r="F3598" s="2" t="n">
        <v>89</v>
      </c>
      <c r="G3598" s="2" t="s">
        <v>612</v>
      </c>
      <c r="H3598" s="2" t="str">
        <f aca="false">IFERROR(__xludf.dummyfunction("IF(I3636="""", """", REGEXEXTRACT(I3636, ""Padrao/([^/]+)""))"),"Vila Seixas")</f>
        <v>Vila Seixas</v>
      </c>
    </row>
    <row r="3599" customFormat="false" ht="15.75" hidden="false" customHeight="false" outlineLevel="0" collapsed="false">
      <c r="A3599" s="2" t="n">
        <v>83363</v>
      </c>
      <c r="B3599" s="2" t="s">
        <v>2912</v>
      </c>
      <c r="C3599" s="2" t="n">
        <v>1</v>
      </c>
      <c r="D3599" s="2" t="n">
        <v>2</v>
      </c>
      <c r="E3599" s="2" t="n">
        <v>2</v>
      </c>
      <c r="F3599" s="2" t="n">
        <v>43</v>
      </c>
      <c r="G3599" s="2" t="s">
        <v>612</v>
      </c>
      <c r="H3599" s="2" t="str">
        <f aca="false">IFERROR(__xludf.dummyfunction("IF(I3637="""", """", REGEXEXTRACT(I3637, ""Padrao/([^/]+)""))"),"Jardim Botanico")</f>
        <v>Jardim Botanico</v>
      </c>
    </row>
    <row r="3600" customFormat="false" ht="15.75" hidden="false" customHeight="false" outlineLevel="0" collapsed="false">
      <c r="A3600" s="2" t="n">
        <v>74309</v>
      </c>
      <c r="B3600" s="2" t="s">
        <v>961</v>
      </c>
      <c r="C3600" s="2" t="n">
        <v>1</v>
      </c>
      <c r="D3600" s="2" t="n">
        <v>1</v>
      </c>
      <c r="E3600" s="2" t="n">
        <v>1</v>
      </c>
      <c r="F3600" s="2" t="n">
        <v>43</v>
      </c>
      <c r="G3600" s="2" t="s">
        <v>612</v>
      </c>
      <c r="H3600" s="2" t="str">
        <f aca="false">IFERROR(__xludf.dummyfunction("IF(I3638="""", """", REGEXEXTRACT(I3638, ""Padrao/([^/]+)""))"),"Vila Seixas")</f>
        <v>Vila Seixas</v>
      </c>
    </row>
    <row r="3601" customFormat="false" ht="15.75" hidden="false" customHeight="false" outlineLevel="0" collapsed="false">
      <c r="A3601" s="2" t="n">
        <v>44378</v>
      </c>
      <c r="B3601" s="2" t="s">
        <v>2840</v>
      </c>
      <c r="C3601" s="2" t="n">
        <v>3</v>
      </c>
      <c r="D3601" s="2" t="n">
        <v>2</v>
      </c>
      <c r="E3601" s="2" t="n">
        <v>1</v>
      </c>
      <c r="F3601" s="2" t="n">
        <v>104</v>
      </c>
      <c r="G3601" s="2" t="s">
        <v>612</v>
      </c>
      <c r="H3601" s="2" t="str">
        <f aca="false">IFERROR(__xludf.dummyfunction("IF(I3639="""", """", REGEXEXTRACT(I3639, ""Padrao/([^/]+)""))"),"Residencial e Comercial Palmares")</f>
        <v>Residencial e Comercial Palmares</v>
      </c>
    </row>
    <row r="3602" customFormat="false" ht="15.75" hidden="false" customHeight="false" outlineLevel="0" collapsed="false">
      <c r="A3602" s="2" t="n">
        <v>5138</v>
      </c>
      <c r="B3602" s="2" t="s">
        <v>2913</v>
      </c>
      <c r="C3602" s="2" t="n">
        <v>3</v>
      </c>
      <c r="D3602" s="2" t="n">
        <v>3</v>
      </c>
      <c r="E3602" s="2" t="n">
        <v>1</v>
      </c>
      <c r="F3602" s="2" t="n">
        <v>68</v>
      </c>
      <c r="G3602" s="2" t="s">
        <v>612</v>
      </c>
      <c r="H3602" s="2" t="str">
        <f aca="false">IFERROR(__xludf.dummyfunction("IF(I3640="""", """", REGEXEXTRACT(I3640, ""Padrao/([^/]+)""))"),"Higienopolis")</f>
        <v>Higienopolis</v>
      </c>
    </row>
    <row r="3603" customFormat="false" ht="15.75" hidden="false" customHeight="false" outlineLevel="0" collapsed="false">
      <c r="A3603" s="2" t="n">
        <v>242405</v>
      </c>
      <c r="B3603" s="2" t="s">
        <v>2421</v>
      </c>
      <c r="C3603" s="2" t="n">
        <v>2</v>
      </c>
      <c r="D3603" s="2" t="n">
        <v>1</v>
      </c>
      <c r="E3603" s="2" t="n">
        <v>1</v>
      </c>
      <c r="F3603" s="2" t="n">
        <v>66</v>
      </c>
      <c r="G3603" s="2" t="s">
        <v>529</v>
      </c>
      <c r="H3603" s="2" t="str">
        <f aca="false">IFERROR(__xludf.dummyfunction("IF(I3641="""", """", REGEXEXTRACT(I3641, ""Padrao/([^/]+)""))"),"Campos Eliseos")</f>
        <v>Campos Eliseos</v>
      </c>
    </row>
    <row r="3604" customFormat="false" ht="15.75" hidden="false" customHeight="false" outlineLevel="0" collapsed="false">
      <c r="A3604" s="2" t="n">
        <v>234116</v>
      </c>
      <c r="B3604" s="2" t="s">
        <v>2914</v>
      </c>
      <c r="C3604" s="2" t="n">
        <v>2</v>
      </c>
      <c r="D3604" s="2" t="n">
        <v>3</v>
      </c>
      <c r="E3604" s="2" t="n">
        <v>1</v>
      </c>
      <c r="F3604" s="2" t="n">
        <v>72</v>
      </c>
      <c r="G3604" s="2" t="s">
        <v>612</v>
      </c>
      <c r="H3604" s="2" t="str">
        <f aca="false">IFERROR(__xludf.dummyfunction("IF(I3642="""", """", REGEXEXTRACT(I3642, ""Padrao/([^/]+)""))"),"Vila Seixas")</f>
        <v>Vila Seixas</v>
      </c>
    </row>
    <row r="3605" customFormat="false" ht="15.75" hidden="false" customHeight="false" outlineLevel="0" collapsed="false">
      <c r="A3605" s="2" t="n">
        <v>242408</v>
      </c>
      <c r="B3605" s="2" t="s">
        <v>2915</v>
      </c>
      <c r="C3605" s="2" t="n">
        <v>3</v>
      </c>
      <c r="D3605" s="2" t="n">
        <v>3</v>
      </c>
      <c r="E3605" s="2" t="n">
        <v>1</v>
      </c>
      <c r="F3605" s="2" t="n">
        <v>116</v>
      </c>
      <c r="G3605" s="2" t="s">
        <v>1461</v>
      </c>
      <c r="H3605" s="2" t="str">
        <f aca="false">IFERROR(__xludf.dummyfunction("IF(I3643="""", """", REGEXEXTRACT(I3643, ""Padrao/([^/]+)""))"),"Jardim Macedo")</f>
        <v>Jardim Macedo</v>
      </c>
    </row>
    <row r="3606" customFormat="false" ht="15.75" hidden="false" customHeight="false" outlineLevel="0" collapsed="false">
      <c r="A3606" s="2" t="n">
        <v>230759</v>
      </c>
      <c r="B3606" s="2" t="s">
        <v>2593</v>
      </c>
      <c r="C3606" s="2" t="n">
        <v>2</v>
      </c>
      <c r="D3606" s="2" t="n">
        <v>1</v>
      </c>
      <c r="E3606" s="2" t="n">
        <v>1</v>
      </c>
      <c r="F3606" s="2" t="n">
        <v>67</v>
      </c>
      <c r="G3606" s="2" t="s">
        <v>1461</v>
      </c>
      <c r="H3606" s="2" t="str">
        <f aca="false">IFERROR(__xludf.dummyfunction("IF(I3644="""", """", REGEXEXTRACT(I3644, ""Padrao/([^/]+)""))"),"Jardim Castelo Branco")</f>
        <v>Jardim Castelo Branco</v>
      </c>
    </row>
    <row r="3607" customFormat="false" ht="15.75" hidden="false" customHeight="false" outlineLevel="0" collapsed="false">
      <c r="A3607" s="2" t="n">
        <v>223970</v>
      </c>
      <c r="B3607" s="2" t="s">
        <v>2630</v>
      </c>
      <c r="C3607" s="2" t="n">
        <v>2</v>
      </c>
      <c r="D3607" s="2" t="n">
        <v>1</v>
      </c>
      <c r="E3607" s="2" t="n">
        <v>1</v>
      </c>
      <c r="F3607" s="2" t="n">
        <v>48</v>
      </c>
      <c r="G3607" s="2" t="s">
        <v>1461</v>
      </c>
      <c r="H3607" s="2" t="str">
        <f aca="false">IFERROR(__xludf.dummyfunction("IF(I3645="""", """", REGEXEXTRACT(I3645, ""Padrao/([^/]+)""))"),"Quintas de Sao Jose")</f>
        <v>Quintas de Sao Jose</v>
      </c>
    </row>
    <row r="3608" customFormat="false" ht="15.75" hidden="false" customHeight="false" outlineLevel="0" collapsed="false">
      <c r="A3608" s="2" t="n">
        <v>215948</v>
      </c>
      <c r="B3608" s="2" t="s">
        <v>2916</v>
      </c>
      <c r="C3608" s="2" t="n">
        <v>2</v>
      </c>
      <c r="D3608" s="2" t="n">
        <v>1</v>
      </c>
      <c r="E3608" s="2" t="n">
        <v>1</v>
      </c>
      <c r="F3608" s="2" t="n">
        <v>55</v>
      </c>
      <c r="G3608" s="2" t="s">
        <v>2917</v>
      </c>
      <c r="H3608" s="2" t="str">
        <f aca="false">IFERROR(__xludf.dummyfunction("IF(I3646="""", """", REGEXEXTRACT(I3646, ""Padrao/([^/]+)""))"),"Ipiranga")</f>
        <v>Ipiranga</v>
      </c>
    </row>
    <row r="3609" customFormat="false" ht="15.75" hidden="false" customHeight="false" outlineLevel="0" collapsed="false">
      <c r="A3609" s="2" t="n">
        <v>235298</v>
      </c>
      <c r="B3609" s="2" t="s">
        <v>2918</v>
      </c>
      <c r="C3609" s="2" t="n">
        <v>4</v>
      </c>
      <c r="D3609" s="2" t="n">
        <v>6</v>
      </c>
      <c r="E3609" s="2" t="n">
        <v>5</v>
      </c>
      <c r="F3609" s="2" t="n">
        <v>507</v>
      </c>
      <c r="G3609" s="2" t="s">
        <v>2919</v>
      </c>
      <c r="H3609" s="2" t="str">
        <f aca="false">IFERROR(__xludf.dummyfunction("IF(I3647="""", """", REGEXEXTRACT(I3647, ""Padrao/([^/]+)""))"),"Residencial Morro do Ipe")</f>
        <v>Residencial Morro do Ipe</v>
      </c>
    </row>
    <row r="3610" customFormat="false" ht="15.75" hidden="false" customHeight="false" outlineLevel="0" collapsed="false">
      <c r="A3610" s="2" t="n">
        <v>58652</v>
      </c>
      <c r="B3610" s="2" t="s">
        <v>1793</v>
      </c>
      <c r="C3610" s="2" t="n">
        <v>2</v>
      </c>
      <c r="D3610" s="2" t="n">
        <v>1</v>
      </c>
      <c r="E3610" s="2" t="n">
        <v>1</v>
      </c>
      <c r="F3610" s="2" t="n">
        <v>46</v>
      </c>
      <c r="G3610" s="2" t="s">
        <v>533</v>
      </c>
      <c r="H3610" s="2" t="str">
        <f aca="false">IFERROR(__xludf.dummyfunction("IF(I3648="""", """", REGEXEXTRACT(I3648, ""Padrao/([^/]+)""))"),"Parque Industrial Lagoinha")</f>
        <v>Parque Industrial Lagoinha</v>
      </c>
    </row>
    <row r="3611" customFormat="false" ht="15.75" hidden="false" customHeight="false" outlineLevel="0" collapsed="false">
      <c r="A3611" s="2" t="n">
        <v>137681</v>
      </c>
      <c r="B3611" s="2" t="s">
        <v>2582</v>
      </c>
      <c r="C3611" s="2" t="n">
        <v>2</v>
      </c>
      <c r="D3611" s="2" t="n">
        <v>1</v>
      </c>
      <c r="E3611" s="2" t="n">
        <v>1</v>
      </c>
      <c r="F3611" s="2" t="n">
        <v>47</v>
      </c>
      <c r="G3611" s="2" t="s">
        <v>2042</v>
      </c>
      <c r="H3611" s="2" t="str">
        <f aca="false">IFERROR(__xludf.dummyfunction("IF(I3649="""", """", REGEXEXTRACT(I3649, ""Padrao/([^/]+)""))"),"Condominio Mirante Sul")</f>
        <v>Condominio Mirante Sul</v>
      </c>
    </row>
    <row r="3612" customFormat="false" ht="15.75" hidden="false" customHeight="false" outlineLevel="0" collapsed="false">
      <c r="A3612" s="2" t="n">
        <v>106337</v>
      </c>
      <c r="B3612" s="2" t="s">
        <v>2920</v>
      </c>
      <c r="C3612" s="2" t="n">
        <v>3</v>
      </c>
      <c r="D3612" s="2" t="n">
        <v>2</v>
      </c>
      <c r="E3612" s="2" t="n">
        <v>1</v>
      </c>
      <c r="F3612" s="2" t="n">
        <v>89</v>
      </c>
      <c r="G3612" s="2" t="s">
        <v>554</v>
      </c>
      <c r="H3612" s="2" t="str">
        <f aca="false">IFERROR(__xludf.dummyfunction("IF(I3650="""", """", REGEXEXTRACT(I3650, ""Padrao/([^/]+)""))"),"Vila Seixas")</f>
        <v>Vila Seixas</v>
      </c>
    </row>
    <row r="3613" customFormat="false" ht="15.75" hidden="false" customHeight="false" outlineLevel="0" collapsed="false">
      <c r="A3613" s="2" t="n">
        <v>203117</v>
      </c>
      <c r="B3613" s="2" t="s">
        <v>2921</v>
      </c>
      <c r="C3613" s="2" t="n">
        <v>3</v>
      </c>
      <c r="D3613" s="2" t="n">
        <v>1</v>
      </c>
      <c r="E3613" s="2" t="n">
        <v>1</v>
      </c>
      <c r="F3613" s="2" t="n">
        <v>66</v>
      </c>
      <c r="G3613" s="2" t="s">
        <v>1513</v>
      </c>
      <c r="H3613" s="2" t="str">
        <f aca="false">IFERROR(__xludf.dummyfunction("IF(I3651="""", """", REGEXEXTRACT(I3651, ""Padrao/([^/]+)""))"),"Parque Industrial Lagoinha")</f>
        <v>Parque Industrial Lagoinha</v>
      </c>
    </row>
    <row r="3614" customFormat="false" ht="15.75" hidden="false" customHeight="false" outlineLevel="0" collapsed="false">
      <c r="A3614" s="2" t="n">
        <v>230840</v>
      </c>
      <c r="B3614" s="2" t="s">
        <v>2922</v>
      </c>
      <c r="C3614" s="2" t="n">
        <v>2</v>
      </c>
      <c r="D3614" s="2" t="n">
        <v>1</v>
      </c>
      <c r="E3614" s="2" t="n">
        <v>1</v>
      </c>
      <c r="F3614" s="2" t="n">
        <v>46</v>
      </c>
      <c r="G3614" s="2" t="s">
        <v>566</v>
      </c>
      <c r="H3614" s="2" t="str">
        <f aca="false">IFERROR(__xludf.dummyfunction("IF(I3652="""", """", REGEXEXTRACT(I3652, ""Padrao/([^/]+)""))"),"Jardim Paulistano")</f>
        <v>Jardim Paulistano</v>
      </c>
    </row>
    <row r="3615" customFormat="false" ht="15.75" hidden="false" customHeight="false" outlineLevel="0" collapsed="false">
      <c r="A3615" s="2" t="n">
        <v>49490</v>
      </c>
      <c r="B3615" s="2" t="s">
        <v>2923</v>
      </c>
      <c r="C3615" s="2" t="n">
        <v>3</v>
      </c>
      <c r="D3615" s="2" t="n">
        <v>3</v>
      </c>
      <c r="E3615" s="2" t="n">
        <v>1</v>
      </c>
      <c r="F3615" s="2" t="n">
        <v>107</v>
      </c>
      <c r="G3615" s="2" t="s">
        <v>566</v>
      </c>
      <c r="H3615" s="2" t="str">
        <f aca="false">IFERROR(__xludf.dummyfunction("IF(I3653="""", """", REGEXEXTRACT(I3653, ""Padrao/([^/]+)""))"),"Centro")</f>
        <v>Centro</v>
      </c>
    </row>
    <row r="3616" customFormat="false" ht="15.75" hidden="false" customHeight="false" outlineLevel="0" collapsed="false">
      <c r="A3616" s="2" t="n">
        <v>197630</v>
      </c>
      <c r="B3616" s="2" t="s">
        <v>2924</v>
      </c>
      <c r="C3616" s="2" t="n">
        <v>1</v>
      </c>
      <c r="D3616" s="2" t="n">
        <v>1</v>
      </c>
      <c r="E3616" s="2" t="n">
        <v>1</v>
      </c>
      <c r="F3616" s="2" t="n">
        <v>38</v>
      </c>
      <c r="G3616" s="2" t="s">
        <v>573</v>
      </c>
      <c r="H3616" s="2" t="str">
        <f aca="false">IFERROR(__xludf.dummyfunction("IF(I3654="""", """", REGEXEXTRACT(I3654, ""Padrao/([^/]+)""))"),"Jardim California")</f>
        <v>Jardim California</v>
      </c>
    </row>
    <row r="3617" customFormat="false" ht="15.75" hidden="false" customHeight="false" outlineLevel="0" collapsed="false">
      <c r="A3617" s="2" t="n">
        <v>171608</v>
      </c>
      <c r="B3617" s="2" t="s">
        <v>847</v>
      </c>
      <c r="C3617" s="2" t="n">
        <v>2</v>
      </c>
      <c r="D3617" s="2" t="n">
        <v>2</v>
      </c>
      <c r="E3617" s="2" t="n">
        <v>2</v>
      </c>
      <c r="F3617" s="2" t="n">
        <v>66</v>
      </c>
      <c r="G3617" s="2" t="s">
        <v>591</v>
      </c>
      <c r="H3617" s="2" t="str">
        <f aca="false">IFERROR(__xludf.dummyfunction("IF(I3655="""", """", REGEXEXTRACT(I3655, ""Padrao/([^/]+)""))"),"Jardim Paulista")</f>
        <v>Jardim Paulista</v>
      </c>
    </row>
    <row r="3618" customFormat="false" ht="15.75" hidden="false" customHeight="false" outlineLevel="0" collapsed="false">
      <c r="A3618" s="2" t="n">
        <v>237128</v>
      </c>
      <c r="B3618" s="2" t="s">
        <v>2925</v>
      </c>
      <c r="C3618" s="2" t="n">
        <v>2</v>
      </c>
      <c r="D3618" s="2" t="n">
        <v>2</v>
      </c>
      <c r="E3618" s="2" t="n">
        <v>1</v>
      </c>
      <c r="F3618" s="2" t="n">
        <v>54</v>
      </c>
      <c r="G3618" s="2" t="s">
        <v>595</v>
      </c>
      <c r="H3618" s="2" t="str">
        <f aca="false">IFERROR(__xludf.dummyfunction("IF(I3656="""", """", REGEXEXTRACT(I3656, ""Padrao/([^/]+)""))"),"Jardim Anhanguera")</f>
        <v>Jardim Anhanguera</v>
      </c>
    </row>
    <row r="3619" customFormat="false" ht="15.75" hidden="false" customHeight="false" outlineLevel="0" collapsed="false">
      <c r="A3619" s="2" t="n">
        <v>229289</v>
      </c>
      <c r="B3619" s="2" t="s">
        <v>2926</v>
      </c>
      <c r="C3619" s="2" t="n">
        <v>2</v>
      </c>
      <c r="D3619" s="2" t="n">
        <v>2</v>
      </c>
      <c r="E3619" s="2" t="n">
        <v>1</v>
      </c>
      <c r="F3619" s="2" t="n">
        <v>87</v>
      </c>
      <c r="G3619" s="2" t="s">
        <v>595</v>
      </c>
      <c r="H3619" s="2" t="str">
        <f aca="false">IFERROR(__xludf.dummyfunction("IF(I3657="""", """", REGEXEXTRACT(I3657, ""Padrao/([^/]+)""))"),"Centro")</f>
        <v>Centro</v>
      </c>
    </row>
    <row r="3620" customFormat="false" ht="15.75" hidden="false" customHeight="false" outlineLevel="0" collapsed="false">
      <c r="A3620" s="2" t="n">
        <v>128135</v>
      </c>
      <c r="B3620" s="2" t="s">
        <v>162</v>
      </c>
      <c r="C3620" s="2" t="n">
        <v>1</v>
      </c>
      <c r="D3620" s="2" t="n">
        <v>1</v>
      </c>
      <c r="E3620" s="2" t="n">
        <v>1</v>
      </c>
      <c r="F3620" s="2" t="n">
        <v>27</v>
      </c>
      <c r="G3620" s="2" t="s">
        <v>595</v>
      </c>
      <c r="H3620" s="2" t="str">
        <f aca="false">IFERROR(__xludf.dummyfunction("IF(I3658="""", """", REGEXEXTRACT(I3658, ""Padrao/([^/]+)""))"),"Jardim California")</f>
        <v>Jardim California</v>
      </c>
    </row>
    <row r="3621" customFormat="false" ht="15.75" hidden="false" customHeight="false" outlineLevel="0" collapsed="false">
      <c r="A3621" s="2" t="n">
        <v>123674</v>
      </c>
      <c r="B3621" s="2" t="s">
        <v>2927</v>
      </c>
      <c r="C3621" s="2" t="n">
        <v>3</v>
      </c>
      <c r="D3621" s="2" t="n">
        <v>2</v>
      </c>
      <c r="E3621" s="2" t="n">
        <v>1</v>
      </c>
      <c r="F3621" s="2" t="n">
        <v>81</v>
      </c>
      <c r="G3621" s="2" t="s">
        <v>595</v>
      </c>
      <c r="H3621" s="2" t="str">
        <f aca="false">IFERROR(__xludf.dummyfunction("IF(I3659="""", """", REGEXEXTRACT(I3659, ""Padrao/([^/]+)""))"),"Jardim Paulista")</f>
        <v>Jardim Paulista</v>
      </c>
    </row>
    <row r="3622" customFormat="false" ht="15.75" hidden="false" customHeight="false" outlineLevel="0" collapsed="false">
      <c r="A3622" s="2" t="n">
        <v>85487</v>
      </c>
      <c r="B3622" s="2" t="s">
        <v>2928</v>
      </c>
      <c r="C3622" s="2" t="n">
        <v>3</v>
      </c>
      <c r="D3622" s="2" t="n">
        <v>2</v>
      </c>
      <c r="E3622" s="2" t="n">
        <v>1</v>
      </c>
      <c r="F3622" s="2" t="n">
        <v>89</v>
      </c>
      <c r="G3622" s="2" t="s">
        <v>595</v>
      </c>
      <c r="H3622" s="2" t="str">
        <f aca="false">IFERROR(__xludf.dummyfunction("IF(I3660="""", """", REGEXEXTRACT(I3660, ""Padrao/([^/]+)""))"),"Jardim Paulista")</f>
        <v>Jardim Paulista</v>
      </c>
    </row>
    <row r="3623" customFormat="false" ht="15.75" hidden="false" customHeight="false" outlineLevel="0" collapsed="false">
      <c r="A3623" s="2" t="n">
        <v>82886</v>
      </c>
      <c r="B3623" s="2" t="s">
        <v>2929</v>
      </c>
      <c r="C3623" s="2" t="n">
        <v>1</v>
      </c>
      <c r="D3623" s="2" t="n">
        <v>1</v>
      </c>
      <c r="E3623" s="2" t="n">
        <v>1</v>
      </c>
      <c r="F3623" s="2" t="n">
        <v>44</v>
      </c>
      <c r="G3623" s="2" t="s">
        <v>595</v>
      </c>
      <c r="H3623" s="2" t="str">
        <f aca="false">IFERROR(__xludf.dummyfunction("IF(I3661="""", """", REGEXEXTRACT(I3661, ""Padrao/([^/]+)""))"),"Nova Alianca")</f>
        <v>Nova Alianca</v>
      </c>
    </row>
    <row r="3624" customFormat="false" ht="15.75" hidden="false" customHeight="false" outlineLevel="0" collapsed="false">
      <c r="A3624" s="2" t="n">
        <v>133196</v>
      </c>
      <c r="B3624" s="2" t="s">
        <v>2930</v>
      </c>
      <c r="C3624" s="2" t="n">
        <v>3</v>
      </c>
      <c r="D3624" s="2" t="n">
        <v>2</v>
      </c>
      <c r="E3624" s="2" t="n">
        <v>1</v>
      </c>
      <c r="F3624" s="2" t="n">
        <v>80</v>
      </c>
      <c r="G3624" s="2" t="s">
        <v>609</v>
      </c>
      <c r="H3624" s="2" t="str">
        <f aca="false">IFERROR(__xludf.dummyfunction("IF(I3662="""", """", REGEXEXTRACT(I3662, ""Padrao/([^/]+)""))"),"Jardim Palma Travassos")</f>
        <v>Jardim Palma Travassos</v>
      </c>
    </row>
    <row r="3625" customFormat="false" ht="15.75" hidden="false" customHeight="false" outlineLevel="0" collapsed="false">
      <c r="A3625" s="2" t="n">
        <v>131375</v>
      </c>
      <c r="B3625" s="2" t="s">
        <v>2931</v>
      </c>
      <c r="C3625" s="2" t="n">
        <v>2</v>
      </c>
      <c r="D3625" s="2" t="n">
        <v>2</v>
      </c>
      <c r="E3625" s="2" t="n">
        <v>1</v>
      </c>
      <c r="F3625" s="2" t="n">
        <v>62</v>
      </c>
      <c r="G3625" s="2" t="s">
        <v>609</v>
      </c>
      <c r="H3625" s="2" t="str">
        <f aca="false">IFERROR(__xludf.dummyfunction("IF(I3663="""", """", REGEXEXTRACT(I3663, ""Padrao/([^/]+)""))"),"Vila Tiberio")</f>
        <v>Vila Tiberio</v>
      </c>
    </row>
    <row r="3626" customFormat="false" ht="15.75" hidden="false" customHeight="false" outlineLevel="0" collapsed="false">
      <c r="A3626" s="2" t="n">
        <v>99824</v>
      </c>
      <c r="B3626" s="2" t="s">
        <v>162</v>
      </c>
      <c r="C3626" s="2" t="n">
        <v>3</v>
      </c>
      <c r="D3626" s="2" t="n">
        <v>2</v>
      </c>
      <c r="E3626" s="2" t="n">
        <v>2</v>
      </c>
      <c r="F3626" s="2" t="n">
        <v>96</v>
      </c>
      <c r="G3626" s="2" t="s">
        <v>612</v>
      </c>
      <c r="H3626" s="2" t="str">
        <f aca="false">IFERROR(__xludf.dummyfunction("IF(I3664="""", """", REGEXEXTRACT(I3664, ""Padrao/([^/]+)""))"),"Jardim Paulistano")</f>
        <v>Jardim Paulistano</v>
      </c>
    </row>
    <row r="3627" customFormat="false" ht="15.75" hidden="false" customHeight="false" outlineLevel="0" collapsed="false">
      <c r="A3627" s="2" t="n">
        <v>245375</v>
      </c>
      <c r="B3627" s="2" t="s">
        <v>2932</v>
      </c>
      <c r="C3627" s="2" t="n">
        <v>2</v>
      </c>
      <c r="D3627" s="2" t="n">
        <v>2</v>
      </c>
      <c r="E3627" s="2" t="n">
        <v>1</v>
      </c>
      <c r="F3627" s="2" t="n">
        <v>63</v>
      </c>
      <c r="G3627" s="2" t="s">
        <v>614</v>
      </c>
      <c r="H3627" s="2" t="str">
        <f aca="false">IFERROR(__xludf.dummyfunction("IF(I3665="""", """", REGEXEXTRACT(I3665, ""Padrao/([^/]+)""))"),"Presidente Medici")</f>
        <v>Presidente Medici</v>
      </c>
    </row>
    <row r="3628" customFormat="false" ht="15.75" hidden="false" customHeight="false" outlineLevel="0" collapsed="false">
      <c r="A3628" s="2" t="n">
        <v>245024</v>
      </c>
      <c r="B3628" s="2" t="s">
        <v>2933</v>
      </c>
      <c r="C3628" s="2" t="n">
        <v>3</v>
      </c>
      <c r="D3628" s="2" t="n">
        <v>2</v>
      </c>
      <c r="E3628" s="2" t="n">
        <v>1</v>
      </c>
      <c r="F3628" s="2" t="n">
        <v>78</v>
      </c>
      <c r="G3628" s="2" t="s">
        <v>614</v>
      </c>
      <c r="H3628" s="2" t="str">
        <f aca="false">IFERROR(__xludf.dummyfunction("IF(I3666="""", """", REGEXEXTRACT(I3666, ""Padrao/([^/]+)""))"),"Parque dos Lagos")</f>
        <v>Parque dos Lagos</v>
      </c>
    </row>
    <row r="3629" customFormat="false" ht="15.75" hidden="false" customHeight="false" outlineLevel="0" collapsed="false">
      <c r="A3629" s="2" t="n">
        <v>244868</v>
      </c>
      <c r="B3629" s="2" t="s">
        <v>2934</v>
      </c>
      <c r="C3629" s="2" t="n">
        <v>3</v>
      </c>
      <c r="D3629" s="2" t="n">
        <v>2</v>
      </c>
      <c r="E3629" s="2" t="n">
        <v>1</v>
      </c>
      <c r="F3629" s="2" t="n">
        <v>96</v>
      </c>
      <c r="G3629" s="2" t="s">
        <v>614</v>
      </c>
      <c r="H3629" s="2" t="str">
        <f aca="false">IFERROR(__xludf.dummyfunction("IF(I3667="""", """", REGEXEXTRACT(I3667, ""Padrao/([^/]+)""))"),"Parque Industrial Lagoinha")</f>
        <v>Parque Industrial Lagoinha</v>
      </c>
    </row>
    <row r="3630" customFormat="false" ht="15.75" hidden="false" customHeight="false" outlineLevel="0" collapsed="false">
      <c r="A3630" s="2" t="n">
        <v>244043</v>
      </c>
      <c r="B3630" s="2" t="s">
        <v>2797</v>
      </c>
      <c r="C3630" s="2" t="n">
        <v>2</v>
      </c>
      <c r="D3630" s="2" t="n">
        <v>1</v>
      </c>
      <c r="E3630" s="2" t="n">
        <v>1</v>
      </c>
      <c r="F3630" s="2" t="n">
        <v>44</v>
      </c>
      <c r="G3630" s="2" t="s">
        <v>614</v>
      </c>
      <c r="H3630" s="2" t="str">
        <f aca="false">IFERROR(__xludf.dummyfunction("IF(I3668="""", """", REGEXEXTRACT(I3668, ""Padrao/([^/]+)""))"),"Quintas de Sao Jose")</f>
        <v>Quintas de Sao Jose</v>
      </c>
    </row>
    <row r="3631" customFormat="false" ht="15.75" hidden="false" customHeight="false" outlineLevel="0" collapsed="false">
      <c r="A3631" s="2" t="n">
        <v>243365</v>
      </c>
      <c r="B3631" s="2" t="s">
        <v>2935</v>
      </c>
      <c r="C3631" s="2" t="n">
        <v>3</v>
      </c>
      <c r="D3631" s="2" t="n">
        <v>2</v>
      </c>
      <c r="E3631" s="2" t="n">
        <v>1</v>
      </c>
      <c r="F3631" s="2" t="n">
        <v>88</v>
      </c>
      <c r="G3631" s="2" t="s">
        <v>614</v>
      </c>
      <c r="H3631" s="2" t="str">
        <f aca="false">IFERROR(__xludf.dummyfunction("IF(I3669="""", """", REGEXEXTRACT(I3669, ""Padrao/([^/]+)""))"),"Jardim Paulistano")</f>
        <v>Jardim Paulistano</v>
      </c>
    </row>
    <row r="3632" customFormat="false" ht="15.75" hidden="false" customHeight="false" outlineLevel="0" collapsed="false">
      <c r="A3632" s="2" t="n">
        <v>241295</v>
      </c>
      <c r="B3632" s="2" t="s">
        <v>2261</v>
      </c>
      <c r="C3632" s="2" t="n">
        <v>3</v>
      </c>
      <c r="D3632" s="2" t="n">
        <v>2</v>
      </c>
      <c r="E3632" s="2" t="n">
        <v>1</v>
      </c>
      <c r="F3632" s="2" t="n">
        <v>67</v>
      </c>
      <c r="G3632" s="2" t="s">
        <v>614</v>
      </c>
      <c r="H3632" s="2" t="str">
        <f aca="false">IFERROR(__xludf.dummyfunction("IF(I3670="""", """", REGEXEXTRACT(I3670, ""Padrao/([^/]+)""))"),"Iguatemi")</f>
        <v>Iguatemi</v>
      </c>
    </row>
    <row r="3633" customFormat="false" ht="15.75" hidden="false" customHeight="false" outlineLevel="0" collapsed="false">
      <c r="A3633" s="2" t="n">
        <v>240656</v>
      </c>
      <c r="B3633" s="2" t="s">
        <v>2936</v>
      </c>
      <c r="C3633" s="2" t="n">
        <v>1</v>
      </c>
      <c r="D3633" s="2" t="n">
        <v>1</v>
      </c>
      <c r="E3633" s="2" t="n">
        <v>1</v>
      </c>
      <c r="F3633" s="2" t="n">
        <v>44</v>
      </c>
      <c r="G3633" s="2" t="s">
        <v>614</v>
      </c>
      <c r="H3633" s="2" t="str">
        <f aca="false">IFERROR(__xludf.dummyfunction("IF(I3671="""", """", REGEXEXTRACT(I3671, ""Padrao/([^/]+)""))"),"Nova Alianca")</f>
        <v>Nova Alianca</v>
      </c>
    </row>
    <row r="3634" customFormat="false" ht="15.75" hidden="false" customHeight="false" outlineLevel="0" collapsed="false">
      <c r="A3634" s="2" t="n">
        <v>238979</v>
      </c>
      <c r="B3634" s="2" t="s">
        <v>2937</v>
      </c>
      <c r="C3634" s="2" t="n">
        <v>2</v>
      </c>
      <c r="D3634" s="2" t="n">
        <v>1</v>
      </c>
      <c r="E3634" s="2" t="n">
        <v>1</v>
      </c>
      <c r="F3634" s="2" t="n">
        <v>49</v>
      </c>
      <c r="G3634" s="2" t="s">
        <v>614</v>
      </c>
      <c r="H3634" s="2" t="str">
        <f aca="false">IFERROR(__xludf.dummyfunction("IF(I3672="""", """", REGEXEXTRACT(I3672, ""Padrao/([^/]+)""))"),"Campos Eliseos")</f>
        <v>Campos Eliseos</v>
      </c>
    </row>
    <row r="3635" customFormat="false" ht="15.75" hidden="false" customHeight="false" outlineLevel="0" collapsed="false">
      <c r="A3635" s="2" t="n">
        <v>238880</v>
      </c>
      <c r="B3635" s="2" t="s">
        <v>2938</v>
      </c>
      <c r="C3635" s="2" t="n">
        <v>2</v>
      </c>
      <c r="D3635" s="2" t="n">
        <v>1</v>
      </c>
      <c r="E3635" s="2" t="n">
        <v>1</v>
      </c>
      <c r="F3635" s="2" t="n">
        <v>49</v>
      </c>
      <c r="G3635" s="2" t="s">
        <v>614</v>
      </c>
      <c r="H3635" s="2" t="str">
        <f aca="false">IFERROR(__xludf.dummyfunction("IF(I3673="""", """", REGEXEXTRACT(I3673, ""Padrao/([^/]+)""))"),"Quinta da Primavera")</f>
        <v>Quinta da Primavera</v>
      </c>
    </row>
    <row r="3636" customFormat="false" ht="15.75" hidden="false" customHeight="false" outlineLevel="0" collapsed="false">
      <c r="A3636" s="2" t="n">
        <v>236780</v>
      </c>
      <c r="B3636" s="2" t="s">
        <v>2939</v>
      </c>
      <c r="C3636" s="2" t="n">
        <v>2</v>
      </c>
      <c r="D3636" s="2" t="n">
        <v>1</v>
      </c>
      <c r="E3636" s="2" t="n">
        <v>1</v>
      </c>
      <c r="F3636" s="2" t="n">
        <v>40</v>
      </c>
      <c r="G3636" s="2" t="s">
        <v>614</v>
      </c>
      <c r="H3636" s="2" t="str">
        <f aca="false">IFERROR(__xludf.dummyfunction("IF(I3674="""", """", REGEXEXTRACT(I3674, ""Padrao/([^/]+)""))"),"Ribeirania")</f>
        <v>Ribeirania</v>
      </c>
    </row>
    <row r="3637" customFormat="false" ht="15.75" hidden="false" customHeight="false" outlineLevel="0" collapsed="false">
      <c r="A3637" s="2" t="n">
        <v>235703</v>
      </c>
      <c r="B3637" s="2" t="s">
        <v>2940</v>
      </c>
      <c r="C3637" s="2" t="n">
        <v>1</v>
      </c>
      <c r="D3637" s="2" t="n">
        <v>1</v>
      </c>
      <c r="E3637" s="2" t="n">
        <v>1</v>
      </c>
      <c r="F3637" s="2" t="n">
        <v>55</v>
      </c>
      <c r="G3637" s="2" t="s">
        <v>614</v>
      </c>
      <c r="H3637" s="2" t="str">
        <f aca="false">IFERROR(__xludf.dummyfunction("IF(I3675="""", """", REGEXEXTRACT(I3675, ""Padrao/([^/]+)""))"),"Alto da Boa Vista")</f>
        <v>Alto da Boa Vista</v>
      </c>
    </row>
    <row r="3638" customFormat="false" ht="15.75" hidden="false" customHeight="false" outlineLevel="0" collapsed="false">
      <c r="A3638" s="2" t="n">
        <v>235019</v>
      </c>
      <c r="B3638" s="2" t="s">
        <v>2941</v>
      </c>
      <c r="C3638" s="2" t="n">
        <v>2</v>
      </c>
      <c r="D3638" s="2" t="n">
        <v>1</v>
      </c>
      <c r="E3638" s="2" t="n">
        <v>1</v>
      </c>
      <c r="F3638" s="2" t="n">
        <v>58</v>
      </c>
      <c r="G3638" s="2" t="s">
        <v>614</v>
      </c>
      <c r="H3638" s="2" t="str">
        <f aca="false">IFERROR(__xludf.dummyfunction("IF(I3676="""", """", REGEXEXTRACT(I3676, ""Padrao/([^/]+)""))"),"Real Sul")</f>
        <v>Real Sul</v>
      </c>
    </row>
    <row r="3639" customFormat="false" ht="15.75" hidden="false" customHeight="false" outlineLevel="0" collapsed="false">
      <c r="A3639" s="2" t="n">
        <v>234410</v>
      </c>
      <c r="B3639" s="2" t="s">
        <v>2000</v>
      </c>
      <c r="C3639" s="2" t="n">
        <v>2</v>
      </c>
      <c r="D3639" s="2" t="n">
        <v>2</v>
      </c>
      <c r="E3639" s="2" t="n">
        <v>1</v>
      </c>
      <c r="F3639" s="2" t="n">
        <v>61</v>
      </c>
      <c r="G3639" s="2" t="s">
        <v>614</v>
      </c>
      <c r="H3639" s="2" t="str">
        <f aca="false">IFERROR(__xludf.dummyfunction("IF(I3677="""", """", REGEXEXTRACT(I3677, ""Padrao/([^/]+)""))"),"Jardim Botanico")</f>
        <v>Jardim Botanico</v>
      </c>
    </row>
    <row r="3640" customFormat="false" ht="15.75" hidden="false" customHeight="false" outlineLevel="0" collapsed="false">
      <c r="A3640" s="2" t="n">
        <v>232400</v>
      </c>
      <c r="B3640" s="2" t="s">
        <v>2942</v>
      </c>
      <c r="C3640" s="2" t="n">
        <v>2</v>
      </c>
      <c r="D3640" s="2" t="n">
        <v>1</v>
      </c>
      <c r="E3640" s="2" t="n">
        <v>1</v>
      </c>
      <c r="F3640" s="2" t="n">
        <v>77</v>
      </c>
      <c r="G3640" s="2" t="s">
        <v>614</v>
      </c>
      <c r="H3640" s="2" t="str">
        <f aca="false">IFERROR(__xludf.dummyfunction("IF(I3678="""", """", REGEXEXTRACT(I3678, ""Padrao/([^/]+)""))"),"Jardim Palma Travassos")</f>
        <v>Jardim Palma Travassos</v>
      </c>
    </row>
    <row r="3641" customFormat="false" ht="15.75" hidden="false" customHeight="false" outlineLevel="0" collapsed="false">
      <c r="A3641" s="2" t="n">
        <v>231998</v>
      </c>
      <c r="B3641" s="2" t="s">
        <v>2299</v>
      </c>
      <c r="C3641" s="2" t="n">
        <v>2</v>
      </c>
      <c r="D3641" s="2" t="n">
        <v>1</v>
      </c>
      <c r="E3641" s="2" t="n">
        <v>1</v>
      </c>
      <c r="F3641" s="2" t="n">
        <v>48</v>
      </c>
      <c r="G3641" s="2" t="s">
        <v>614</v>
      </c>
      <c r="H3641" s="2" t="str">
        <f aca="false">IFERROR(__xludf.dummyfunction("IF(I3679="""", """", REGEXEXTRACT(I3679, ""Padrao/([^/]+)""))"),"Jardim Paulistano")</f>
        <v>Jardim Paulistano</v>
      </c>
    </row>
    <row r="3642" customFormat="false" ht="15.75" hidden="false" customHeight="false" outlineLevel="0" collapsed="false">
      <c r="A3642" s="2" t="n">
        <v>230861</v>
      </c>
      <c r="B3642" s="2" t="s">
        <v>2943</v>
      </c>
      <c r="C3642" s="2" t="n">
        <v>1</v>
      </c>
      <c r="D3642" s="2" t="n">
        <v>1</v>
      </c>
      <c r="E3642" s="2" t="n">
        <v>1</v>
      </c>
      <c r="F3642" s="2" t="n">
        <v>45</v>
      </c>
      <c r="G3642" s="2" t="s">
        <v>614</v>
      </c>
      <c r="H3642" s="2" t="str">
        <f aca="false">IFERROR(__xludf.dummyfunction("IF(I3680="""", """", REGEXEXTRACT(I3680, ""Padrao/([^/]+)""))"),"Jardim California")</f>
        <v>Jardim California</v>
      </c>
    </row>
    <row r="3643" customFormat="false" ht="15.75" hidden="false" customHeight="false" outlineLevel="0" collapsed="false">
      <c r="A3643" s="2" t="n">
        <v>229511</v>
      </c>
      <c r="B3643" s="2" t="s">
        <v>2944</v>
      </c>
      <c r="C3643" s="2" t="n">
        <v>2</v>
      </c>
      <c r="D3643" s="2" t="n">
        <v>1</v>
      </c>
      <c r="E3643" s="2" t="n">
        <v>1</v>
      </c>
      <c r="F3643" s="2" t="n">
        <v>49</v>
      </c>
      <c r="G3643" s="2" t="s">
        <v>614</v>
      </c>
      <c r="H3643" s="2" t="str">
        <f aca="false">IFERROR(__xludf.dummyfunction("IF(I3681="""", """", REGEXEXTRACT(I3681, ""Padrao/([^/]+)""))"),"Jardim Anhanguera")</f>
        <v>Jardim Anhanguera</v>
      </c>
    </row>
    <row r="3644" customFormat="false" ht="15.75" hidden="false" customHeight="false" outlineLevel="0" collapsed="false">
      <c r="A3644" s="2" t="n">
        <v>228902</v>
      </c>
      <c r="B3644" s="2" t="s">
        <v>2320</v>
      </c>
      <c r="C3644" s="2" t="n">
        <v>2</v>
      </c>
      <c r="D3644" s="2" t="n">
        <v>2</v>
      </c>
      <c r="E3644" s="2" t="n">
        <v>1</v>
      </c>
      <c r="F3644" s="2" t="n">
        <v>75</v>
      </c>
      <c r="G3644" s="2" t="s">
        <v>614</v>
      </c>
      <c r="H3644" s="2" t="str">
        <f aca="false">IFERROR(__xludf.dummyfunction("IF(I3682="""", """", REGEXEXTRACT(I3682, ""Padrao/([^/]+)""))"),"Vila Amelia")</f>
        <v>Vila Amelia</v>
      </c>
    </row>
    <row r="3645" customFormat="false" ht="15.75" hidden="false" customHeight="false" outlineLevel="0" collapsed="false">
      <c r="A3645" s="2" t="n">
        <v>227018</v>
      </c>
      <c r="B3645" s="2" t="s">
        <v>2328</v>
      </c>
      <c r="C3645" s="2" t="n">
        <v>2</v>
      </c>
      <c r="D3645" s="2" t="n">
        <v>1</v>
      </c>
      <c r="E3645" s="2" t="n">
        <v>1</v>
      </c>
      <c r="F3645" s="2" t="n">
        <v>47</v>
      </c>
      <c r="G3645" s="2" t="s">
        <v>614</v>
      </c>
      <c r="H3645" s="2" t="str">
        <f aca="false">IFERROR(__xludf.dummyfunction("IF(I3683="""", """", REGEXEXTRACT(I3683, ""Padrao/([^/]+)""))"),"Vila Virginia")</f>
        <v>Vila Virginia</v>
      </c>
    </row>
    <row r="3646" customFormat="false" ht="15.75" hidden="false" customHeight="false" outlineLevel="0" collapsed="false">
      <c r="A3646" s="2" t="n">
        <v>225542</v>
      </c>
      <c r="B3646" s="2" t="s">
        <v>2426</v>
      </c>
      <c r="C3646" s="2" t="n">
        <v>2</v>
      </c>
      <c r="D3646" s="2" t="n">
        <v>1</v>
      </c>
      <c r="E3646" s="2" t="n">
        <v>1</v>
      </c>
      <c r="F3646" s="2" t="n">
        <v>54</v>
      </c>
      <c r="G3646" s="2" t="s">
        <v>614</v>
      </c>
      <c r="H3646" s="2" t="str">
        <f aca="false">IFERROR(__xludf.dummyfunction("IF(I3684="""", """", REGEXEXTRACT(I3684, ""Padrao/([^/]+)""))"),"Parque Industrial Lagoinha")</f>
        <v>Parque Industrial Lagoinha</v>
      </c>
    </row>
    <row r="3647" customFormat="false" ht="15.75" hidden="false" customHeight="false" outlineLevel="0" collapsed="false">
      <c r="A3647" s="2" t="n">
        <v>225404</v>
      </c>
      <c r="B3647" s="2" t="s">
        <v>2800</v>
      </c>
      <c r="C3647" s="2" t="n">
        <v>2</v>
      </c>
      <c r="D3647" s="2" t="n">
        <v>1</v>
      </c>
      <c r="E3647" s="2" t="n">
        <v>1</v>
      </c>
      <c r="F3647" s="2" t="n">
        <v>48</v>
      </c>
      <c r="G3647" s="2" t="s">
        <v>614</v>
      </c>
      <c r="H3647" s="2" t="str">
        <f aca="false">IFERROR(__xludf.dummyfunction("IF(I3685="""", """", REGEXEXTRACT(I3685, ""Padrao/([^/]+)""))"),"Jardim Paulistano")</f>
        <v>Jardim Paulistano</v>
      </c>
    </row>
    <row r="3648" customFormat="false" ht="15.75" hidden="false" customHeight="false" outlineLevel="0" collapsed="false">
      <c r="A3648" s="2" t="n">
        <v>223436</v>
      </c>
      <c r="B3648" s="2" t="s">
        <v>2314</v>
      </c>
      <c r="C3648" s="2" t="n">
        <v>2</v>
      </c>
      <c r="D3648" s="2" t="n">
        <v>1</v>
      </c>
      <c r="E3648" s="2" t="n">
        <v>1</v>
      </c>
      <c r="F3648" s="2" t="n">
        <v>51</v>
      </c>
      <c r="G3648" s="2" t="s">
        <v>614</v>
      </c>
      <c r="H3648" s="2" t="str">
        <f aca="false">IFERROR(__xludf.dummyfunction("IF(I3686="""", """", REGEXEXTRACT(I3686, ""Padrao/([^/]+)""))"),"Jardim Novo Mundo")</f>
        <v>Jardim Novo Mundo</v>
      </c>
    </row>
    <row r="3649" customFormat="false" ht="15.75" hidden="false" customHeight="false" outlineLevel="0" collapsed="false">
      <c r="A3649" s="2" t="n">
        <v>217613</v>
      </c>
      <c r="B3649" s="2" t="s">
        <v>2945</v>
      </c>
      <c r="C3649" s="2" t="n">
        <v>2</v>
      </c>
      <c r="D3649" s="2" t="n">
        <v>2</v>
      </c>
      <c r="E3649" s="2" t="n">
        <v>1</v>
      </c>
      <c r="F3649" s="2" t="n">
        <v>58</v>
      </c>
      <c r="G3649" s="2" t="s">
        <v>614</v>
      </c>
      <c r="H3649" s="2" t="str">
        <f aca="false">IFERROR(__xludf.dummyfunction("IF(I3687="""", """", REGEXEXTRACT(I3687, ""Padrao/([^/]+)""))"),"Vila Tiberio")</f>
        <v>Vila Tiberio</v>
      </c>
    </row>
    <row r="3650" customFormat="false" ht="15.75" hidden="false" customHeight="false" outlineLevel="0" collapsed="false">
      <c r="A3650" s="2" t="n">
        <v>213977</v>
      </c>
      <c r="B3650" s="2" t="s">
        <v>2946</v>
      </c>
      <c r="C3650" s="2" t="n">
        <v>2</v>
      </c>
      <c r="D3650" s="2" t="n">
        <v>2</v>
      </c>
      <c r="E3650" s="2" t="n">
        <v>1</v>
      </c>
      <c r="F3650" s="2" t="n">
        <v>58</v>
      </c>
      <c r="G3650" s="2" t="s">
        <v>614</v>
      </c>
      <c r="H3650" s="2" t="str">
        <f aca="false">IFERROR(__xludf.dummyfunction("IF(I3688="""", """", REGEXEXTRACT(I3688, ""Padrao/([^/]+)""))"),"Residencial Parque dos Servidores")</f>
        <v>Residencial Parque dos Servidores</v>
      </c>
    </row>
    <row r="3651" customFormat="false" ht="15.75" hidden="false" customHeight="false" outlineLevel="0" collapsed="false">
      <c r="A3651" s="2" t="n">
        <v>212768</v>
      </c>
      <c r="B3651" s="2" t="s">
        <v>2871</v>
      </c>
      <c r="C3651" s="2" t="n">
        <v>2</v>
      </c>
      <c r="D3651" s="2" t="n">
        <v>2</v>
      </c>
      <c r="E3651" s="2" t="n">
        <v>1</v>
      </c>
      <c r="F3651" s="2" t="n">
        <v>57</v>
      </c>
      <c r="G3651" s="2" t="s">
        <v>614</v>
      </c>
      <c r="H3651" s="2" t="str">
        <f aca="false">IFERROR(__xludf.dummyfunction("IF(I3689="""", """", REGEXEXTRACT(I3689, ""Padrao/([^/]+)""))"),"Ipiranga")</f>
        <v>Ipiranga</v>
      </c>
    </row>
    <row r="3652" customFormat="false" ht="15.75" hidden="false" customHeight="false" outlineLevel="0" collapsed="false">
      <c r="A3652" s="2" t="n">
        <v>210614</v>
      </c>
      <c r="B3652" s="2" t="s">
        <v>2947</v>
      </c>
      <c r="C3652" s="2" t="n">
        <v>3</v>
      </c>
      <c r="D3652" s="2" t="n">
        <v>2</v>
      </c>
      <c r="E3652" s="2" t="n">
        <v>1</v>
      </c>
      <c r="F3652" s="2" t="n">
        <v>86</v>
      </c>
      <c r="G3652" s="2" t="s">
        <v>614</v>
      </c>
      <c r="H3652" s="2" t="str">
        <f aca="false">IFERROR(__xludf.dummyfunction("IF(I3690="""", """", REGEXEXTRACT(I3690, ""Padrao/([^/]+)""))"),"Residencial e Comercial Palmares")</f>
        <v>Residencial e Comercial Palmares</v>
      </c>
    </row>
    <row r="3653" customFormat="false" ht="15.75" hidden="false" customHeight="false" outlineLevel="0" collapsed="false">
      <c r="A3653" s="2" t="n">
        <v>209162</v>
      </c>
      <c r="B3653" s="2" t="s">
        <v>2948</v>
      </c>
      <c r="C3653" s="2" t="n">
        <v>2</v>
      </c>
      <c r="D3653" s="2" t="n">
        <v>2</v>
      </c>
      <c r="E3653" s="2" t="n">
        <v>1</v>
      </c>
      <c r="F3653" s="2" t="n">
        <v>73</v>
      </c>
      <c r="G3653" s="2" t="s">
        <v>614</v>
      </c>
      <c r="H3653" s="2" t="str">
        <f aca="false">IFERROR(__xludf.dummyfunction("IF(I3691="""", """", REGEXEXTRACT(I3691, ""Padrao/([^/]+)""))"),"Parque Industrial Lagoinha")</f>
        <v>Parque Industrial Lagoinha</v>
      </c>
    </row>
    <row r="3654" customFormat="false" ht="15.75" hidden="false" customHeight="false" outlineLevel="0" collapsed="false">
      <c r="A3654" s="2" t="n">
        <v>207260</v>
      </c>
      <c r="B3654" s="2" t="s">
        <v>600</v>
      </c>
      <c r="C3654" s="2" t="n">
        <v>3</v>
      </c>
      <c r="D3654" s="2" t="n">
        <v>2</v>
      </c>
      <c r="E3654" s="2" t="n">
        <v>1</v>
      </c>
      <c r="F3654" s="2" t="n">
        <v>92</v>
      </c>
      <c r="G3654" s="2" t="s">
        <v>614</v>
      </c>
      <c r="H3654" s="2" t="str">
        <f aca="false">IFERROR(__xludf.dummyfunction("IF(I3692="""", """", REGEXEXTRACT(I3692, ""Padrao/([^/]+)""))"),"Centro")</f>
        <v>Centro</v>
      </c>
    </row>
    <row r="3655" customFormat="false" ht="15.75" hidden="false" customHeight="false" outlineLevel="0" collapsed="false">
      <c r="A3655" s="2" t="n">
        <v>207194</v>
      </c>
      <c r="B3655" s="2" t="s">
        <v>600</v>
      </c>
      <c r="C3655" s="2" t="n">
        <v>3</v>
      </c>
      <c r="D3655" s="2" t="n">
        <v>2</v>
      </c>
      <c r="E3655" s="2" t="n">
        <v>1</v>
      </c>
      <c r="F3655" s="2" t="n">
        <v>92</v>
      </c>
      <c r="G3655" s="2" t="s">
        <v>614</v>
      </c>
      <c r="H3655" s="2" t="str">
        <f aca="false">IFERROR(__xludf.dummyfunction("IF(I3693="""", """", REGEXEXTRACT(I3693, ""Padrao/([^/]+)""))"),"Centro")</f>
        <v>Centro</v>
      </c>
    </row>
    <row r="3656" customFormat="false" ht="15.75" hidden="false" customHeight="false" outlineLevel="0" collapsed="false">
      <c r="A3656" s="2" t="n">
        <v>207113</v>
      </c>
      <c r="B3656" s="2" t="s">
        <v>2808</v>
      </c>
      <c r="C3656" s="2" t="n">
        <v>1</v>
      </c>
      <c r="D3656" s="2" t="n">
        <v>1</v>
      </c>
      <c r="E3656" s="2" t="n">
        <v>1</v>
      </c>
      <c r="F3656" s="2" t="n">
        <v>55</v>
      </c>
      <c r="G3656" s="2" t="s">
        <v>614</v>
      </c>
      <c r="H3656" s="2" t="str">
        <f aca="false">IFERROR(__xludf.dummyfunction("IF(I3694="""", """", REGEXEXTRACT(I3694, ""Padrao/([^/]+)""))"),"Centro")</f>
        <v>Centro</v>
      </c>
    </row>
    <row r="3657" customFormat="false" ht="15.75" hidden="false" customHeight="false" outlineLevel="0" collapsed="false">
      <c r="A3657" s="2" t="n">
        <v>204935</v>
      </c>
      <c r="B3657" s="2" t="s">
        <v>2949</v>
      </c>
      <c r="C3657" s="2" t="n">
        <v>2</v>
      </c>
      <c r="D3657" s="2" t="n">
        <v>1</v>
      </c>
      <c r="E3657" s="2" t="n">
        <v>1</v>
      </c>
      <c r="F3657" s="2" t="n">
        <v>62</v>
      </c>
      <c r="G3657" s="2" t="s">
        <v>614</v>
      </c>
      <c r="H3657" s="2" t="str">
        <f aca="false">IFERROR(__xludf.dummyfunction("IF(I3695="""", """", REGEXEXTRACT(I3695, ""Padrao/([^/]+)""))"),"Residencial Florida")</f>
        <v>Residencial Florida</v>
      </c>
    </row>
    <row r="3658" customFormat="false" ht="15.75" hidden="false" customHeight="false" outlineLevel="0" collapsed="false">
      <c r="A3658" s="2" t="n">
        <v>201044</v>
      </c>
      <c r="B3658" s="2" t="s">
        <v>2950</v>
      </c>
      <c r="C3658" s="2" t="n">
        <v>2</v>
      </c>
      <c r="D3658" s="2" t="n">
        <v>2</v>
      </c>
      <c r="E3658" s="2" t="n">
        <v>1</v>
      </c>
      <c r="F3658" s="2" t="n">
        <v>52</v>
      </c>
      <c r="G3658" s="2" t="s">
        <v>614</v>
      </c>
      <c r="H3658" s="2" t="str">
        <f aca="false">IFERROR(__xludf.dummyfunction("IF(I3696="""", """", REGEXEXTRACT(I3696, ""Padrao/([^/]+)""))"),"Quintas de Sao Jose")</f>
        <v>Quintas de Sao Jose</v>
      </c>
    </row>
    <row r="3659" customFormat="false" ht="15.75" hidden="false" customHeight="false" outlineLevel="0" collapsed="false">
      <c r="A3659" s="2" t="n">
        <v>198437</v>
      </c>
      <c r="B3659" s="2" t="s">
        <v>2951</v>
      </c>
      <c r="C3659" s="2" t="n">
        <v>2</v>
      </c>
      <c r="D3659" s="2" t="n">
        <v>2</v>
      </c>
      <c r="E3659" s="2" t="n">
        <v>1</v>
      </c>
      <c r="F3659" s="2" t="n">
        <v>64</v>
      </c>
      <c r="G3659" s="2" t="s">
        <v>614</v>
      </c>
      <c r="H3659" s="2" t="str">
        <f aca="false">IFERROR(__xludf.dummyfunction("IF(I3697="""", """", REGEXEXTRACT(I3697, ""Padrao/([^/]+)""))"),"Parque Anhanguera")</f>
        <v>Parque Anhanguera</v>
      </c>
    </row>
    <row r="3660" customFormat="false" ht="15.75" hidden="false" customHeight="false" outlineLevel="0" collapsed="false">
      <c r="A3660" s="2" t="n">
        <v>197663</v>
      </c>
      <c r="B3660" s="2" t="s">
        <v>1026</v>
      </c>
      <c r="C3660" s="2" t="n">
        <v>2</v>
      </c>
      <c r="D3660" s="2" t="n">
        <v>1</v>
      </c>
      <c r="E3660" s="2" t="n">
        <v>1</v>
      </c>
      <c r="F3660" s="2" t="n">
        <v>47</v>
      </c>
      <c r="G3660" s="2" t="s">
        <v>614</v>
      </c>
      <c r="H3660" s="2" t="str">
        <f aca="false">IFERROR(__xludf.dummyfunction("IF(I3698="""", """", REGEXEXTRACT(I3698, ""Padrao/([^/]+)""))"),"Residencial Greenville")</f>
        <v>Residencial Greenville</v>
      </c>
    </row>
    <row r="3661" customFormat="false" ht="15.75" hidden="false" customHeight="false" outlineLevel="0" collapsed="false">
      <c r="A3661" s="2" t="n">
        <v>193187</v>
      </c>
      <c r="B3661" s="2" t="s">
        <v>2290</v>
      </c>
      <c r="C3661" s="2" t="n">
        <v>2</v>
      </c>
      <c r="D3661" s="2" t="n">
        <v>1</v>
      </c>
      <c r="E3661" s="2" t="n">
        <v>1</v>
      </c>
      <c r="F3661" s="2" t="n">
        <v>50</v>
      </c>
      <c r="G3661" s="2" t="s">
        <v>614</v>
      </c>
      <c r="H3661" s="2" t="str">
        <f aca="false">IFERROR(__xludf.dummyfunction("IF(I3699="""", """", REGEXEXTRACT(I3699, ""Padrao/([^/]+)""))"),"Jardim Novo Mundo")</f>
        <v>Jardim Novo Mundo</v>
      </c>
    </row>
    <row r="3662" customFormat="false" ht="15.75" hidden="false" customHeight="false" outlineLevel="0" collapsed="false">
      <c r="A3662" s="2" t="n">
        <v>189407</v>
      </c>
      <c r="B3662" s="2" t="s">
        <v>2952</v>
      </c>
      <c r="C3662" s="2" t="n">
        <v>3</v>
      </c>
      <c r="D3662" s="2" t="n">
        <v>2</v>
      </c>
      <c r="E3662" s="2" t="n">
        <v>1</v>
      </c>
      <c r="F3662" s="2" t="n">
        <v>107</v>
      </c>
      <c r="G3662" s="2" t="s">
        <v>614</v>
      </c>
      <c r="H3662" s="2" t="str">
        <f aca="false">IFERROR(__xludf.dummyfunction("IF(I3700="""", """", REGEXEXTRACT(I3700, ""Padrao/([^/]+)""))"),"Jardim Iraja")</f>
        <v>Jardim Iraja</v>
      </c>
    </row>
    <row r="3663" customFormat="false" ht="15.75" hidden="false" customHeight="false" outlineLevel="0" collapsed="false">
      <c r="A3663" s="2" t="n">
        <v>188876</v>
      </c>
      <c r="B3663" s="2" t="s">
        <v>2953</v>
      </c>
      <c r="C3663" s="2" t="n">
        <v>3</v>
      </c>
      <c r="D3663" s="2" t="n">
        <v>1</v>
      </c>
      <c r="E3663" s="2" t="n">
        <v>1</v>
      </c>
      <c r="F3663" s="2" t="n">
        <v>85</v>
      </c>
      <c r="G3663" s="2" t="s">
        <v>614</v>
      </c>
      <c r="H3663" s="2" t="str">
        <f aca="false">IFERROR(__xludf.dummyfunction("IF(I3701="""", """", REGEXEXTRACT(I3701, ""Padrao/([^/]+)""))"),"Jardim Macedo")</f>
        <v>Jardim Macedo</v>
      </c>
    </row>
    <row r="3664" customFormat="false" ht="15.75" hidden="false" customHeight="false" outlineLevel="0" collapsed="false">
      <c r="A3664" s="2" t="n">
        <v>186749</v>
      </c>
      <c r="B3664" s="2" t="s">
        <v>2954</v>
      </c>
      <c r="C3664" s="2" t="n">
        <v>2</v>
      </c>
      <c r="D3664" s="2" t="n">
        <v>2</v>
      </c>
      <c r="E3664" s="2" t="n">
        <v>2</v>
      </c>
      <c r="F3664" s="2" t="n">
        <v>84</v>
      </c>
      <c r="G3664" s="2" t="s">
        <v>614</v>
      </c>
      <c r="H3664" s="2" t="str">
        <f aca="false">IFERROR(__xludf.dummyfunction("IF(I3702="""", """", REGEXEXTRACT(I3702, ""Padrao/([^/]+)""))"),"Vila Monte Alegre")</f>
        <v>Vila Monte Alegre</v>
      </c>
    </row>
    <row r="3665" customFormat="false" ht="15.75" hidden="false" customHeight="false" outlineLevel="0" collapsed="false">
      <c r="A3665" s="2" t="n">
        <v>179942</v>
      </c>
      <c r="B3665" s="2" t="s">
        <v>2955</v>
      </c>
      <c r="C3665" s="2" t="n">
        <v>2</v>
      </c>
      <c r="D3665" s="2" t="n">
        <v>1</v>
      </c>
      <c r="E3665" s="2" t="n">
        <v>1</v>
      </c>
      <c r="F3665" s="2" t="n">
        <v>79</v>
      </c>
      <c r="G3665" s="2" t="s">
        <v>614</v>
      </c>
      <c r="H3665" s="2" t="str">
        <f aca="false">IFERROR(__xludf.dummyfunction("IF(I3703="""", """", REGEXEXTRACT(I3703, ""Padrao/([^/]+)""))"),"Jardim Palma Travassos")</f>
        <v>Jardim Palma Travassos</v>
      </c>
    </row>
    <row r="3666" customFormat="false" ht="15.75" hidden="false" customHeight="false" outlineLevel="0" collapsed="false">
      <c r="A3666" s="2" t="n">
        <v>175790</v>
      </c>
      <c r="B3666" s="2" t="s">
        <v>2923</v>
      </c>
      <c r="C3666" s="2" t="n">
        <v>3</v>
      </c>
      <c r="D3666" s="2" t="n">
        <v>2</v>
      </c>
      <c r="E3666" s="2" t="n">
        <v>2</v>
      </c>
      <c r="F3666" s="2" t="n">
        <v>107</v>
      </c>
      <c r="G3666" s="2" t="s">
        <v>614</v>
      </c>
      <c r="H3666" s="2" t="str">
        <f aca="false">IFERROR(__xludf.dummyfunction("IF(I3704="""", """", REGEXEXTRACT(I3704, ""Padrao/([^/]+)""))"),"Vila Seixas")</f>
        <v>Vila Seixas</v>
      </c>
    </row>
    <row r="3667" customFormat="false" ht="15.75" hidden="false" customHeight="false" outlineLevel="0" collapsed="false">
      <c r="A3667" s="2" t="n">
        <v>175076</v>
      </c>
      <c r="B3667" s="2" t="s">
        <v>2956</v>
      </c>
      <c r="C3667" s="2" t="n">
        <v>3</v>
      </c>
      <c r="D3667" s="2" t="n">
        <v>2</v>
      </c>
      <c r="E3667" s="2" t="n">
        <v>2</v>
      </c>
      <c r="F3667" s="2" t="n">
        <v>87</v>
      </c>
      <c r="G3667" s="2" t="s">
        <v>614</v>
      </c>
      <c r="H3667" s="2" t="str">
        <f aca="false">IFERROR(__xludf.dummyfunction("IF(I3705="""", """", REGEXEXTRACT(I3705, ""Padrao/([^/]+)""))"),"Parque dos Bandeirantes")</f>
        <v>Parque dos Bandeirantes</v>
      </c>
    </row>
    <row r="3668" customFormat="false" ht="15.75" hidden="false" customHeight="false" outlineLevel="0" collapsed="false">
      <c r="A3668" s="2" t="n">
        <v>173720</v>
      </c>
      <c r="B3668" s="2" t="s">
        <v>847</v>
      </c>
      <c r="C3668" s="2" t="n">
        <v>2</v>
      </c>
      <c r="D3668" s="2" t="n">
        <v>2</v>
      </c>
      <c r="E3668" s="2" t="n">
        <v>1</v>
      </c>
      <c r="F3668" s="2" t="n">
        <v>104</v>
      </c>
      <c r="G3668" s="2" t="s">
        <v>614</v>
      </c>
      <c r="H3668" s="2" t="str">
        <f aca="false">IFERROR(__xludf.dummyfunction("IF(I3706="""", """", REGEXEXTRACT(I3706, ""Padrao/([^/]+)""))"),"Jardim Macedo")</f>
        <v>Jardim Macedo</v>
      </c>
    </row>
    <row r="3669" customFormat="false" ht="15.75" hidden="false" customHeight="false" outlineLevel="0" collapsed="false">
      <c r="A3669" s="2" t="n">
        <v>170261</v>
      </c>
      <c r="B3669" s="2" t="s">
        <v>2957</v>
      </c>
      <c r="C3669" s="2" t="n">
        <v>2</v>
      </c>
      <c r="D3669" s="2" t="n">
        <v>1</v>
      </c>
      <c r="E3669" s="2" t="n">
        <v>1</v>
      </c>
      <c r="F3669" s="2" t="n">
        <v>61</v>
      </c>
      <c r="G3669" s="2" t="s">
        <v>614</v>
      </c>
      <c r="H3669" s="2" t="str">
        <f aca="false">IFERROR(__xludf.dummyfunction("IF(I3707="""", """", REGEXEXTRACT(I3707, ""Padrao/([^/]+)""))"),"Vila Monte Alegre")</f>
        <v>Vila Monte Alegre</v>
      </c>
    </row>
    <row r="3670" customFormat="false" ht="15.75" hidden="false" customHeight="false" outlineLevel="0" collapsed="false">
      <c r="A3670" s="2" t="n">
        <v>165518</v>
      </c>
      <c r="B3670" s="2" t="s">
        <v>2958</v>
      </c>
      <c r="C3670" s="2" t="n">
        <v>2</v>
      </c>
      <c r="D3670" s="2" t="n">
        <v>2</v>
      </c>
      <c r="E3670" s="2" t="n">
        <v>2</v>
      </c>
      <c r="F3670" s="2" t="n">
        <v>47</v>
      </c>
      <c r="G3670" s="2" t="s">
        <v>614</v>
      </c>
      <c r="H3670" s="2" t="str">
        <f aca="false">IFERROR(__xludf.dummyfunction("IF(I3708="""", """", REGEXEXTRACT(I3708, ""Padrao/([^/]+)""))"),"Parque dos Bandeirantes")</f>
        <v>Parque dos Bandeirantes</v>
      </c>
    </row>
    <row r="3671" customFormat="false" ht="15.75" hidden="false" customHeight="false" outlineLevel="0" collapsed="false">
      <c r="A3671" s="2" t="n">
        <v>164525</v>
      </c>
      <c r="B3671" s="2" t="s">
        <v>2959</v>
      </c>
      <c r="C3671" s="2" t="n">
        <v>3</v>
      </c>
      <c r="D3671" s="2" t="n">
        <v>2</v>
      </c>
      <c r="E3671" s="2" t="n">
        <v>1</v>
      </c>
      <c r="F3671" s="2" t="n">
        <v>66</v>
      </c>
      <c r="G3671" s="2" t="s">
        <v>614</v>
      </c>
      <c r="H3671" s="2" t="str">
        <f aca="false">IFERROR(__xludf.dummyfunction("IF(I3709="""", """", REGEXEXTRACT(I3709, ""Padrao/([^/]+)""))"),"Jardim Interlagos")</f>
        <v>Jardim Interlagos</v>
      </c>
    </row>
    <row r="3672" customFormat="false" ht="15.75" hidden="false" customHeight="false" outlineLevel="0" collapsed="false">
      <c r="A3672" s="2" t="n">
        <v>162218</v>
      </c>
      <c r="B3672" s="2" t="s">
        <v>2960</v>
      </c>
      <c r="C3672" s="2" t="n">
        <v>2</v>
      </c>
      <c r="D3672" s="2" t="n">
        <v>2</v>
      </c>
      <c r="E3672" s="2" t="n">
        <v>1</v>
      </c>
      <c r="F3672" s="2" t="n">
        <v>96</v>
      </c>
      <c r="G3672" s="2" t="s">
        <v>614</v>
      </c>
      <c r="H3672" s="2" t="str">
        <f aca="false">IFERROR(__xludf.dummyfunction("IF(I3710="""", """", REGEXEXTRACT(I3710, ""Padrao/([^/]+)""))"),"Parque Industrial Lagoinha")</f>
        <v>Parque Industrial Lagoinha</v>
      </c>
    </row>
    <row r="3673" customFormat="false" ht="15.75" hidden="false" customHeight="false" outlineLevel="0" collapsed="false">
      <c r="A3673" s="2" t="n">
        <v>152015</v>
      </c>
      <c r="B3673" s="2" t="s">
        <v>607</v>
      </c>
      <c r="C3673" s="2" t="n">
        <v>3</v>
      </c>
      <c r="D3673" s="2" t="n">
        <v>1</v>
      </c>
      <c r="E3673" s="2" t="n">
        <v>1</v>
      </c>
      <c r="F3673" s="2" t="n">
        <v>69</v>
      </c>
      <c r="G3673" s="2" t="s">
        <v>614</v>
      </c>
      <c r="H3673" s="2" t="str">
        <f aca="false">IFERROR(__xludf.dummyfunction("IF(I3711="""", """", REGEXEXTRACT(I3711, ""Padrao/([^/]+)""))"),"Jardim Paulista")</f>
        <v>Jardim Paulista</v>
      </c>
    </row>
    <row r="3674" customFormat="false" ht="15.75" hidden="false" customHeight="false" outlineLevel="0" collapsed="false">
      <c r="A3674" s="2" t="n">
        <v>145958</v>
      </c>
      <c r="B3674" s="2" t="s">
        <v>2961</v>
      </c>
      <c r="C3674" s="2" t="n">
        <v>2</v>
      </c>
      <c r="D3674" s="2" t="n">
        <v>2</v>
      </c>
      <c r="E3674" s="2" t="n">
        <v>1</v>
      </c>
      <c r="F3674" s="2" t="n">
        <v>72</v>
      </c>
      <c r="G3674" s="2" t="s">
        <v>614</v>
      </c>
      <c r="H3674" s="2" t="str">
        <f aca="false">IFERROR(__xludf.dummyfunction("IF(I3712="""", """", REGEXEXTRACT(I3712, ""Padrao/([^/]+)""))"),"Vila Amelia")</f>
        <v>Vila Amelia</v>
      </c>
    </row>
    <row r="3675" customFormat="false" ht="15.75" hidden="false" customHeight="false" outlineLevel="0" collapsed="false">
      <c r="A3675" s="2" t="n">
        <v>144104</v>
      </c>
      <c r="B3675" s="2" t="s">
        <v>2962</v>
      </c>
      <c r="C3675" s="2" t="n">
        <v>3</v>
      </c>
      <c r="D3675" s="2" t="n">
        <v>2</v>
      </c>
      <c r="E3675" s="2" t="n">
        <v>1</v>
      </c>
      <c r="F3675" s="2" t="n">
        <v>64</v>
      </c>
      <c r="G3675" s="2" t="s">
        <v>614</v>
      </c>
      <c r="H3675" s="2" t="str">
        <f aca="false">IFERROR(__xludf.dummyfunction("IF(I3713="""", """", REGEXEXTRACT(I3713, ""Padrao/([^/]+)""))"),"Jardim Palma Travassos")</f>
        <v>Jardim Palma Travassos</v>
      </c>
    </row>
    <row r="3676" customFormat="false" ht="15.75" hidden="false" customHeight="false" outlineLevel="0" collapsed="false">
      <c r="A3676" s="2" t="n">
        <v>142550</v>
      </c>
      <c r="B3676" s="2" t="s">
        <v>1066</v>
      </c>
      <c r="C3676" s="2" t="n">
        <v>3</v>
      </c>
      <c r="D3676" s="2" t="n">
        <v>2</v>
      </c>
      <c r="E3676" s="2" t="n">
        <v>1</v>
      </c>
      <c r="F3676" s="2" t="n">
        <v>76</v>
      </c>
      <c r="G3676" s="2" t="s">
        <v>614</v>
      </c>
      <c r="H3676" s="2" t="str">
        <f aca="false">IFERROR(__xludf.dummyfunction("IF(I3714="""", """", REGEXEXTRACT(I3714, ""Padrao/([^/]+)""))"),"Jardim Palma Travassos")</f>
        <v>Jardim Palma Travassos</v>
      </c>
    </row>
    <row r="3677" customFormat="false" ht="15.75" hidden="false" customHeight="false" outlineLevel="0" collapsed="false">
      <c r="A3677" s="2" t="n">
        <v>138296</v>
      </c>
      <c r="B3677" s="2" t="s">
        <v>2963</v>
      </c>
      <c r="C3677" s="2" t="n">
        <v>3</v>
      </c>
      <c r="D3677" s="2" t="n">
        <v>2</v>
      </c>
      <c r="E3677" s="2" t="n">
        <v>1</v>
      </c>
      <c r="F3677" s="2" t="n">
        <v>85</v>
      </c>
      <c r="G3677" s="2" t="s">
        <v>614</v>
      </c>
      <c r="H3677" s="2" t="str">
        <f aca="false">IFERROR(__xludf.dummyfunction("IF(I3715="""", """", REGEXEXTRACT(I3715, ""Padrao/([^/]+)""))"),"Jardim Zara")</f>
        <v>Jardim Zara</v>
      </c>
    </row>
    <row r="3678" customFormat="false" ht="15.75" hidden="false" customHeight="false" outlineLevel="0" collapsed="false">
      <c r="A3678" s="2" t="n">
        <v>137885</v>
      </c>
      <c r="B3678" s="2" t="s">
        <v>2964</v>
      </c>
      <c r="C3678" s="2" t="n">
        <v>3</v>
      </c>
      <c r="D3678" s="2" t="n">
        <v>2</v>
      </c>
      <c r="E3678" s="2" t="n">
        <v>1</v>
      </c>
      <c r="F3678" s="2" t="n">
        <v>66</v>
      </c>
      <c r="G3678" s="2" t="s">
        <v>614</v>
      </c>
      <c r="H3678" s="2" t="str">
        <f aca="false">IFERROR(__xludf.dummyfunction("IF(I3716="""", """", REGEXEXTRACT(I3716, ""Padrao/([^/]+)""))"),"Parque dos Lagos")</f>
        <v>Parque dos Lagos</v>
      </c>
    </row>
    <row r="3679" customFormat="false" ht="15.75" hidden="false" customHeight="false" outlineLevel="0" collapsed="false">
      <c r="A3679" s="2" t="n">
        <v>136805</v>
      </c>
      <c r="B3679" s="2" t="s">
        <v>2965</v>
      </c>
      <c r="C3679" s="2" t="n">
        <v>2</v>
      </c>
      <c r="D3679" s="2" t="n">
        <v>2</v>
      </c>
      <c r="E3679" s="2" t="n">
        <v>1</v>
      </c>
      <c r="F3679" s="2" t="n">
        <v>66</v>
      </c>
      <c r="G3679" s="2" t="s">
        <v>614</v>
      </c>
      <c r="H3679" s="2" t="str">
        <f aca="false">IFERROR(__xludf.dummyfunction("IF(I3717="""", """", REGEXEXTRACT(I3717, ""Padrao/([^/]+)""))"),"City Ribeirao")</f>
        <v>City Ribeirao</v>
      </c>
    </row>
    <row r="3680" customFormat="false" ht="15.75" hidden="false" customHeight="false" outlineLevel="0" collapsed="false">
      <c r="A3680" s="2" t="n">
        <v>136409</v>
      </c>
      <c r="B3680" s="2" t="s">
        <v>2966</v>
      </c>
      <c r="C3680" s="2" t="n">
        <v>1</v>
      </c>
      <c r="D3680" s="2" t="n">
        <v>1</v>
      </c>
      <c r="E3680" s="2" t="n">
        <v>1</v>
      </c>
      <c r="F3680" s="2" t="n">
        <v>33</v>
      </c>
      <c r="G3680" s="2" t="s">
        <v>614</v>
      </c>
      <c r="H3680" s="2" t="str">
        <f aca="false">IFERROR(__xludf.dummyfunction("IF(I3718="""", """", REGEXEXTRACT(I3718, ""Padrao/([^/]+)""))"),"Centro")</f>
        <v>Centro</v>
      </c>
    </row>
    <row r="3681" customFormat="false" ht="15.75" hidden="false" customHeight="false" outlineLevel="0" collapsed="false">
      <c r="A3681" s="2" t="n">
        <v>134024</v>
      </c>
      <c r="B3681" s="2" t="s">
        <v>2967</v>
      </c>
      <c r="C3681" s="2" t="n">
        <v>3</v>
      </c>
      <c r="D3681" s="2" t="n">
        <v>2</v>
      </c>
      <c r="E3681" s="2" t="n">
        <v>1</v>
      </c>
      <c r="F3681" s="2" t="n">
        <v>81</v>
      </c>
      <c r="G3681" s="2" t="s">
        <v>614</v>
      </c>
      <c r="H3681" s="2" t="str">
        <f aca="false">IFERROR(__xludf.dummyfunction("IF(I3719="""", """", REGEXEXTRACT(I3719, ""Padrao/([^/]+)""))"),"Sumarezinho")</f>
        <v>Sumarezinho</v>
      </c>
    </row>
    <row r="3682" customFormat="false" ht="15.75" hidden="false" customHeight="false" outlineLevel="0" collapsed="false">
      <c r="A3682" s="2" t="n">
        <v>131819</v>
      </c>
      <c r="B3682" s="2" t="s">
        <v>2968</v>
      </c>
      <c r="C3682" s="2" t="n">
        <v>3</v>
      </c>
      <c r="D3682" s="2" t="n">
        <v>2</v>
      </c>
      <c r="E3682" s="2" t="n">
        <v>1</v>
      </c>
      <c r="F3682" s="2" t="n">
        <v>88</v>
      </c>
      <c r="G3682" s="2" t="s">
        <v>614</v>
      </c>
      <c r="H3682" s="2" t="str">
        <f aca="false">IFERROR(__xludf.dummyfunction("IF(I3720="""", """", REGEXEXTRACT(I3720, ""Padrao/([^/]+)""))"),"Parque dos Bandeirantes")</f>
        <v>Parque dos Bandeirantes</v>
      </c>
    </row>
    <row r="3683" customFormat="false" ht="15.75" hidden="false" customHeight="false" outlineLevel="0" collapsed="false">
      <c r="A3683" s="2" t="n">
        <v>131507</v>
      </c>
      <c r="B3683" s="2" t="s">
        <v>2556</v>
      </c>
      <c r="C3683" s="2" t="n">
        <v>3</v>
      </c>
      <c r="D3683" s="2" t="n">
        <v>2</v>
      </c>
      <c r="E3683" s="2" t="n">
        <v>1</v>
      </c>
      <c r="F3683" s="2" t="n">
        <v>62</v>
      </c>
      <c r="G3683" s="2" t="s">
        <v>614</v>
      </c>
      <c r="H3683" s="2" t="str">
        <f aca="false">IFERROR(__xludf.dummyfunction("IF(I3721="""", """", REGEXEXTRACT(I3721, ""Padrao/([^/]+)""))"),"Alto do Ipiranga")</f>
        <v>Alto do Ipiranga</v>
      </c>
    </row>
    <row r="3684" customFormat="false" ht="15.75" hidden="false" customHeight="false" outlineLevel="0" collapsed="false">
      <c r="A3684" s="2" t="n">
        <v>127376</v>
      </c>
      <c r="B3684" s="2" t="s">
        <v>162</v>
      </c>
      <c r="C3684" s="2" t="n">
        <v>2</v>
      </c>
      <c r="D3684" s="2" t="n">
        <v>2</v>
      </c>
      <c r="E3684" s="2" t="n">
        <v>1</v>
      </c>
      <c r="F3684" s="2" t="n">
        <v>67</v>
      </c>
      <c r="G3684" s="2" t="s">
        <v>614</v>
      </c>
      <c r="H3684" s="2" t="str">
        <f aca="false">IFERROR(__xludf.dummyfunction("IF(I3722="""", """", REGEXEXTRACT(I3722, ""Padrao/([^/]+)""))"),"Parque Industrial Lagoinha")</f>
        <v>Parque Industrial Lagoinha</v>
      </c>
    </row>
    <row r="3685" customFormat="false" ht="15.75" hidden="false" customHeight="false" outlineLevel="0" collapsed="false">
      <c r="A3685" s="2" t="n">
        <v>126422</v>
      </c>
      <c r="B3685" s="2" t="s">
        <v>162</v>
      </c>
      <c r="C3685" s="2" t="n">
        <v>3</v>
      </c>
      <c r="D3685" s="2" t="n">
        <v>3</v>
      </c>
      <c r="E3685" s="2" t="n">
        <v>2</v>
      </c>
      <c r="F3685" s="2" t="n">
        <v>99</v>
      </c>
      <c r="G3685" s="2" t="s">
        <v>614</v>
      </c>
      <c r="H3685" s="2" t="str">
        <f aca="false">IFERROR(__xludf.dummyfunction("IF(I3723="""", """", REGEXEXTRACT(I3723, ""Padrao/([^/]+)""))"),"Vila Tiberio")</f>
        <v>Vila Tiberio</v>
      </c>
    </row>
    <row r="3686" customFormat="false" ht="15.75" hidden="false" customHeight="false" outlineLevel="0" collapsed="false">
      <c r="A3686" s="2" t="n">
        <v>119744</v>
      </c>
      <c r="B3686" s="2" t="s">
        <v>2969</v>
      </c>
      <c r="C3686" s="2" t="n">
        <v>3</v>
      </c>
      <c r="D3686" s="2" t="n">
        <v>2</v>
      </c>
      <c r="E3686" s="2" t="n">
        <v>1</v>
      </c>
      <c r="F3686" s="2" t="n">
        <v>98</v>
      </c>
      <c r="G3686" s="2" t="s">
        <v>614</v>
      </c>
      <c r="H3686" s="2" t="str">
        <f aca="false">IFERROR(__xludf.dummyfunction("IF(I3724="""", """", REGEXEXTRACT(I3724, ""Padrao/([^/]+)""))"),"Parque dos Lagos")</f>
        <v>Parque dos Lagos</v>
      </c>
    </row>
    <row r="3687" customFormat="false" ht="15.75" hidden="false" customHeight="false" outlineLevel="0" collapsed="false">
      <c r="A3687" s="2" t="n">
        <v>118598</v>
      </c>
      <c r="B3687" s="2" t="s">
        <v>2364</v>
      </c>
      <c r="C3687" s="2" t="n">
        <v>2</v>
      </c>
      <c r="D3687" s="2" t="n">
        <v>2</v>
      </c>
      <c r="E3687" s="2" t="n">
        <v>2</v>
      </c>
      <c r="F3687" s="2" t="n">
        <v>65</v>
      </c>
      <c r="G3687" s="2" t="s">
        <v>614</v>
      </c>
      <c r="H3687" s="2" t="str">
        <f aca="false">IFERROR(__xludf.dummyfunction("IF(I3725="""", """", REGEXEXTRACT(I3725, ""Padrao/([^/]+)""))"),"Residencial e Comercial Palmares")</f>
        <v>Residencial e Comercial Palmares</v>
      </c>
    </row>
    <row r="3688" customFormat="false" ht="15.75" hidden="false" customHeight="false" outlineLevel="0" collapsed="false">
      <c r="A3688" s="2" t="n">
        <v>118268</v>
      </c>
      <c r="B3688" s="2" t="s">
        <v>2970</v>
      </c>
      <c r="C3688" s="2" t="n">
        <v>2</v>
      </c>
      <c r="D3688" s="2" t="n">
        <v>3</v>
      </c>
      <c r="E3688" s="2" t="n">
        <v>1</v>
      </c>
      <c r="F3688" s="2" t="n">
        <v>68</v>
      </c>
      <c r="G3688" s="2" t="s">
        <v>614</v>
      </c>
      <c r="H3688" s="2" t="str">
        <f aca="false">IFERROR(__xludf.dummyfunction("IF(I3726="""", """", REGEXEXTRACT(I3726, ""Padrao/([^/]+)""))"),"Centro")</f>
        <v>Centro</v>
      </c>
    </row>
    <row r="3689" customFormat="false" ht="15.75" hidden="false" customHeight="false" outlineLevel="0" collapsed="false">
      <c r="A3689" s="2" t="n">
        <v>114269</v>
      </c>
      <c r="B3689" s="2" t="s">
        <v>1149</v>
      </c>
      <c r="C3689" s="2" t="n">
        <v>3</v>
      </c>
      <c r="D3689" s="2" t="n">
        <v>2</v>
      </c>
      <c r="E3689" s="2" t="n">
        <v>1</v>
      </c>
      <c r="F3689" s="2" t="n">
        <v>100</v>
      </c>
      <c r="G3689" s="2" t="s">
        <v>614</v>
      </c>
      <c r="H3689" s="2" t="str">
        <f aca="false">IFERROR(__xludf.dummyfunction("IF(I3727="""", """", REGEXEXTRACT(I3727, ""Padrao/([^/]+)""))"),"Parque Industrial Lagoinha")</f>
        <v>Parque Industrial Lagoinha</v>
      </c>
    </row>
    <row r="3690" customFormat="false" ht="15.75" hidden="false" customHeight="false" outlineLevel="0" collapsed="false">
      <c r="A3690" s="2" t="n">
        <v>105551</v>
      </c>
      <c r="B3690" s="2" t="s">
        <v>1009</v>
      </c>
      <c r="C3690" s="2" t="n">
        <v>1</v>
      </c>
      <c r="D3690" s="2" t="n">
        <v>1</v>
      </c>
      <c r="E3690" s="2" t="n">
        <v>1</v>
      </c>
      <c r="F3690" s="2" t="n">
        <v>64</v>
      </c>
      <c r="G3690" s="2" t="s">
        <v>614</v>
      </c>
      <c r="H3690" s="2" t="str">
        <f aca="false">IFERROR(__xludf.dummyfunction("IF(I3728="""", """", REGEXEXTRACT(I3728, ""Padrao/([^/]+)""))"),"Centro")</f>
        <v>Centro</v>
      </c>
    </row>
    <row r="3691" customFormat="false" ht="15.75" hidden="false" customHeight="false" outlineLevel="0" collapsed="false">
      <c r="A3691" s="2" t="n">
        <v>98870</v>
      </c>
      <c r="B3691" s="2" t="s">
        <v>2967</v>
      </c>
      <c r="C3691" s="2" t="n">
        <v>3</v>
      </c>
      <c r="D3691" s="2" t="n">
        <v>2</v>
      </c>
      <c r="E3691" s="2" t="n">
        <v>1</v>
      </c>
      <c r="F3691" s="2" t="n">
        <v>81</v>
      </c>
      <c r="G3691" s="2" t="s">
        <v>614</v>
      </c>
      <c r="H3691" s="2" t="str">
        <f aca="false">IFERROR(__xludf.dummyfunction("IF(I3729="""", """", REGEXEXTRACT(I3729, ""Padrao/([^/]+)""))"),"Sumarezinho")</f>
        <v>Sumarezinho</v>
      </c>
    </row>
    <row r="3692" customFormat="false" ht="15.75" hidden="false" customHeight="false" outlineLevel="0" collapsed="false">
      <c r="A3692" s="2" t="n">
        <v>98684</v>
      </c>
      <c r="B3692" s="2" t="s">
        <v>1107</v>
      </c>
      <c r="C3692" s="2" t="n">
        <v>3</v>
      </c>
      <c r="D3692" s="2" t="n">
        <v>2</v>
      </c>
      <c r="E3692" s="2" t="n">
        <v>1</v>
      </c>
      <c r="F3692" s="2" t="n">
        <v>91</v>
      </c>
      <c r="G3692" s="2" t="s">
        <v>614</v>
      </c>
      <c r="H3692" s="2" t="str">
        <f aca="false">IFERROR(__xludf.dummyfunction("IF(I3730="""", """", REGEXEXTRACT(I3730, ""Padrao/([^/]+)""))"),"Parque Industrial Lagoinha")</f>
        <v>Parque Industrial Lagoinha</v>
      </c>
    </row>
    <row r="3693" customFormat="false" ht="15.75" hidden="false" customHeight="false" outlineLevel="0" collapsed="false">
      <c r="A3693" s="2" t="n">
        <v>96110</v>
      </c>
      <c r="B3693" s="2" t="s">
        <v>2971</v>
      </c>
      <c r="C3693" s="2" t="n">
        <v>3</v>
      </c>
      <c r="D3693" s="2" t="n">
        <v>2</v>
      </c>
      <c r="E3693" s="2" t="n">
        <v>1</v>
      </c>
      <c r="F3693" s="2" t="n">
        <v>109</v>
      </c>
      <c r="G3693" s="2" t="s">
        <v>614</v>
      </c>
      <c r="H3693" s="2" t="str">
        <f aca="false">IFERROR(__xludf.dummyfunction("IF(I3731="""", """", REGEXEXTRACT(I3731, ""Padrao/([^/]+)""))"),"Centro")</f>
        <v>Centro</v>
      </c>
    </row>
    <row r="3694" customFormat="false" ht="15.75" hidden="false" customHeight="false" outlineLevel="0" collapsed="false">
      <c r="A3694" s="2" t="n">
        <v>95036</v>
      </c>
      <c r="B3694" s="2" t="s">
        <v>1312</v>
      </c>
      <c r="C3694" s="2" t="n">
        <v>2</v>
      </c>
      <c r="D3694" s="2" t="n">
        <v>2</v>
      </c>
      <c r="E3694" s="2" t="n">
        <v>1</v>
      </c>
      <c r="F3694" s="2" t="n">
        <v>56</v>
      </c>
      <c r="G3694" s="2" t="s">
        <v>614</v>
      </c>
      <c r="H3694" s="2" t="str">
        <f aca="false">IFERROR(__xludf.dummyfunction("IF(I3732="""", """", REGEXEXTRACT(I3732, ""Padrao/([^/]+)""))"),"Jardim Iraja")</f>
        <v>Jardim Iraja</v>
      </c>
    </row>
    <row r="3695" customFormat="false" ht="15.75" hidden="false" customHeight="false" outlineLevel="0" collapsed="false">
      <c r="A3695" s="2" t="n">
        <v>94937</v>
      </c>
      <c r="B3695" s="2" t="s">
        <v>2972</v>
      </c>
      <c r="C3695" s="2" t="n">
        <v>1</v>
      </c>
      <c r="D3695" s="2" t="n">
        <v>1</v>
      </c>
      <c r="E3695" s="2" t="n">
        <v>1</v>
      </c>
      <c r="F3695" s="2" t="n">
        <v>46</v>
      </c>
      <c r="G3695" s="2" t="s">
        <v>614</v>
      </c>
      <c r="H3695" s="2" t="str">
        <f aca="false">IFERROR(__xludf.dummyfunction("IF(I3733="""", """", REGEXEXTRACT(I3733, ""Padrao/([^/]+)""))"),"Jardim Florida")</f>
        <v>Jardim Florida</v>
      </c>
    </row>
    <row r="3696" customFormat="false" ht="15.75" hidden="false" customHeight="false" outlineLevel="0" collapsed="false">
      <c r="A3696" s="2" t="n">
        <v>94433</v>
      </c>
      <c r="B3696" s="2" t="s">
        <v>2973</v>
      </c>
      <c r="C3696" s="2" t="n">
        <v>1</v>
      </c>
      <c r="D3696" s="2" t="n">
        <v>1</v>
      </c>
      <c r="E3696" s="2" t="n">
        <v>1</v>
      </c>
      <c r="F3696" s="2" t="n">
        <v>50</v>
      </c>
      <c r="G3696" s="2" t="s">
        <v>614</v>
      </c>
      <c r="H3696" s="2" t="str">
        <f aca="false">IFERROR(__xludf.dummyfunction("IF(I3735="""", """", REGEXEXTRACT(I3735, ""Padrao/([^/]+)""))"),"Nova Alianca")</f>
        <v>Nova Alianca</v>
      </c>
    </row>
    <row r="3697" customFormat="false" ht="15.75" hidden="false" customHeight="false" outlineLevel="0" collapsed="false">
      <c r="A3697" s="2" t="n">
        <v>92993</v>
      </c>
      <c r="B3697" s="2" t="s">
        <v>2974</v>
      </c>
      <c r="C3697" s="2" t="n">
        <v>2</v>
      </c>
      <c r="D3697" s="2" t="n">
        <v>1</v>
      </c>
      <c r="E3697" s="2" t="n">
        <v>1</v>
      </c>
      <c r="F3697" s="2" t="n">
        <v>78</v>
      </c>
      <c r="G3697" s="2" t="s">
        <v>614</v>
      </c>
      <c r="H3697" s="2" t="str">
        <f aca="false">IFERROR(__xludf.dummyfunction("IF(I3736="""", """", REGEXEXTRACT(I3736, ""Padrao/([^/]+)""))"),"Jardim Iraja")</f>
        <v>Jardim Iraja</v>
      </c>
    </row>
    <row r="3698" customFormat="false" ht="15.75" hidden="false" customHeight="false" outlineLevel="0" collapsed="false">
      <c r="A3698" s="2" t="n">
        <v>91454</v>
      </c>
      <c r="B3698" s="2" t="s">
        <v>2975</v>
      </c>
      <c r="C3698" s="2" t="n">
        <v>3</v>
      </c>
      <c r="D3698" s="2" t="n">
        <v>2</v>
      </c>
      <c r="E3698" s="2" t="n">
        <v>2</v>
      </c>
      <c r="F3698" s="2" t="n">
        <v>66</v>
      </c>
      <c r="G3698" s="2" t="s">
        <v>614</v>
      </c>
      <c r="H3698" s="2" t="str">
        <f aca="false">IFERROR(__xludf.dummyfunction("IF(I3737="""", """", REGEXEXTRACT(I3737, ""Padrao/([^/]+)""))"),"Jardim Interlagos")</f>
        <v>Jardim Interlagos</v>
      </c>
    </row>
    <row r="3699" customFormat="false" ht="15.75" hidden="false" customHeight="false" outlineLevel="0" collapsed="false">
      <c r="A3699" s="2" t="n">
        <v>87941</v>
      </c>
      <c r="B3699" s="2" t="s">
        <v>2976</v>
      </c>
      <c r="C3699" s="2" t="n">
        <v>3</v>
      </c>
      <c r="D3699" s="2" t="n">
        <v>2</v>
      </c>
      <c r="E3699" s="2" t="n">
        <v>1</v>
      </c>
      <c r="F3699" s="2" t="n">
        <v>74</v>
      </c>
      <c r="G3699" s="2" t="s">
        <v>614</v>
      </c>
      <c r="H3699" s="2" t="str">
        <f aca="false">IFERROR(__xludf.dummyfunction("IF(I3738="""", """", REGEXEXTRACT(I3738, ""Padrao/([^/]+)""))"),"Parque Industrial Lagoinha")</f>
        <v>Parque Industrial Lagoinha</v>
      </c>
    </row>
    <row r="3700" customFormat="false" ht="15.75" hidden="false" customHeight="false" outlineLevel="0" collapsed="false">
      <c r="A3700" s="2" t="n">
        <v>85640</v>
      </c>
      <c r="B3700" s="2" t="s">
        <v>615</v>
      </c>
      <c r="C3700" s="2" t="n">
        <v>2</v>
      </c>
      <c r="D3700" s="2" t="n">
        <v>2</v>
      </c>
      <c r="E3700" s="2" t="n">
        <v>1</v>
      </c>
      <c r="F3700" s="2" t="n">
        <v>68</v>
      </c>
      <c r="G3700" s="2" t="s">
        <v>614</v>
      </c>
      <c r="H3700" s="2" t="str">
        <f aca="false">IFERROR(__xludf.dummyfunction("IF(I3739="""", """", REGEXEXTRACT(I3739, ""Padrao/([^/]+)""))"),"Centro")</f>
        <v>Centro</v>
      </c>
    </row>
    <row r="3701" customFormat="false" ht="15.75" hidden="false" customHeight="false" outlineLevel="0" collapsed="false">
      <c r="A3701" s="2" t="n">
        <v>85475</v>
      </c>
      <c r="B3701" s="2" t="s">
        <v>2977</v>
      </c>
      <c r="C3701" s="2" t="n">
        <v>2</v>
      </c>
      <c r="D3701" s="2" t="n">
        <v>1</v>
      </c>
      <c r="E3701" s="2" t="n">
        <v>1</v>
      </c>
      <c r="F3701" s="2" t="n">
        <v>65</v>
      </c>
      <c r="G3701" s="2" t="s">
        <v>614</v>
      </c>
      <c r="H3701" s="2" t="str">
        <f aca="false">IFERROR(__xludf.dummyfunction("IF(I3740="""", """", REGEXEXTRACT(I3740, ""Padrao/([^/]+)""))"),"Residencial Florida")</f>
        <v>Residencial Florida</v>
      </c>
    </row>
    <row r="3702" customFormat="false" ht="15.75" hidden="false" customHeight="false" outlineLevel="0" collapsed="false">
      <c r="A3702" s="2" t="n">
        <v>84635</v>
      </c>
      <c r="B3702" s="2" t="s">
        <v>2978</v>
      </c>
      <c r="C3702" s="2" t="n">
        <v>2</v>
      </c>
      <c r="D3702" s="2" t="n">
        <v>2</v>
      </c>
      <c r="E3702" s="2" t="n">
        <v>2</v>
      </c>
      <c r="F3702" s="2" t="n">
        <v>59</v>
      </c>
      <c r="G3702" s="2" t="s">
        <v>614</v>
      </c>
      <c r="H3702" s="2" t="str">
        <f aca="false">IFERROR(__xludf.dummyfunction("IF(I3741="""", """", REGEXEXTRACT(I3741, ""Padrao/([^/]+)""))"),"Residencial Florida")</f>
        <v>Residencial Florida</v>
      </c>
    </row>
    <row r="3703" customFormat="false" ht="15.75" hidden="false" customHeight="false" outlineLevel="0" collapsed="false">
      <c r="A3703" s="2" t="n">
        <v>84506</v>
      </c>
      <c r="B3703" s="2" t="s">
        <v>2979</v>
      </c>
      <c r="C3703" s="2" t="n">
        <v>2</v>
      </c>
      <c r="D3703" s="2" t="n">
        <v>2</v>
      </c>
      <c r="E3703" s="2" t="n">
        <v>1</v>
      </c>
      <c r="F3703" s="2" t="n">
        <v>64</v>
      </c>
      <c r="G3703" s="2" t="s">
        <v>614</v>
      </c>
      <c r="H3703" s="2" t="str">
        <f aca="false">IFERROR(__xludf.dummyfunction("IF(I3742="""", """", REGEXEXTRACT(I3742, ""Padrao/([^/]+)""))"),"Residencial Florida")</f>
        <v>Residencial Florida</v>
      </c>
    </row>
    <row r="3704" customFormat="false" ht="15.75" hidden="false" customHeight="false" outlineLevel="0" collapsed="false">
      <c r="A3704" s="2" t="n">
        <v>84452</v>
      </c>
      <c r="B3704" s="2" t="s">
        <v>2980</v>
      </c>
      <c r="C3704" s="2" t="n">
        <v>1</v>
      </c>
      <c r="D3704" s="2" t="n">
        <v>1</v>
      </c>
      <c r="E3704" s="2" t="n">
        <v>1</v>
      </c>
      <c r="F3704" s="2" t="n">
        <v>38</v>
      </c>
      <c r="G3704" s="2" t="s">
        <v>614</v>
      </c>
      <c r="H3704" s="2" t="str">
        <f aca="false">IFERROR(__xludf.dummyfunction("IF(I3743="""", """", REGEXEXTRACT(I3743, ""Padrao/([^/]+)""))"),"Jardim Botanico")</f>
        <v>Jardim Botanico</v>
      </c>
    </row>
    <row r="3705" customFormat="false" ht="15.75" hidden="false" customHeight="false" outlineLevel="0" collapsed="false">
      <c r="A3705" s="2" t="n">
        <v>83501</v>
      </c>
      <c r="B3705" s="2" t="s">
        <v>2976</v>
      </c>
      <c r="C3705" s="2" t="n">
        <v>3</v>
      </c>
      <c r="D3705" s="2" t="n">
        <v>2</v>
      </c>
      <c r="E3705" s="2" t="n">
        <v>1</v>
      </c>
      <c r="F3705" s="2" t="n">
        <v>74</v>
      </c>
      <c r="G3705" s="2" t="s">
        <v>614</v>
      </c>
      <c r="H3705" s="2" t="str">
        <f aca="false">IFERROR(__xludf.dummyfunction("IF(I3744="""", """", REGEXEXTRACT(I3744, ""Padrao/([^/]+)""))"),"Parque Industrial Lagoinha")</f>
        <v>Parque Industrial Lagoinha</v>
      </c>
    </row>
    <row r="3706" customFormat="false" ht="15.75" hidden="false" customHeight="false" outlineLevel="0" collapsed="false">
      <c r="A3706" s="2" t="n">
        <v>81941</v>
      </c>
      <c r="B3706" s="2" t="s">
        <v>2981</v>
      </c>
      <c r="C3706" s="2" t="n">
        <v>3</v>
      </c>
      <c r="D3706" s="2" t="n">
        <v>2</v>
      </c>
      <c r="E3706" s="2" t="n">
        <v>1</v>
      </c>
      <c r="F3706" s="2" t="n">
        <v>86</v>
      </c>
      <c r="G3706" s="2" t="s">
        <v>614</v>
      </c>
      <c r="H3706" s="2" t="str">
        <f aca="false">IFERROR(__xludf.dummyfunction("IF(I3745="""", """", REGEXEXTRACT(I3745, ""Padrao/([^/]+)""))"),"Residencial e Comercial Palmares")</f>
        <v>Residencial e Comercial Palmares</v>
      </c>
    </row>
    <row r="3707" customFormat="false" ht="15.75" hidden="false" customHeight="false" outlineLevel="0" collapsed="false">
      <c r="A3707" s="2" t="n">
        <v>70448</v>
      </c>
      <c r="B3707" s="2" t="s">
        <v>2000</v>
      </c>
      <c r="C3707" s="2" t="n">
        <v>1</v>
      </c>
      <c r="D3707" s="2" t="n">
        <v>1</v>
      </c>
      <c r="E3707" s="2" t="n">
        <v>1</v>
      </c>
      <c r="F3707" s="2" t="n">
        <v>46</v>
      </c>
      <c r="G3707" s="2" t="s">
        <v>614</v>
      </c>
      <c r="H3707" s="2" t="str">
        <f aca="false">IFERROR(__xludf.dummyfunction("IF(I3746="""", """", REGEXEXTRACT(I3746, ""Padrao/([^/]+)""))"),"Jardim Botanico")</f>
        <v>Jardim Botanico</v>
      </c>
    </row>
    <row r="3708" customFormat="false" ht="15.75" hidden="false" customHeight="false" outlineLevel="0" collapsed="false">
      <c r="A3708" s="2" t="n">
        <v>69707</v>
      </c>
      <c r="B3708" s="2" t="s">
        <v>2395</v>
      </c>
      <c r="C3708" s="2" t="n">
        <v>3</v>
      </c>
      <c r="D3708" s="2" t="n">
        <v>3</v>
      </c>
      <c r="E3708" s="2" t="n">
        <v>1</v>
      </c>
      <c r="F3708" s="2" t="n">
        <v>98</v>
      </c>
      <c r="G3708" s="2" t="s">
        <v>614</v>
      </c>
      <c r="H3708" s="2" t="str">
        <f aca="false">IFERROR(__xludf.dummyfunction("IF(I3747="""", """", REGEXEXTRACT(I3747, ""Padrao/([^/]+)""))"),"Jardim Palma Travassos")</f>
        <v>Jardim Palma Travassos</v>
      </c>
    </row>
    <row r="3709" customFormat="false" ht="15.75" hidden="false" customHeight="false" outlineLevel="0" collapsed="false">
      <c r="A3709" s="2" t="n">
        <v>64496</v>
      </c>
      <c r="B3709" s="2" t="s">
        <v>2982</v>
      </c>
      <c r="C3709" s="2" t="n">
        <v>3</v>
      </c>
      <c r="D3709" s="2" t="n">
        <v>1</v>
      </c>
      <c r="E3709" s="2" t="n">
        <v>1</v>
      </c>
      <c r="F3709" s="2" t="n">
        <v>105</v>
      </c>
      <c r="G3709" s="2" t="s">
        <v>614</v>
      </c>
      <c r="H3709" s="2" t="str">
        <f aca="false">IFERROR(__xludf.dummyfunction("IF(I3748="""", """", REGEXEXTRACT(I3748, ""Padrao/([^/]+)""))"),"Centro")</f>
        <v>Centro</v>
      </c>
    </row>
    <row r="3710" customFormat="false" ht="15.75" hidden="false" customHeight="false" outlineLevel="0" collapsed="false">
      <c r="A3710" s="2" t="n">
        <v>54971</v>
      </c>
      <c r="B3710" s="2" t="s">
        <v>2983</v>
      </c>
      <c r="C3710" s="2" t="n">
        <v>3</v>
      </c>
      <c r="D3710" s="2" t="n">
        <v>2</v>
      </c>
      <c r="E3710" s="2" t="n">
        <v>1</v>
      </c>
      <c r="F3710" s="2" t="n">
        <v>75</v>
      </c>
      <c r="G3710" s="2" t="s">
        <v>614</v>
      </c>
      <c r="H3710" s="2" t="str">
        <f aca="false">IFERROR(__xludf.dummyfunction("IF(I3749="""", """", REGEXEXTRACT(I3749, ""Padrao/([^/]+)""))"),"Iguatemi")</f>
        <v>Iguatemi</v>
      </c>
    </row>
    <row r="3711" customFormat="false" ht="15.75" hidden="false" customHeight="false" outlineLevel="0" collapsed="false">
      <c r="A3711" s="2" t="n">
        <v>40637</v>
      </c>
      <c r="B3711" s="2" t="s">
        <v>162</v>
      </c>
      <c r="C3711" s="2" t="n">
        <v>3</v>
      </c>
      <c r="D3711" s="2" t="n">
        <v>3</v>
      </c>
      <c r="E3711" s="2" t="n">
        <v>1</v>
      </c>
      <c r="F3711" s="2" t="n">
        <v>97</v>
      </c>
      <c r="G3711" s="2" t="s">
        <v>614</v>
      </c>
      <c r="H3711" s="2" t="str">
        <f aca="false">IFERROR(__xludf.dummyfunction("IF(I3750="""", """", REGEXEXTRACT(I3750, ""Padrao/([^/]+)""))"),"Campos Eliseos")</f>
        <v>Campos Eliseos</v>
      </c>
    </row>
    <row r="3712" customFormat="false" ht="15.75" hidden="false" customHeight="false" outlineLevel="0" collapsed="false">
      <c r="A3712" s="2" t="n">
        <v>36512</v>
      </c>
      <c r="B3712" s="2" t="s">
        <v>2984</v>
      </c>
      <c r="C3712" s="2" t="n">
        <v>3</v>
      </c>
      <c r="D3712" s="2" t="n">
        <v>2</v>
      </c>
      <c r="E3712" s="2" t="n">
        <v>1</v>
      </c>
      <c r="F3712" s="2" t="n">
        <v>76</v>
      </c>
      <c r="G3712" s="2" t="s">
        <v>614</v>
      </c>
      <c r="H3712" s="2" t="str">
        <f aca="false">IFERROR(__xludf.dummyfunction("IF(I3751="""", """", REGEXEXTRACT(I3751, ""Padrao/([^/]+)""))"),"Jardim Palma Travassos")</f>
        <v>Jardim Palma Travassos</v>
      </c>
    </row>
    <row r="3713" customFormat="false" ht="15.75" hidden="false" customHeight="false" outlineLevel="0" collapsed="false">
      <c r="A3713" s="2" t="n">
        <v>35024</v>
      </c>
      <c r="B3713" s="2" t="s">
        <v>2985</v>
      </c>
      <c r="C3713" s="2" t="n">
        <v>3</v>
      </c>
      <c r="D3713" s="2" t="n">
        <v>3</v>
      </c>
      <c r="E3713" s="2" t="n">
        <v>1</v>
      </c>
      <c r="F3713" s="2" t="n">
        <v>105</v>
      </c>
      <c r="G3713" s="2" t="s">
        <v>614</v>
      </c>
      <c r="H3713" s="2" t="str">
        <f aca="false">IFERROR(__xludf.dummyfunction("IF(I3752="""", """", REGEXEXTRACT(I3752, ""Padrao/([^/]+)""))"),"Campos Eliseos")</f>
        <v>Campos Eliseos</v>
      </c>
    </row>
    <row r="3714" customFormat="false" ht="15.75" hidden="false" customHeight="false" outlineLevel="0" collapsed="false">
      <c r="A3714" s="2" t="n">
        <v>244874</v>
      </c>
      <c r="B3714" s="2" t="s">
        <v>2986</v>
      </c>
      <c r="C3714" s="2" t="n">
        <v>1</v>
      </c>
      <c r="D3714" s="2" t="n">
        <v>1</v>
      </c>
      <c r="E3714" s="2" t="n">
        <v>1</v>
      </c>
      <c r="F3714" s="2" t="n">
        <v>43</v>
      </c>
      <c r="G3714" s="2" t="s">
        <v>2987</v>
      </c>
      <c r="H3714" s="2" t="str">
        <f aca="false">IFERROR(__xludf.dummyfunction("IF(I3754="""", """", REGEXEXTRACT(I3754, ""Padrao/([^/]+)""))"),"Nova Ribeirania")</f>
        <v>Nova Ribeirania</v>
      </c>
    </row>
    <row r="3715" customFormat="false" ht="15.75" hidden="false" customHeight="false" outlineLevel="0" collapsed="false">
      <c r="A3715" s="2" t="n">
        <v>244895</v>
      </c>
      <c r="B3715" s="2" t="s">
        <v>2988</v>
      </c>
      <c r="C3715" s="2" t="n">
        <v>1</v>
      </c>
      <c r="D3715" s="2" t="n">
        <v>1</v>
      </c>
      <c r="E3715" s="2" t="n">
        <v>1</v>
      </c>
      <c r="F3715" s="2" t="n">
        <v>42</v>
      </c>
      <c r="G3715" s="2" t="s">
        <v>2989</v>
      </c>
      <c r="H3715" s="2" t="str">
        <f aca="false">IFERROR(__xludf.dummyfunction("IF(I3755="""", """", REGEXEXTRACT(I3755, ""Padrao/([^/]+)""))"),"Nova Ribeirania")</f>
        <v>Nova Ribeirania</v>
      </c>
    </row>
    <row r="3716" customFormat="false" ht="15.75" hidden="false" customHeight="false" outlineLevel="0" collapsed="false">
      <c r="A3716" s="2" t="n">
        <v>55346</v>
      </c>
      <c r="B3716" s="2" t="s">
        <v>2990</v>
      </c>
      <c r="C3716" s="2" t="n">
        <v>3</v>
      </c>
      <c r="D3716" s="2" t="n">
        <v>2</v>
      </c>
      <c r="E3716" s="2" t="n">
        <v>1</v>
      </c>
      <c r="F3716" s="2" t="n">
        <v>103</v>
      </c>
      <c r="G3716" s="2" t="s">
        <v>609</v>
      </c>
      <c r="H3716" s="2" t="str">
        <f aca="false">IFERROR(__xludf.dummyfunction("IF(I3756="""", """", REGEXEXTRACT(I3756, ""Padrao/([^/]+)""))"),"Jardim Paulistano")</f>
        <v>Jardim Paulistano</v>
      </c>
    </row>
    <row r="3717" customFormat="false" ht="15.75" hidden="false" customHeight="false" outlineLevel="0" collapsed="false">
      <c r="A3717" s="2" t="n">
        <v>70274</v>
      </c>
      <c r="B3717" s="2" t="s">
        <v>2991</v>
      </c>
      <c r="C3717" s="2" t="n">
        <v>2</v>
      </c>
      <c r="D3717" s="2" t="n">
        <v>2</v>
      </c>
      <c r="E3717" s="2" t="n">
        <v>1</v>
      </c>
      <c r="F3717" s="2" t="n">
        <v>62</v>
      </c>
      <c r="G3717" s="2" t="s">
        <v>612</v>
      </c>
      <c r="H3717" s="2" t="str">
        <f aca="false">IFERROR(__xludf.dummyfunction("IF(I3757="""", """", REGEXEXTRACT(I3757, ""Padrao/([^/]+)""))"),"Vila Ana Maria")</f>
        <v>Vila Ana Maria</v>
      </c>
    </row>
    <row r="3718" customFormat="false" ht="15.75" hidden="false" customHeight="false" outlineLevel="0" collapsed="false">
      <c r="A3718" s="2" t="n">
        <v>231866</v>
      </c>
      <c r="B3718" s="2" t="s">
        <v>2957</v>
      </c>
      <c r="C3718" s="2" t="n">
        <v>2</v>
      </c>
      <c r="D3718" s="2" t="n">
        <v>2</v>
      </c>
      <c r="E3718" s="2" t="n">
        <v>1</v>
      </c>
      <c r="F3718" s="2" t="n">
        <v>61</v>
      </c>
      <c r="G3718" s="2" t="s">
        <v>2992</v>
      </c>
      <c r="H3718" s="2" t="str">
        <f aca="false">IFERROR(__xludf.dummyfunction("IF(I3758="""", """", REGEXEXTRACT(I3758, ""Padrao/([^/]+)""))"),"Vila Monte Alegre")</f>
        <v>Vila Monte Alegre</v>
      </c>
    </row>
    <row r="3719" customFormat="false" ht="15.75" hidden="false" customHeight="false" outlineLevel="0" collapsed="false">
      <c r="A3719" s="2" t="n">
        <v>225446</v>
      </c>
      <c r="B3719" s="2" t="s">
        <v>2993</v>
      </c>
      <c r="C3719" s="2" t="n">
        <v>1</v>
      </c>
      <c r="D3719" s="2" t="n">
        <v>1</v>
      </c>
      <c r="E3719" s="2" t="n">
        <v>1</v>
      </c>
      <c r="F3719" s="2" t="n">
        <v>44</v>
      </c>
      <c r="G3719" s="2" t="s">
        <v>2992</v>
      </c>
      <c r="H3719" s="2" t="str">
        <f aca="false">IFERROR(__xludf.dummyfunction("IF(I3759="""", """", REGEXEXTRACT(I3759, ""Padrao/([^/]+)""))"),"Nova Alianca")</f>
        <v>Nova Alianca</v>
      </c>
    </row>
    <row r="3720" customFormat="false" ht="15.75" hidden="false" customHeight="false" outlineLevel="0" collapsed="false">
      <c r="A3720" s="2" t="n">
        <v>225146</v>
      </c>
      <c r="B3720" s="2" t="s">
        <v>2994</v>
      </c>
      <c r="C3720" s="2" t="n">
        <v>3</v>
      </c>
      <c r="D3720" s="2" t="n">
        <v>2</v>
      </c>
      <c r="E3720" s="2" t="n">
        <v>1</v>
      </c>
      <c r="F3720" s="2" t="n">
        <v>93</v>
      </c>
      <c r="G3720" s="2" t="s">
        <v>2992</v>
      </c>
      <c r="H3720" s="2" t="str">
        <f aca="false">IFERROR(__xludf.dummyfunction("IF(I3760="""", """", REGEXEXTRACT(I3760, ""Padrao/([^/]+)""))"),"Jardim Paulista")</f>
        <v>Jardim Paulista</v>
      </c>
    </row>
    <row r="3721" customFormat="false" ht="15.75" hidden="false" customHeight="false" outlineLevel="0" collapsed="false">
      <c r="A3721" s="2" t="n">
        <v>213383</v>
      </c>
      <c r="B3721" s="2" t="s">
        <v>2995</v>
      </c>
      <c r="C3721" s="2" t="n">
        <v>2</v>
      </c>
      <c r="D3721" s="2" t="n">
        <v>2</v>
      </c>
      <c r="E3721" s="2" t="n">
        <v>1</v>
      </c>
      <c r="F3721" s="2" t="n">
        <v>51</v>
      </c>
      <c r="G3721" s="2" t="s">
        <v>2992</v>
      </c>
      <c r="H3721" s="2" t="str">
        <f aca="false">IFERROR(__xludf.dummyfunction("IF(I3761="""", """", REGEXEXTRACT(I3761, ""Padrao/([^/]+)""))"),"Quintas de Sao Jose")</f>
        <v>Quintas de Sao Jose</v>
      </c>
    </row>
    <row r="3722" customFormat="false" ht="15.75" hidden="false" customHeight="false" outlineLevel="0" collapsed="false">
      <c r="A3722" s="2" t="n">
        <v>211628</v>
      </c>
      <c r="B3722" s="2" t="s">
        <v>2996</v>
      </c>
      <c r="C3722" s="2" t="n">
        <v>2</v>
      </c>
      <c r="D3722" s="2" t="n">
        <v>2</v>
      </c>
      <c r="E3722" s="2" t="n">
        <v>1</v>
      </c>
      <c r="F3722" s="2" t="n">
        <v>58</v>
      </c>
      <c r="G3722" s="2" t="s">
        <v>2992</v>
      </c>
      <c r="H3722" s="2" t="str">
        <f aca="false">IFERROR(__xludf.dummyfunction("IF(I3762="""", """", REGEXEXTRACT(I3762, ""Padrao/([^/]+)""))"),"Residencial Parque dos Servidores")</f>
        <v>Residencial Parque dos Servidores</v>
      </c>
    </row>
    <row r="3723" customFormat="false" ht="15.75" hidden="false" customHeight="false" outlineLevel="0" collapsed="false">
      <c r="A3723" s="2" t="n">
        <v>184454</v>
      </c>
      <c r="B3723" s="2" t="s">
        <v>2997</v>
      </c>
      <c r="C3723" s="2" t="n">
        <v>3</v>
      </c>
      <c r="D3723" s="2" t="n">
        <v>2</v>
      </c>
      <c r="E3723" s="2" t="n">
        <v>1</v>
      </c>
      <c r="F3723" s="2" t="n">
        <v>85</v>
      </c>
      <c r="G3723" s="2" t="s">
        <v>2992</v>
      </c>
      <c r="H3723" s="2" t="str">
        <f aca="false">IFERROR(__xludf.dummyfunction("IF(I3763="""", """", REGEXEXTRACT(I3763, ""Padrao/([^/]+)""))"),"Jardim Zara")</f>
        <v>Jardim Zara</v>
      </c>
    </row>
    <row r="3724" customFormat="false" ht="15.75" hidden="false" customHeight="false" outlineLevel="0" collapsed="false">
      <c r="A3724" s="2" t="n">
        <v>106424</v>
      </c>
      <c r="B3724" s="2" t="s">
        <v>866</v>
      </c>
      <c r="C3724" s="2" t="n">
        <v>3</v>
      </c>
      <c r="D3724" s="2" t="n">
        <v>2</v>
      </c>
      <c r="E3724" s="2" t="n">
        <v>1</v>
      </c>
      <c r="F3724" s="2" t="n">
        <v>99</v>
      </c>
      <c r="G3724" s="2" t="s">
        <v>2992</v>
      </c>
      <c r="H3724" s="2" t="str">
        <f aca="false">IFERROR(__xludf.dummyfunction("IF(I3764="""", """", REGEXEXTRACT(I3764, ""Padrao/([^/]+)""))"),"Vila Monte Alegre")</f>
        <v>Vila Monte Alegre</v>
      </c>
    </row>
    <row r="3725" customFormat="false" ht="15.75" hidden="false" customHeight="false" outlineLevel="0" collapsed="false">
      <c r="A3725" s="2" t="n">
        <v>28643</v>
      </c>
      <c r="B3725" s="2" t="s">
        <v>2998</v>
      </c>
      <c r="C3725" s="2" t="n">
        <v>3</v>
      </c>
      <c r="D3725" s="2" t="n">
        <v>2</v>
      </c>
      <c r="E3725" s="2" t="n">
        <v>1</v>
      </c>
      <c r="F3725" s="2" t="n">
        <v>91</v>
      </c>
      <c r="G3725" s="2" t="s">
        <v>2992</v>
      </c>
      <c r="H3725" s="2" t="str">
        <f aca="false">IFERROR(__xludf.dummyfunction("IF(I3765="""", """", REGEXEXTRACT(I3765, ""Padrao/([^/]+)""))"),"Jardim Iraja")</f>
        <v>Jardim Iraja</v>
      </c>
    </row>
    <row r="3726" customFormat="false" ht="15.75" hidden="false" customHeight="false" outlineLevel="0" collapsed="false">
      <c r="A3726" s="2" t="n">
        <v>178961</v>
      </c>
      <c r="B3726" s="2" t="s">
        <v>2655</v>
      </c>
      <c r="C3726" s="2" t="n">
        <v>2</v>
      </c>
      <c r="D3726" s="2" t="n">
        <v>1</v>
      </c>
      <c r="E3726" s="2" t="n">
        <v>1</v>
      </c>
      <c r="F3726" s="2" t="n">
        <v>62</v>
      </c>
      <c r="G3726" s="2" t="s">
        <v>2992</v>
      </c>
      <c r="H3726" s="2" t="str">
        <f aca="false">IFERROR(__xludf.dummyfunction("IF(I3766="""", """", REGEXEXTRACT(I3766, ""Padrao/([^/]+)""))"),"Bonfim Paulista")</f>
        <v>Bonfim Paulista</v>
      </c>
    </row>
    <row r="3727" customFormat="false" ht="15.75" hidden="false" customHeight="false" outlineLevel="0" collapsed="false">
      <c r="A3727" s="2" t="n">
        <v>235016</v>
      </c>
      <c r="B3727" s="2" t="s">
        <v>2999</v>
      </c>
      <c r="C3727" s="2" t="n">
        <v>2</v>
      </c>
      <c r="D3727" s="2" t="n">
        <v>2</v>
      </c>
      <c r="E3727" s="2" t="n">
        <v>1</v>
      </c>
      <c r="F3727" s="2" t="n">
        <v>52</v>
      </c>
      <c r="G3727" s="2" t="s">
        <v>3000</v>
      </c>
      <c r="H3727" s="2" t="str">
        <f aca="false">IFERROR(__xludf.dummyfunction("IF(I3767="""", """", REGEXEXTRACT(I3767, ""Padrao/([^/]+)""))"),"Quinta da Primavera")</f>
        <v>Quinta da Primavera</v>
      </c>
    </row>
    <row r="3728" customFormat="false" ht="15.75" hidden="false" customHeight="false" outlineLevel="0" collapsed="false">
      <c r="A3728" s="2" t="n">
        <v>244892</v>
      </c>
      <c r="B3728" s="2" t="s">
        <v>3001</v>
      </c>
      <c r="C3728" s="2" t="n">
        <v>1</v>
      </c>
      <c r="D3728" s="2" t="n">
        <v>1</v>
      </c>
      <c r="E3728" s="2" t="n">
        <v>1</v>
      </c>
      <c r="F3728" s="2" t="n">
        <v>42</v>
      </c>
      <c r="G3728" s="2" t="s">
        <v>3002</v>
      </c>
      <c r="H3728" s="2" t="str">
        <f aca="false">IFERROR(__xludf.dummyfunction("IF(I3768="""", """", REGEXEXTRACT(I3768, ""Padrao/([^/]+)""))"),"Nova Ribeirania")</f>
        <v>Nova Ribeirania</v>
      </c>
    </row>
    <row r="3729" customFormat="false" ht="15.75" hidden="false" customHeight="false" outlineLevel="0" collapsed="false">
      <c r="A3729" s="2" t="n">
        <v>211775</v>
      </c>
      <c r="B3729" s="2" t="s">
        <v>3003</v>
      </c>
      <c r="C3729" s="2" t="n">
        <v>3</v>
      </c>
      <c r="D3729" s="2" t="n">
        <v>3</v>
      </c>
      <c r="E3729" s="2" t="n">
        <v>1</v>
      </c>
      <c r="F3729" s="2" t="n">
        <v>96</v>
      </c>
      <c r="G3729" s="2" t="s">
        <v>595</v>
      </c>
      <c r="H3729" s="2" t="str">
        <f aca="false">IFERROR(__xludf.dummyfunction("IF(I3769="""", """", REGEXEXTRACT(I3769, ""Padrao/([^/]+)""))"),"Jardim Paulista")</f>
        <v>Jardim Paulista</v>
      </c>
    </row>
    <row r="3730" customFormat="false" ht="15.75" hidden="false" customHeight="false" outlineLevel="0" collapsed="false">
      <c r="A3730" s="2" t="n">
        <v>238316</v>
      </c>
      <c r="B3730" s="2" t="s">
        <v>3004</v>
      </c>
      <c r="C3730" s="2" t="n">
        <v>3</v>
      </c>
      <c r="D3730" s="2" t="n">
        <v>2</v>
      </c>
      <c r="E3730" s="2" t="n">
        <v>1</v>
      </c>
      <c r="F3730" s="2" t="n">
        <v>161</v>
      </c>
      <c r="G3730" s="2" t="s">
        <v>3005</v>
      </c>
      <c r="H3730" s="2" t="str">
        <f aca="false">IFERROR(__xludf.dummyfunction("IF(I3770="""", """", REGEXEXTRACT(I3770, ""Padrao/([^/]+)""))"),"Centro")</f>
        <v>Centro</v>
      </c>
    </row>
    <row r="3731" customFormat="false" ht="15.75" hidden="false" customHeight="false" outlineLevel="0" collapsed="false">
      <c r="A3731" s="2" t="n">
        <v>178790</v>
      </c>
      <c r="B3731" s="2" t="s">
        <v>2655</v>
      </c>
      <c r="C3731" s="2" t="n">
        <v>2</v>
      </c>
      <c r="D3731" s="2" t="n">
        <v>2</v>
      </c>
      <c r="E3731" s="2" t="n">
        <v>2</v>
      </c>
      <c r="F3731" s="2" t="n">
        <v>60</v>
      </c>
      <c r="G3731" s="2" t="s">
        <v>3005</v>
      </c>
      <c r="H3731" s="2" t="str">
        <f aca="false">IFERROR(__xludf.dummyfunction("IF(I3771="""", """", REGEXEXTRACT(I3771, ""Padrao/([^/]+)""))"),"Bonfim Paulista")</f>
        <v>Bonfim Paulista</v>
      </c>
    </row>
    <row r="3732" customFormat="false" ht="15.75" hidden="false" customHeight="false" outlineLevel="0" collapsed="false">
      <c r="A3732" s="2" t="n">
        <v>178784</v>
      </c>
      <c r="B3732" s="2" t="s">
        <v>2655</v>
      </c>
      <c r="C3732" s="2" t="n">
        <v>2</v>
      </c>
      <c r="D3732" s="2" t="n">
        <v>2</v>
      </c>
      <c r="E3732" s="2" t="n">
        <v>2</v>
      </c>
      <c r="F3732" s="2" t="n">
        <v>60</v>
      </c>
      <c r="G3732" s="2" t="s">
        <v>3005</v>
      </c>
      <c r="H3732" s="2" t="str">
        <f aca="false">IFERROR(__xludf.dummyfunction("IF(I3772="""", """", REGEXEXTRACT(I3772, ""Padrao/([^/]+)""))"),"Bonfim Paulista")</f>
        <v>Bonfim Paulista</v>
      </c>
    </row>
    <row r="3733" customFormat="false" ht="15.75" hidden="false" customHeight="false" outlineLevel="0" collapsed="false">
      <c r="A3733" s="2" t="n">
        <v>167573</v>
      </c>
      <c r="B3733" s="2" t="s">
        <v>957</v>
      </c>
      <c r="C3733" s="2" t="n">
        <v>3</v>
      </c>
      <c r="D3733" s="2" t="n">
        <v>2</v>
      </c>
      <c r="E3733" s="2" t="n">
        <v>1</v>
      </c>
      <c r="F3733" s="2" t="n">
        <v>90</v>
      </c>
      <c r="G3733" s="2" t="s">
        <v>3005</v>
      </c>
      <c r="H3733" s="2" t="str">
        <f aca="false">IFERROR(__xludf.dummyfunction("IF(I3773="""", """", REGEXEXTRACT(I3773, ""Padrao/([^/]+)""))"),"Parque Anhanguera")</f>
        <v>Parque Anhanguera</v>
      </c>
    </row>
    <row r="3734" customFormat="false" ht="15.75" hidden="false" customHeight="false" outlineLevel="0" collapsed="false">
      <c r="A3734" s="2" t="n">
        <v>161834</v>
      </c>
      <c r="B3734" s="2" t="s">
        <v>3006</v>
      </c>
      <c r="C3734" s="2" t="n">
        <v>1</v>
      </c>
      <c r="D3734" s="2" t="n">
        <v>1</v>
      </c>
      <c r="E3734" s="2" t="n">
        <v>1</v>
      </c>
      <c r="F3734" s="2" t="n">
        <v>38</v>
      </c>
      <c r="G3734" s="2" t="s">
        <v>3005</v>
      </c>
      <c r="H3734" s="2" t="str">
        <f aca="false">IFERROR(__xludf.dummyfunction("IF(I3774="""", """", REGEXEXTRACT(I3774, ""Padrao/([^/]+)""))"),"Jardim Palma Travassos")</f>
        <v>Jardim Palma Travassos</v>
      </c>
    </row>
    <row r="3735" customFormat="false" ht="15.75" hidden="false" customHeight="false" outlineLevel="0" collapsed="false">
      <c r="A3735" s="2" t="n">
        <v>195074</v>
      </c>
      <c r="B3735" s="2" t="s">
        <v>3007</v>
      </c>
      <c r="C3735" s="2" t="n">
        <v>3</v>
      </c>
      <c r="D3735" s="2" t="n">
        <v>2</v>
      </c>
      <c r="E3735" s="2" t="n">
        <v>1</v>
      </c>
      <c r="F3735" s="2" t="n">
        <v>109</v>
      </c>
      <c r="G3735" s="2" t="s">
        <v>588</v>
      </c>
      <c r="H3735" s="2" t="str">
        <f aca="false">IFERROR(__xludf.dummyfunction("IF(I3775="""", """", REGEXEXTRACT(I3775, ""Padrao/([^/]+)""))"),"Jardim Palma Travassos")</f>
        <v>Jardim Palma Travassos</v>
      </c>
    </row>
    <row r="3736" customFormat="false" ht="15.75" hidden="false" customHeight="false" outlineLevel="0" collapsed="false">
      <c r="A3736" s="2" t="n">
        <v>232370</v>
      </c>
      <c r="B3736" s="2" t="s">
        <v>3008</v>
      </c>
      <c r="C3736" s="2" t="n">
        <v>3</v>
      </c>
      <c r="D3736" s="2" t="n">
        <v>2</v>
      </c>
      <c r="E3736" s="2" t="n">
        <v>1</v>
      </c>
      <c r="F3736" s="2" t="n">
        <v>91</v>
      </c>
      <c r="G3736" s="2" t="s">
        <v>591</v>
      </c>
      <c r="H3736" s="2" t="str">
        <f aca="false">IFERROR(__xludf.dummyfunction("IF(I3776="""", """", REGEXEXTRACT(I3776, ""Padrao/([^/]+)""))"),"Jardim Iraja")</f>
        <v>Jardim Iraja</v>
      </c>
    </row>
    <row r="3737" customFormat="false" ht="15.75" hidden="false" customHeight="false" outlineLevel="0" collapsed="false">
      <c r="A3737" s="2" t="n">
        <v>171956</v>
      </c>
      <c r="B3737" s="2" t="s">
        <v>3009</v>
      </c>
      <c r="C3737" s="2" t="n">
        <v>3</v>
      </c>
      <c r="D3737" s="2" t="n">
        <v>2</v>
      </c>
      <c r="E3737" s="2" t="n">
        <v>1</v>
      </c>
      <c r="F3737" s="2" t="n">
        <v>146</v>
      </c>
      <c r="G3737" s="2" t="s">
        <v>2857</v>
      </c>
      <c r="H3737" s="2" t="str">
        <f aca="false">IFERROR(__xludf.dummyfunction("IF(I3777="""", """", REGEXEXTRACT(I3777, ""Padrao/([^/]+)""))"),"Alto do Ipiranga")</f>
        <v>Alto do Ipiranga</v>
      </c>
    </row>
    <row r="3738" customFormat="false" ht="15.75" hidden="false" customHeight="false" outlineLevel="0" collapsed="false">
      <c r="A3738" s="2" t="n">
        <v>196901</v>
      </c>
      <c r="B3738" s="2" t="s">
        <v>3010</v>
      </c>
      <c r="C3738" s="2" t="n">
        <v>2</v>
      </c>
      <c r="D3738" s="2" t="n">
        <v>1</v>
      </c>
      <c r="E3738" s="2" t="n">
        <v>1</v>
      </c>
      <c r="F3738" s="2" t="n">
        <v>45</v>
      </c>
      <c r="G3738" s="2" t="s">
        <v>609</v>
      </c>
      <c r="H3738" s="2" t="str">
        <f aca="false">IFERROR(__xludf.dummyfunction("IF(I3778="""", """", REGEXEXTRACT(I3778, ""Padrao/([^/]+)""))"),"Nova Alianca")</f>
        <v>Nova Alianca</v>
      </c>
    </row>
    <row r="3739" customFormat="false" ht="15.75" hidden="false" customHeight="false" outlineLevel="0" collapsed="false">
      <c r="A3739" s="2" t="n">
        <v>211187</v>
      </c>
      <c r="B3739" s="2" t="s">
        <v>3011</v>
      </c>
      <c r="C3739" s="2" t="n">
        <v>2</v>
      </c>
      <c r="D3739" s="2" t="n">
        <v>2</v>
      </c>
      <c r="E3739" s="2" t="n">
        <v>1</v>
      </c>
      <c r="F3739" s="2" t="n">
        <v>87</v>
      </c>
      <c r="G3739" s="2" t="s">
        <v>614</v>
      </c>
      <c r="H3739" s="2" t="str">
        <f aca="false">IFERROR(__xludf.dummyfunction("IF(I3779="""", """", REGEXEXTRACT(I3779, ""Padrao/([^/]+)""))"),"Jardim Zara")</f>
        <v>Jardim Zara</v>
      </c>
    </row>
    <row r="3740" customFormat="false" ht="15.75" hidden="false" customHeight="false" outlineLevel="0" collapsed="false">
      <c r="A3740" s="2" t="n">
        <v>129281</v>
      </c>
      <c r="B3740" s="2" t="s">
        <v>162</v>
      </c>
      <c r="C3740" s="2" t="n">
        <v>3</v>
      </c>
      <c r="D3740" s="2" t="n">
        <v>2</v>
      </c>
      <c r="E3740" s="2" t="n">
        <v>1</v>
      </c>
      <c r="F3740" s="2" t="n">
        <v>82</v>
      </c>
      <c r="G3740" s="2" t="s">
        <v>614</v>
      </c>
      <c r="H3740" s="2" t="str">
        <f aca="false">IFERROR(__xludf.dummyfunction("IF(I3780="""", """", REGEXEXTRACT(I3780, ""Padrao/([^/]+)""))"),"Jardim Iraja")</f>
        <v>Jardim Iraja</v>
      </c>
    </row>
    <row r="3741" customFormat="false" ht="15.75" hidden="false" customHeight="false" outlineLevel="0" collapsed="false">
      <c r="A3741" s="2" t="n">
        <v>4328</v>
      </c>
      <c r="B3741" s="2" t="s">
        <v>3012</v>
      </c>
      <c r="C3741" s="2" t="n">
        <v>3</v>
      </c>
      <c r="D3741" s="2" t="n">
        <v>2</v>
      </c>
      <c r="E3741" s="2" t="n">
        <v>1</v>
      </c>
      <c r="F3741" s="2" t="n">
        <v>121</v>
      </c>
      <c r="G3741" s="2" t="s">
        <v>614</v>
      </c>
      <c r="H3741" s="2" t="str">
        <f aca="false">IFERROR(__xludf.dummyfunction("IF(I3781="""", """", REGEXEXTRACT(I3781, ""Padrao/([^/]+)""))"),"Campos Eliseos")</f>
        <v>Campos Eliseos</v>
      </c>
    </row>
    <row r="3742" customFormat="false" ht="15.75" hidden="false" customHeight="false" outlineLevel="0" collapsed="false">
      <c r="A3742" s="2" t="n">
        <v>217769</v>
      </c>
      <c r="B3742" s="2" t="s">
        <v>3013</v>
      </c>
      <c r="C3742" s="2" t="n">
        <v>2</v>
      </c>
      <c r="D3742" s="2" t="n">
        <v>2</v>
      </c>
      <c r="E3742" s="2" t="n">
        <v>1</v>
      </c>
      <c r="F3742" s="2" t="n">
        <v>61</v>
      </c>
      <c r="G3742" s="2" t="s">
        <v>3014</v>
      </c>
      <c r="H3742" s="2" t="str">
        <f aca="false">IFERROR(__xludf.dummyfunction("IF(I3782="""", """", REGEXEXTRACT(I3782, ""Padrao/([^/]+)""))"),"Sumarezinho")</f>
        <v>Sumarezinho</v>
      </c>
    </row>
    <row r="3743" customFormat="false" ht="15.75" hidden="false" customHeight="false" outlineLevel="0" collapsed="false">
      <c r="A3743" s="2" t="n">
        <v>244388</v>
      </c>
      <c r="B3743" s="2" t="s">
        <v>2527</v>
      </c>
      <c r="C3743" s="2" t="n">
        <v>2</v>
      </c>
      <c r="D3743" s="2" t="n">
        <v>1</v>
      </c>
      <c r="E3743" s="2" t="n">
        <v>1</v>
      </c>
      <c r="F3743" s="2" t="n">
        <v>48</v>
      </c>
      <c r="G3743" s="2" t="s">
        <v>618</v>
      </c>
      <c r="H3743" s="2" t="str">
        <f aca="false">IFERROR(__xludf.dummyfunction("IF(I3783="""", """", REGEXEXTRACT(I3783, ""Padrao/([^/]+)""))"),"Parque das Oliveiras II")</f>
        <v>Parque das Oliveiras II</v>
      </c>
    </row>
    <row r="3744" customFormat="false" ht="15.75" hidden="false" customHeight="false" outlineLevel="0" collapsed="false">
      <c r="A3744" s="2" t="n">
        <v>239258</v>
      </c>
      <c r="B3744" s="2" t="s">
        <v>3015</v>
      </c>
      <c r="C3744" s="2" t="n">
        <v>3</v>
      </c>
      <c r="D3744" s="2" t="n">
        <v>2</v>
      </c>
      <c r="E3744" s="2" t="n">
        <v>2</v>
      </c>
      <c r="F3744" s="2" t="n">
        <v>97</v>
      </c>
      <c r="G3744" s="2" t="s">
        <v>618</v>
      </c>
      <c r="H3744" s="2" t="str">
        <f aca="false">IFERROR(__xludf.dummyfunction("IF(I3784="""", """", REGEXEXTRACT(I3784, ""Padrao/([^/]+)""))"),"Parque dos Bandeirantes")</f>
        <v>Parque dos Bandeirantes</v>
      </c>
    </row>
    <row r="3745" customFormat="false" ht="15.75" hidden="false" customHeight="false" outlineLevel="0" collapsed="false">
      <c r="A3745" s="2" t="n">
        <v>239252</v>
      </c>
      <c r="B3745" s="2" t="s">
        <v>3016</v>
      </c>
      <c r="C3745" s="2" t="n">
        <v>3</v>
      </c>
      <c r="D3745" s="2" t="n">
        <v>2</v>
      </c>
      <c r="E3745" s="2" t="n">
        <v>2</v>
      </c>
      <c r="F3745" s="2" t="n">
        <v>93</v>
      </c>
      <c r="G3745" s="2" t="s">
        <v>618</v>
      </c>
      <c r="H3745" s="2" t="str">
        <f aca="false">IFERROR(__xludf.dummyfunction("IF(I3785="""", """", REGEXEXTRACT(I3785, ""Padrao/([^/]+)""))"),"Parque dos Bandeirantes")</f>
        <v>Parque dos Bandeirantes</v>
      </c>
    </row>
    <row r="3746" customFormat="false" ht="15.75" hidden="false" customHeight="false" outlineLevel="0" collapsed="false">
      <c r="A3746" s="2" t="n">
        <v>232997</v>
      </c>
      <c r="B3746" s="2" t="s">
        <v>2983</v>
      </c>
      <c r="C3746" s="2" t="n">
        <v>3</v>
      </c>
      <c r="D3746" s="2" t="n">
        <v>2</v>
      </c>
      <c r="E3746" s="2" t="n">
        <v>1</v>
      </c>
      <c r="F3746" s="2" t="n">
        <v>75</v>
      </c>
      <c r="G3746" s="2" t="s">
        <v>618</v>
      </c>
      <c r="H3746" s="2" t="str">
        <f aca="false">IFERROR(__xludf.dummyfunction("IF(I3786="""", """", REGEXEXTRACT(I3786, ""Padrao/([^/]+)""))"),"Presidente Medici")</f>
        <v>Presidente Medici</v>
      </c>
    </row>
    <row r="3747" customFormat="false" ht="15.75" hidden="false" customHeight="false" outlineLevel="0" collapsed="false">
      <c r="A3747" s="2" t="n">
        <v>229244</v>
      </c>
      <c r="B3747" s="2" t="s">
        <v>3017</v>
      </c>
      <c r="C3747" s="2" t="n">
        <v>2</v>
      </c>
      <c r="D3747" s="2" t="n">
        <v>2</v>
      </c>
      <c r="E3747" s="2" t="n">
        <v>1</v>
      </c>
      <c r="F3747" s="2" t="n">
        <v>115</v>
      </c>
      <c r="G3747" s="2" t="s">
        <v>618</v>
      </c>
      <c r="H3747" s="2" t="str">
        <f aca="false">IFERROR(__xludf.dummyfunction("IF(I3787="""", """", REGEXEXTRACT(I3787, ""Padrao/([^/]+)""))"),"Centro")</f>
        <v>Centro</v>
      </c>
    </row>
    <row r="3748" customFormat="false" ht="15.75" hidden="false" customHeight="false" outlineLevel="0" collapsed="false">
      <c r="A3748" s="2" t="n">
        <v>227135</v>
      </c>
      <c r="B3748" s="2" t="s">
        <v>3018</v>
      </c>
      <c r="C3748" s="2" t="n">
        <v>2</v>
      </c>
      <c r="D3748" s="2" t="n">
        <v>1</v>
      </c>
      <c r="E3748" s="2" t="n">
        <v>1</v>
      </c>
      <c r="F3748" s="2" t="n">
        <v>50</v>
      </c>
      <c r="G3748" s="2" t="s">
        <v>618</v>
      </c>
      <c r="H3748" s="2" t="str">
        <f aca="false">IFERROR(__xludf.dummyfunction("IF(I3788="""", """", REGEXEXTRACT(I3788, ""Padrao/([^/]+)""))"),"Jardim Anhanguera")</f>
        <v>Jardim Anhanguera</v>
      </c>
    </row>
    <row r="3749" customFormat="false" ht="15.75" hidden="false" customHeight="false" outlineLevel="0" collapsed="false">
      <c r="A3749" s="2" t="n">
        <v>223934</v>
      </c>
      <c r="B3749" s="2" t="s">
        <v>3019</v>
      </c>
      <c r="C3749" s="2" t="n">
        <v>1</v>
      </c>
      <c r="D3749" s="2" t="n">
        <v>2</v>
      </c>
      <c r="E3749" s="2" t="n">
        <v>1</v>
      </c>
      <c r="F3749" s="2" t="n">
        <v>48</v>
      </c>
      <c r="G3749" s="2" t="s">
        <v>618</v>
      </c>
      <c r="H3749" s="2" t="str">
        <f aca="false">IFERROR(__xludf.dummyfunction("IF(I3789="""", """", REGEXEXTRACT(I3789, ""Padrao/([^/]+)""))"),"Nova Alianca")</f>
        <v>Nova Alianca</v>
      </c>
    </row>
    <row r="3750" customFormat="false" ht="15.75" hidden="false" customHeight="false" outlineLevel="0" collapsed="false">
      <c r="A3750" s="2" t="n">
        <v>223835</v>
      </c>
      <c r="B3750" s="2" t="s">
        <v>3020</v>
      </c>
      <c r="C3750" s="2" t="n">
        <v>2</v>
      </c>
      <c r="D3750" s="2" t="n">
        <v>2</v>
      </c>
      <c r="E3750" s="2" t="n">
        <v>1</v>
      </c>
      <c r="F3750" s="2" t="n">
        <v>65</v>
      </c>
      <c r="G3750" s="2" t="s">
        <v>618</v>
      </c>
      <c r="H3750" s="2" t="str">
        <f aca="false">IFERROR(__xludf.dummyfunction("IF(I3790="""", """", REGEXEXTRACT(I3790, ""Padrao/([^/]+)""))"),"Jardim Botanico")</f>
        <v>Jardim Botanico</v>
      </c>
    </row>
    <row r="3751" customFormat="false" ht="15.75" hidden="false" customHeight="false" outlineLevel="0" collapsed="false">
      <c r="A3751" s="2" t="n">
        <v>221213</v>
      </c>
      <c r="B3751" s="2" t="s">
        <v>3021</v>
      </c>
      <c r="C3751" s="2" t="n">
        <v>3</v>
      </c>
      <c r="D3751" s="2" t="n">
        <v>3</v>
      </c>
      <c r="E3751" s="2" t="n">
        <v>1</v>
      </c>
      <c r="F3751" s="2" t="n">
        <v>85</v>
      </c>
      <c r="G3751" s="2" t="s">
        <v>618</v>
      </c>
      <c r="H3751" s="2" t="str">
        <f aca="false">IFERROR(__xludf.dummyfunction("IF(I3791="""", """", REGEXEXTRACT(I3791, ""Padrao/([^/]+)""))"),"Centro")</f>
        <v>Centro</v>
      </c>
    </row>
    <row r="3752" customFormat="false" ht="15.75" hidden="false" customHeight="false" outlineLevel="0" collapsed="false">
      <c r="A3752" s="2" t="n">
        <v>221210</v>
      </c>
      <c r="B3752" s="2" t="s">
        <v>3022</v>
      </c>
      <c r="C3752" s="2" t="n">
        <v>3</v>
      </c>
      <c r="D3752" s="2" t="n">
        <v>1</v>
      </c>
      <c r="E3752" s="2" t="n">
        <v>1</v>
      </c>
      <c r="F3752" s="2" t="n">
        <v>74</v>
      </c>
      <c r="G3752" s="2" t="s">
        <v>618</v>
      </c>
      <c r="H3752" s="2" t="str">
        <f aca="false">IFERROR(__xludf.dummyfunction("IF(I3792="""", """", REGEXEXTRACT(I3792, ""Padrao/([^/]+)""))"),"Campos Eliseos")</f>
        <v>Campos Eliseos</v>
      </c>
    </row>
    <row r="3753" customFormat="false" ht="15.75" hidden="false" customHeight="false" outlineLevel="0" collapsed="false">
      <c r="A3753" s="2" t="n">
        <v>218996</v>
      </c>
      <c r="B3753" s="2" t="s">
        <v>2839</v>
      </c>
      <c r="C3753" s="2" t="n">
        <v>2</v>
      </c>
      <c r="D3753" s="2" t="n">
        <v>2</v>
      </c>
      <c r="E3753" s="2" t="n">
        <v>1</v>
      </c>
      <c r="F3753" s="2" t="n">
        <v>57</v>
      </c>
      <c r="G3753" s="2" t="s">
        <v>618</v>
      </c>
      <c r="H3753" s="2" t="str">
        <f aca="false">IFERROR(__xludf.dummyfunction("IF(I3793="""", """", REGEXEXTRACT(I3793, ""Padrao/([^/]+)""))"),"Ipiranga")</f>
        <v>Ipiranga</v>
      </c>
    </row>
    <row r="3754" customFormat="false" ht="15.75" hidden="false" customHeight="false" outlineLevel="0" collapsed="false">
      <c r="A3754" s="2" t="n">
        <v>216197</v>
      </c>
      <c r="B3754" s="2" t="s">
        <v>3023</v>
      </c>
      <c r="C3754" s="2" t="n">
        <v>2</v>
      </c>
      <c r="D3754" s="2" t="n">
        <v>1</v>
      </c>
      <c r="E3754" s="2" t="n">
        <v>1</v>
      </c>
      <c r="F3754" s="2" t="n">
        <v>49</v>
      </c>
      <c r="G3754" s="2" t="s">
        <v>618</v>
      </c>
      <c r="H3754" s="2" t="str">
        <f aca="false">IFERROR(__xludf.dummyfunction("IF(I3794="""", """", REGEXEXTRACT(I3794, ""Padrao/([^/]+)""))"),"Jardim Novo Mundo")</f>
        <v>Jardim Novo Mundo</v>
      </c>
    </row>
    <row r="3755" customFormat="false" ht="15.75" hidden="false" customHeight="false" outlineLevel="0" collapsed="false">
      <c r="A3755" s="2" t="n">
        <v>214781</v>
      </c>
      <c r="B3755" s="2" t="s">
        <v>3024</v>
      </c>
      <c r="C3755" s="2" t="n">
        <v>2</v>
      </c>
      <c r="D3755" s="2" t="n">
        <v>2</v>
      </c>
      <c r="E3755" s="2" t="n">
        <v>1</v>
      </c>
      <c r="F3755" s="2" t="n">
        <v>56</v>
      </c>
      <c r="G3755" s="2" t="s">
        <v>618</v>
      </c>
      <c r="H3755" s="2" t="str">
        <f aca="false">IFERROR(__xludf.dummyfunction("IF(I3795="""", """", REGEXEXTRACT(I3795, ""Padrao/([^/]+)""))"),"Sumarezinho")</f>
        <v>Sumarezinho</v>
      </c>
    </row>
    <row r="3756" customFormat="false" ht="15.75" hidden="false" customHeight="false" outlineLevel="0" collapsed="false">
      <c r="A3756" s="2" t="n">
        <v>212621</v>
      </c>
      <c r="B3756" s="2" t="s">
        <v>3025</v>
      </c>
      <c r="C3756" s="2" t="n">
        <v>2</v>
      </c>
      <c r="D3756" s="2" t="n">
        <v>1</v>
      </c>
      <c r="E3756" s="2" t="n">
        <v>1</v>
      </c>
      <c r="F3756" s="2" t="n">
        <v>58</v>
      </c>
      <c r="G3756" s="2" t="s">
        <v>618</v>
      </c>
      <c r="H3756" s="2" t="str">
        <f aca="false">IFERROR(__xludf.dummyfunction("IF(I3796="""", """", REGEXEXTRACT(I3796, ""Padrao/([^/]+)""))"),"Vila Tiberio")</f>
        <v>Vila Tiberio</v>
      </c>
    </row>
    <row r="3757" customFormat="false" ht="15.75" hidden="false" customHeight="false" outlineLevel="0" collapsed="false">
      <c r="A3757" s="2" t="n">
        <v>212381</v>
      </c>
      <c r="B3757" s="2" t="s">
        <v>3026</v>
      </c>
      <c r="C3757" s="2" t="n">
        <v>3</v>
      </c>
      <c r="D3757" s="2" t="n">
        <v>2</v>
      </c>
      <c r="E3757" s="2" t="n">
        <v>1</v>
      </c>
      <c r="F3757" s="2" t="n">
        <v>75</v>
      </c>
      <c r="G3757" s="2" t="s">
        <v>618</v>
      </c>
      <c r="H3757" s="2" t="str">
        <f aca="false">IFERROR(__xludf.dummyfunction("IF(I3797="""", """", REGEXEXTRACT(I3797, ""Padrao/([^/]+)""))"),"Planalto Verde")</f>
        <v>Planalto Verde</v>
      </c>
    </row>
    <row r="3758" customFormat="false" ht="15.75" hidden="false" customHeight="false" outlineLevel="0" collapsed="false">
      <c r="A3758" s="2" t="n">
        <v>210071</v>
      </c>
      <c r="B3758" s="2" t="s">
        <v>2957</v>
      </c>
      <c r="C3758" s="2" t="n">
        <v>2</v>
      </c>
      <c r="D3758" s="2" t="n">
        <v>2</v>
      </c>
      <c r="E3758" s="2" t="n">
        <v>1</v>
      </c>
      <c r="F3758" s="2" t="n">
        <v>61</v>
      </c>
      <c r="G3758" s="2" t="s">
        <v>618</v>
      </c>
      <c r="H3758" s="2" t="str">
        <f aca="false">IFERROR(__xludf.dummyfunction("IF(I3798="""", """", REGEXEXTRACT(I3798, ""Padrao/([^/]+)""))"),"Vila Monte Alegre")</f>
        <v>Vila Monte Alegre</v>
      </c>
    </row>
    <row r="3759" customFormat="false" ht="15.75" hidden="false" customHeight="false" outlineLevel="0" collapsed="false">
      <c r="A3759" s="2" t="n">
        <v>209798</v>
      </c>
      <c r="B3759" s="2" t="s">
        <v>3027</v>
      </c>
      <c r="C3759" s="2" t="n">
        <v>3</v>
      </c>
      <c r="D3759" s="2" t="n">
        <v>2</v>
      </c>
      <c r="E3759" s="2" t="n">
        <v>2</v>
      </c>
      <c r="F3759" s="2" t="n">
        <v>72</v>
      </c>
      <c r="G3759" s="2" t="s">
        <v>618</v>
      </c>
      <c r="H3759" s="2" t="str">
        <f aca="false">IFERROR(__xludf.dummyfunction("IF(I3799="""", """", REGEXEXTRACT(I3799, ""Padrao/([^/]+)""))"),"Independencia")</f>
        <v>Independencia</v>
      </c>
    </row>
    <row r="3760" customFormat="false" ht="15.75" hidden="false" customHeight="false" outlineLevel="0" collapsed="false">
      <c r="A3760" s="2" t="n">
        <v>208250</v>
      </c>
      <c r="B3760" s="2" t="s">
        <v>3028</v>
      </c>
      <c r="C3760" s="2" t="n">
        <v>2</v>
      </c>
      <c r="D3760" s="2" t="n">
        <v>1</v>
      </c>
      <c r="E3760" s="2" t="n">
        <v>1</v>
      </c>
      <c r="F3760" s="2" t="n">
        <v>44</v>
      </c>
      <c r="G3760" s="2" t="s">
        <v>618</v>
      </c>
      <c r="H3760" s="2" t="str">
        <f aca="false">IFERROR(__xludf.dummyfunction("IF(I3800="""", """", REGEXEXTRACT(I3800, ""Padrao/([^/]+)""))"),"Recreio das Acacias")</f>
        <v>Recreio das Acacias</v>
      </c>
    </row>
    <row r="3761" customFormat="false" ht="15.75" hidden="false" customHeight="false" outlineLevel="0" collapsed="false">
      <c r="A3761" s="2" t="n">
        <v>203723</v>
      </c>
      <c r="B3761" s="2" t="s">
        <v>3029</v>
      </c>
      <c r="C3761" s="2" t="n">
        <v>2</v>
      </c>
      <c r="D3761" s="2" t="n">
        <v>1</v>
      </c>
      <c r="E3761" s="2" t="n">
        <v>2</v>
      </c>
      <c r="F3761" s="2" t="n">
        <v>53</v>
      </c>
      <c r="G3761" s="2" t="s">
        <v>618</v>
      </c>
      <c r="H3761" s="2" t="str">
        <f aca="false">IFERROR(__xludf.dummyfunction("IF(I3801="""", """", REGEXEXTRACT(I3801, ""Padrao/([^/]+)""))"),"Alto da Boa Vista")</f>
        <v>Alto da Boa Vista</v>
      </c>
    </row>
    <row r="3762" customFormat="false" ht="15.75" hidden="false" customHeight="false" outlineLevel="0" collapsed="false">
      <c r="A3762" s="2" t="n">
        <v>199181</v>
      </c>
      <c r="B3762" s="2" t="s">
        <v>3030</v>
      </c>
      <c r="C3762" s="2" t="n">
        <v>2</v>
      </c>
      <c r="D3762" s="2" t="n">
        <v>2</v>
      </c>
      <c r="E3762" s="2" t="n">
        <v>1</v>
      </c>
      <c r="F3762" s="2" t="n">
        <v>79</v>
      </c>
      <c r="G3762" s="2" t="s">
        <v>618</v>
      </c>
      <c r="H3762" s="2" t="str">
        <f aca="false">IFERROR(__xludf.dummyfunction("IF(I3802="""", """", REGEXEXTRACT(I3802, ""Padrao/([^/]+)""))"),"Residencial Florida")</f>
        <v>Residencial Florida</v>
      </c>
    </row>
    <row r="3763" customFormat="false" ht="15.75" hidden="false" customHeight="false" outlineLevel="0" collapsed="false">
      <c r="A3763" s="2" t="n">
        <v>195431</v>
      </c>
      <c r="B3763" s="2" t="s">
        <v>615</v>
      </c>
      <c r="C3763" s="2" t="n">
        <v>2</v>
      </c>
      <c r="D3763" s="2" t="n">
        <v>1</v>
      </c>
      <c r="E3763" s="2" t="n">
        <v>1</v>
      </c>
      <c r="F3763" s="2" t="n">
        <v>68</v>
      </c>
      <c r="G3763" s="2" t="s">
        <v>618</v>
      </c>
      <c r="H3763" s="2" t="str">
        <f aca="false">IFERROR(__xludf.dummyfunction("IF(I3803="""", """", REGEXEXTRACT(I3803, ""Padrao/([^/]+)""))"),"Centro")</f>
        <v>Centro</v>
      </c>
    </row>
    <row r="3764" customFormat="false" ht="15.75" hidden="false" customHeight="false" outlineLevel="0" collapsed="false">
      <c r="A3764" s="2" t="n">
        <v>193352</v>
      </c>
      <c r="B3764" s="2" t="s">
        <v>2384</v>
      </c>
      <c r="C3764" s="2" t="n">
        <v>3</v>
      </c>
      <c r="D3764" s="2" t="n">
        <v>2</v>
      </c>
      <c r="E3764" s="2" t="n">
        <v>1</v>
      </c>
      <c r="F3764" s="2" t="n">
        <v>62</v>
      </c>
      <c r="G3764" s="2" t="s">
        <v>618</v>
      </c>
      <c r="H3764" s="2" t="str">
        <f aca="false">IFERROR(__xludf.dummyfunction("IF(I3804="""", """", REGEXEXTRACT(I3804, ""Padrao/([^/]+)""))"),"Alto do Ipiranga")</f>
        <v>Alto do Ipiranga</v>
      </c>
    </row>
    <row r="3765" customFormat="false" ht="15.75" hidden="false" customHeight="false" outlineLevel="0" collapsed="false">
      <c r="A3765" s="2" t="n">
        <v>191183</v>
      </c>
      <c r="B3765" s="2" t="s">
        <v>2928</v>
      </c>
      <c r="C3765" s="2" t="n">
        <v>3</v>
      </c>
      <c r="D3765" s="2" t="n">
        <v>2</v>
      </c>
      <c r="E3765" s="2" t="n">
        <v>1</v>
      </c>
      <c r="F3765" s="2" t="n">
        <v>116</v>
      </c>
      <c r="G3765" s="2" t="s">
        <v>618</v>
      </c>
      <c r="H3765" s="2" t="str">
        <f aca="false">IFERROR(__xludf.dummyfunction("IF(I3805="""", """", REGEXEXTRACT(I3805, ""Padrao/([^/]+)""))"),"Jardim Paulista")</f>
        <v>Jardim Paulista</v>
      </c>
    </row>
    <row r="3766" customFormat="false" ht="15.75" hidden="false" customHeight="false" outlineLevel="0" collapsed="false">
      <c r="A3766" s="2" t="n">
        <v>187208</v>
      </c>
      <c r="B3766" s="2" t="s">
        <v>3031</v>
      </c>
      <c r="C3766" s="2" t="n">
        <v>2</v>
      </c>
      <c r="D3766" s="2" t="n">
        <v>2</v>
      </c>
      <c r="E3766" s="2" t="n">
        <v>1</v>
      </c>
      <c r="F3766" s="2" t="n">
        <v>73</v>
      </c>
      <c r="G3766" s="2" t="s">
        <v>618</v>
      </c>
      <c r="H3766" s="2" t="str">
        <f aca="false">IFERROR(__xludf.dummyfunction("IF(I3806="""", """", REGEXEXTRACT(I3806, ""Padrao/([^/]+)""))"),"Jardim Paulista")</f>
        <v>Jardim Paulista</v>
      </c>
    </row>
    <row r="3767" customFormat="false" ht="15.75" hidden="false" customHeight="false" outlineLevel="0" collapsed="false">
      <c r="A3767" s="2" t="n">
        <v>183350</v>
      </c>
      <c r="B3767" s="2" t="s">
        <v>3032</v>
      </c>
      <c r="C3767" s="2" t="n">
        <v>3</v>
      </c>
      <c r="D3767" s="2" t="n">
        <v>4</v>
      </c>
      <c r="E3767" s="2" t="n">
        <v>2</v>
      </c>
      <c r="F3767" s="2" t="n">
        <v>184</v>
      </c>
      <c r="G3767" s="2" t="s">
        <v>618</v>
      </c>
      <c r="H3767" s="2" t="str">
        <f aca="false">IFERROR(__xludf.dummyfunction("IF(I3807="""", """", REGEXEXTRACT(I3807, ""Padrao/([^/]+)""))"),"Sumarezinho")</f>
        <v>Sumarezinho</v>
      </c>
    </row>
    <row r="3768" customFormat="false" ht="15.75" hidden="false" customHeight="false" outlineLevel="0" collapsed="false">
      <c r="A3768" s="2" t="n">
        <v>174737</v>
      </c>
      <c r="B3768" s="2" t="s">
        <v>602</v>
      </c>
      <c r="C3768" s="2" t="n">
        <v>3</v>
      </c>
      <c r="D3768" s="2" t="n">
        <v>3</v>
      </c>
      <c r="E3768" s="2" t="n">
        <v>1</v>
      </c>
      <c r="F3768" s="2" t="n">
        <v>139</v>
      </c>
      <c r="G3768" s="2" t="s">
        <v>618</v>
      </c>
      <c r="H3768" s="2" t="str">
        <f aca="false">IFERROR(__xludf.dummyfunction("IF(I3808="""", """", REGEXEXTRACT(I3808, ""Padrao/([^/]+)""))"),"Centro")</f>
        <v>Centro</v>
      </c>
    </row>
    <row r="3769" customFormat="false" ht="15.75" hidden="false" customHeight="false" outlineLevel="0" collapsed="false">
      <c r="A3769" s="2" t="n">
        <v>173756</v>
      </c>
      <c r="B3769" s="2" t="s">
        <v>3033</v>
      </c>
      <c r="C3769" s="2" t="n">
        <v>1</v>
      </c>
      <c r="D3769" s="2" t="n">
        <v>2</v>
      </c>
      <c r="E3769" s="2" t="n">
        <v>1</v>
      </c>
      <c r="F3769" s="2" t="n">
        <v>49</v>
      </c>
      <c r="G3769" s="2" t="s">
        <v>618</v>
      </c>
      <c r="H3769" s="2" t="str">
        <f aca="false">IFERROR(__xludf.dummyfunction("IF(I3809="""", """", REGEXEXTRACT(I3809, ""Padrao/([^/]+)""))"),"Nova Alianca")</f>
        <v>Nova Alianca</v>
      </c>
    </row>
    <row r="3770" customFormat="false" ht="15.75" hidden="false" customHeight="false" outlineLevel="0" collapsed="false">
      <c r="A3770" s="2" t="n">
        <v>171659</v>
      </c>
      <c r="B3770" s="2" t="s">
        <v>3034</v>
      </c>
      <c r="C3770" s="2" t="n">
        <v>3</v>
      </c>
      <c r="D3770" s="2" t="n">
        <v>2</v>
      </c>
      <c r="E3770" s="2" t="n">
        <v>1</v>
      </c>
      <c r="F3770" s="2" t="n">
        <v>103</v>
      </c>
      <c r="G3770" s="2" t="s">
        <v>618</v>
      </c>
      <c r="H3770" s="2" t="str">
        <f aca="false">IFERROR(__xludf.dummyfunction("IF(I3810="""", """", REGEXEXTRACT(I3810, ""Padrao/([^/]+)""))"),"Centro")</f>
        <v>Centro</v>
      </c>
    </row>
    <row r="3771" customFormat="false" ht="15.75" hidden="false" customHeight="false" outlineLevel="0" collapsed="false">
      <c r="A3771" s="2" t="n">
        <v>167075</v>
      </c>
      <c r="B3771" s="2" t="s">
        <v>3035</v>
      </c>
      <c r="C3771" s="2" t="n">
        <v>3</v>
      </c>
      <c r="D3771" s="2" t="n">
        <v>2</v>
      </c>
      <c r="E3771" s="2" t="n">
        <v>1</v>
      </c>
      <c r="F3771" s="2" t="n">
        <v>80</v>
      </c>
      <c r="G3771" s="2" t="s">
        <v>618</v>
      </c>
      <c r="H3771" s="2" t="str">
        <f aca="false">IFERROR(__xludf.dummyfunction("IF(I3811="""", """", REGEXEXTRACT(I3811, ""Padrao/([^/]+)""))"),"Independencia")</f>
        <v>Independencia</v>
      </c>
    </row>
    <row r="3772" customFormat="false" ht="15.75" hidden="false" customHeight="false" outlineLevel="0" collapsed="false">
      <c r="A3772" s="2" t="n">
        <v>154826</v>
      </c>
      <c r="B3772" s="2" t="s">
        <v>3036</v>
      </c>
      <c r="C3772" s="2" t="n">
        <v>2</v>
      </c>
      <c r="D3772" s="2" t="n">
        <v>2</v>
      </c>
      <c r="E3772" s="2" t="n">
        <v>1</v>
      </c>
      <c r="F3772" s="2" t="n">
        <v>72</v>
      </c>
      <c r="G3772" s="2" t="s">
        <v>618</v>
      </c>
      <c r="H3772" s="2" t="str">
        <f aca="false">IFERROR(__xludf.dummyfunction("IF(I3812="""", """", REGEXEXTRACT(I3812, ""Padrao/([^/]+)""))"),"Vila Ana Maria")</f>
        <v>Vila Ana Maria</v>
      </c>
    </row>
    <row r="3773" customFormat="false" ht="15.75" hidden="false" customHeight="false" outlineLevel="0" collapsed="false">
      <c r="A3773" s="2" t="n">
        <v>149225</v>
      </c>
      <c r="B3773" s="2" t="s">
        <v>2915</v>
      </c>
      <c r="C3773" s="2" t="n">
        <v>3</v>
      </c>
      <c r="D3773" s="2" t="n">
        <v>3</v>
      </c>
      <c r="E3773" s="2" t="n">
        <v>1</v>
      </c>
      <c r="F3773" s="2" t="n">
        <v>116</v>
      </c>
      <c r="G3773" s="2" t="s">
        <v>618</v>
      </c>
      <c r="H3773" s="2" t="str">
        <f aca="false">IFERROR(__xludf.dummyfunction("IF(I3813="""", """", REGEXEXTRACT(I3813, ""Padrao/([^/]+)""))"),"Jardim Macedo")</f>
        <v>Jardim Macedo</v>
      </c>
    </row>
    <row r="3774" customFormat="false" ht="15.75" hidden="false" customHeight="false" outlineLevel="0" collapsed="false">
      <c r="A3774" s="2" t="n">
        <v>137477</v>
      </c>
      <c r="B3774" s="2" t="s">
        <v>1830</v>
      </c>
      <c r="C3774" s="2" t="n">
        <v>2</v>
      </c>
      <c r="D3774" s="2" t="n">
        <v>2</v>
      </c>
      <c r="E3774" s="2" t="n">
        <v>2</v>
      </c>
      <c r="F3774" s="2" t="n">
        <v>69</v>
      </c>
      <c r="G3774" s="2" t="s">
        <v>618</v>
      </c>
      <c r="H3774" s="2" t="str">
        <f aca="false">IFERROR(__xludf.dummyfunction("IF(I3814="""", """", REGEXEXTRACT(I3814, ""Padrao/([^/]+)""))"),"Jardim Botanico")</f>
        <v>Jardim Botanico</v>
      </c>
    </row>
    <row r="3775" customFormat="false" ht="15.75" hidden="false" customHeight="false" outlineLevel="0" collapsed="false">
      <c r="A3775" s="2" t="n">
        <v>137051</v>
      </c>
      <c r="B3775" s="2" t="s">
        <v>3037</v>
      </c>
      <c r="C3775" s="2" t="n">
        <v>1</v>
      </c>
      <c r="D3775" s="2" t="n">
        <v>2</v>
      </c>
      <c r="E3775" s="2" t="n">
        <v>1</v>
      </c>
      <c r="F3775" s="2" t="n">
        <v>48</v>
      </c>
      <c r="G3775" s="2" t="s">
        <v>618</v>
      </c>
      <c r="H3775" s="2" t="str">
        <f aca="false">IFERROR(__xludf.dummyfunction("IF(I3815="""", """", REGEXEXTRACT(I3815, ""Padrao/([^/]+)""))"),"Nova Alianca")</f>
        <v>Nova Alianca</v>
      </c>
    </row>
    <row r="3776" customFormat="false" ht="15.75" hidden="false" customHeight="false" outlineLevel="0" collapsed="false">
      <c r="A3776" s="2" t="n">
        <v>132092</v>
      </c>
      <c r="B3776" s="2" t="s">
        <v>3038</v>
      </c>
      <c r="C3776" s="2" t="n">
        <v>2</v>
      </c>
      <c r="D3776" s="2" t="n">
        <v>1</v>
      </c>
      <c r="E3776" s="2" t="n">
        <v>1</v>
      </c>
      <c r="F3776" s="2" t="n">
        <v>48</v>
      </c>
      <c r="G3776" s="2" t="s">
        <v>618</v>
      </c>
      <c r="H3776" s="2" t="str">
        <f aca="false">IFERROR(__xludf.dummyfunction("IF(I3816="""", """", REGEXEXTRACT(I3816, ""Padrao/([^/]+)""))"),"Jardim Manoel Penna")</f>
        <v>Jardim Manoel Penna</v>
      </c>
    </row>
    <row r="3777" customFormat="false" ht="15.75" hidden="false" customHeight="false" outlineLevel="0" collapsed="false">
      <c r="A3777" s="2" t="n">
        <v>93683</v>
      </c>
      <c r="B3777" s="2" t="s">
        <v>1919</v>
      </c>
      <c r="C3777" s="2" t="n">
        <v>2</v>
      </c>
      <c r="D3777" s="2" t="n">
        <v>1</v>
      </c>
      <c r="E3777" s="2" t="n">
        <v>1</v>
      </c>
      <c r="F3777" s="2" t="n">
        <v>51</v>
      </c>
      <c r="G3777" s="2" t="s">
        <v>618</v>
      </c>
      <c r="H3777" s="2" t="str">
        <f aca="false">IFERROR(__xludf.dummyfunction("IF(I3818="""", """", REGEXEXTRACT(I3818, ""Padrao/([^/]+)""))"),"Residencial Greenville")</f>
        <v>Residencial Greenville</v>
      </c>
    </row>
    <row r="3778" customFormat="false" ht="15.75" hidden="false" customHeight="false" outlineLevel="0" collapsed="false">
      <c r="A3778" s="2" t="n">
        <v>88958</v>
      </c>
      <c r="B3778" s="2" t="s">
        <v>3039</v>
      </c>
      <c r="C3778" s="2" t="n">
        <v>2</v>
      </c>
      <c r="D3778" s="2" t="n">
        <v>2</v>
      </c>
      <c r="E3778" s="2" t="n">
        <v>1</v>
      </c>
      <c r="F3778" s="2" t="n">
        <v>64</v>
      </c>
      <c r="G3778" s="2" t="s">
        <v>618</v>
      </c>
      <c r="H3778" s="2" t="str">
        <f aca="false">IFERROR(__xludf.dummyfunction("IF(I3819="""", """", REGEXEXTRACT(I3819, ""Padrao/([^/]+)""))"),"Jardim Paulistano")</f>
        <v>Jardim Paulistano</v>
      </c>
    </row>
    <row r="3779" customFormat="false" ht="15.75" hidden="false" customHeight="false" outlineLevel="0" collapsed="false">
      <c r="A3779" s="2" t="n">
        <v>87911</v>
      </c>
      <c r="B3779" s="2" t="s">
        <v>3040</v>
      </c>
      <c r="C3779" s="2" t="n">
        <v>3</v>
      </c>
      <c r="D3779" s="2" t="n">
        <v>2</v>
      </c>
      <c r="E3779" s="2" t="n">
        <v>2</v>
      </c>
      <c r="F3779" s="2" t="n">
        <v>80</v>
      </c>
      <c r="G3779" s="2" t="s">
        <v>618</v>
      </c>
      <c r="H3779" s="2" t="str">
        <f aca="false">IFERROR(__xludf.dummyfunction("IF(I3820="""", """", REGEXEXTRACT(I3820, ""Padrao/([^/]+)""))"),"Vila Mariana")</f>
        <v>Vila Mariana</v>
      </c>
    </row>
    <row r="3780" customFormat="false" ht="15.75" hidden="false" customHeight="false" outlineLevel="0" collapsed="false">
      <c r="A3780" s="2" t="n">
        <v>82028</v>
      </c>
      <c r="B3780" s="2" t="s">
        <v>3041</v>
      </c>
      <c r="C3780" s="2" t="n">
        <v>2</v>
      </c>
      <c r="D3780" s="2" t="n">
        <v>1</v>
      </c>
      <c r="E3780" s="2" t="n">
        <v>1</v>
      </c>
      <c r="F3780" s="2" t="n">
        <v>56</v>
      </c>
      <c r="G3780" s="2" t="s">
        <v>618</v>
      </c>
      <c r="H3780" s="2" t="str">
        <f aca="false">IFERROR(__xludf.dummyfunction("IF(I3821="""", """", REGEXEXTRACT(I3821, ""Padrao/([^/]+)""))"),"Vila Amelia")</f>
        <v>Vila Amelia</v>
      </c>
    </row>
    <row r="3781" customFormat="false" ht="15.75" hidden="false" customHeight="false" outlineLevel="0" collapsed="false">
      <c r="A3781" s="2" t="n">
        <v>77660</v>
      </c>
      <c r="B3781" s="2" t="s">
        <v>3042</v>
      </c>
      <c r="C3781" s="2" t="n">
        <v>2</v>
      </c>
      <c r="D3781" s="2" t="n">
        <v>3</v>
      </c>
      <c r="E3781" s="2" t="n">
        <v>1</v>
      </c>
      <c r="F3781" s="2" t="n">
        <v>68</v>
      </c>
      <c r="G3781" s="2" t="s">
        <v>618</v>
      </c>
      <c r="H3781" s="2" t="str">
        <f aca="false">IFERROR(__xludf.dummyfunction("IF(I3822="""", """", REGEXEXTRACT(I3822, ""Padrao/([^/]+)""))"),"Centro")</f>
        <v>Centro</v>
      </c>
    </row>
    <row r="3782" customFormat="false" ht="15.75" hidden="false" customHeight="false" outlineLevel="0" collapsed="false">
      <c r="A3782" s="2" t="n">
        <v>76730</v>
      </c>
      <c r="B3782" s="2" t="s">
        <v>3043</v>
      </c>
      <c r="C3782" s="2" t="n">
        <v>2</v>
      </c>
      <c r="D3782" s="2" t="n">
        <v>2</v>
      </c>
      <c r="E3782" s="2" t="n">
        <v>2</v>
      </c>
      <c r="F3782" s="2" t="n">
        <v>54</v>
      </c>
      <c r="G3782" s="2" t="s">
        <v>618</v>
      </c>
      <c r="H3782" s="2" t="str">
        <f aca="false">IFERROR(__xludf.dummyfunction("IF(I3823="""", """", REGEXEXTRACT(I3823, ""Padrao/([^/]+)""))"),"Vila Ana Maria")</f>
        <v>Vila Ana Maria</v>
      </c>
    </row>
    <row r="3783" customFormat="false" ht="15.75" hidden="false" customHeight="false" outlineLevel="0" collapsed="false">
      <c r="A3783" s="2" t="n">
        <v>40640</v>
      </c>
      <c r="B3783" s="2" t="s">
        <v>162</v>
      </c>
      <c r="C3783" s="2" t="n">
        <v>3</v>
      </c>
      <c r="D3783" s="2" t="n">
        <v>3</v>
      </c>
      <c r="E3783" s="2" t="n">
        <v>1</v>
      </c>
      <c r="F3783" s="2" t="n">
        <v>97</v>
      </c>
      <c r="G3783" s="2" t="s">
        <v>618</v>
      </c>
      <c r="H3783" s="2" t="str">
        <f aca="false">IFERROR(__xludf.dummyfunction("IF(I3824="""", """", REGEXEXTRACT(I3824, ""Padrao/([^/]+)""))"),"Campos Eliseos")</f>
        <v>Campos Eliseos</v>
      </c>
    </row>
    <row r="3784" customFormat="false" ht="15.75" hidden="false" customHeight="false" outlineLevel="0" collapsed="false">
      <c r="A3784" s="2" t="n">
        <v>214766</v>
      </c>
      <c r="B3784" s="2" t="s">
        <v>3044</v>
      </c>
      <c r="C3784" s="2" t="n">
        <v>1</v>
      </c>
      <c r="D3784" s="2" t="n">
        <v>1</v>
      </c>
      <c r="E3784" s="2" t="n">
        <v>1</v>
      </c>
      <c r="F3784" s="2" t="n">
        <v>44</v>
      </c>
      <c r="G3784" s="2" t="s">
        <v>3045</v>
      </c>
      <c r="H3784" s="2" t="str">
        <f aca="false">IFERROR(__xludf.dummyfunction("IF(I3825="""", """", REGEXEXTRACT(I3825, ""Padrao/([^/]+)""))"),"Santa Cruz do Jose Jacques")</f>
        <v>Santa Cruz do Jose Jacques</v>
      </c>
    </row>
    <row r="3785" customFormat="false" ht="15.75" hidden="false" customHeight="false" outlineLevel="0" collapsed="false">
      <c r="A3785" s="2" t="n">
        <v>213233</v>
      </c>
      <c r="B3785" s="2" t="s">
        <v>3046</v>
      </c>
      <c r="C3785" s="2" t="n">
        <v>2</v>
      </c>
      <c r="D3785" s="2" t="n">
        <v>2</v>
      </c>
      <c r="E3785" s="2" t="n">
        <v>1</v>
      </c>
      <c r="F3785" s="2" t="n">
        <v>56</v>
      </c>
      <c r="G3785" s="2" t="s">
        <v>3047</v>
      </c>
      <c r="H3785" s="2" t="str">
        <f aca="false">IFERROR(__xludf.dummyfunction("IF(I3826="""", """", REGEXEXTRACT(I3826, ""Padrao/([^/]+)""))"),"Campos Eliseos")</f>
        <v>Campos Eliseos</v>
      </c>
    </row>
    <row r="3786" customFormat="false" ht="15.75" hidden="false" customHeight="false" outlineLevel="0" collapsed="false">
      <c r="A3786" s="2" t="n">
        <v>156302</v>
      </c>
      <c r="B3786" s="2" t="s">
        <v>3048</v>
      </c>
      <c r="C3786" s="2" t="n">
        <v>2</v>
      </c>
      <c r="D3786" s="2" t="n">
        <v>2</v>
      </c>
      <c r="E3786" s="2" t="n">
        <v>1</v>
      </c>
      <c r="F3786" s="2" t="n">
        <v>57</v>
      </c>
      <c r="G3786" s="2" t="s">
        <v>3047</v>
      </c>
      <c r="H3786" s="2" t="str">
        <f aca="false">IFERROR(__xludf.dummyfunction("IF(I3827="""", """", REGEXEXTRACT(I3827, ""Padrao/([^/]+)""))"),"Loteamento Santa Marta")</f>
        <v>Loteamento Santa Marta</v>
      </c>
    </row>
    <row r="3787" customFormat="false" ht="15.75" hidden="false" customHeight="false" outlineLevel="0" collapsed="false">
      <c r="A3787" s="2" t="n">
        <v>218867</v>
      </c>
      <c r="B3787" s="2" t="s">
        <v>3049</v>
      </c>
      <c r="C3787" s="2" t="n">
        <v>2</v>
      </c>
      <c r="D3787" s="2" t="n">
        <v>2</v>
      </c>
      <c r="E3787" s="2" t="n">
        <v>1</v>
      </c>
      <c r="F3787" s="2" t="n">
        <v>53</v>
      </c>
      <c r="G3787" s="2" t="s">
        <v>3050</v>
      </c>
      <c r="H3787" s="2" t="str">
        <f aca="false">IFERROR(__xludf.dummyfunction("IF(I3828="""", """", REGEXEXTRACT(I3828, ""Padrao/([^/]+)""))"),"Jardim Paulista")</f>
        <v>Jardim Paulista</v>
      </c>
    </row>
    <row r="3788" customFormat="false" ht="15.75" hidden="false" customHeight="false" outlineLevel="0" collapsed="false">
      <c r="A3788" s="2" t="n">
        <v>212276</v>
      </c>
      <c r="B3788" s="2" t="s">
        <v>1959</v>
      </c>
      <c r="C3788" s="2" t="n">
        <v>2</v>
      </c>
      <c r="D3788" s="2" t="n">
        <v>1</v>
      </c>
      <c r="E3788" s="2" t="n">
        <v>1</v>
      </c>
      <c r="F3788" s="2" t="n">
        <v>52</v>
      </c>
      <c r="G3788" s="2" t="s">
        <v>575</v>
      </c>
      <c r="H3788" s="2" t="str">
        <f aca="false">IFERROR(__xludf.dummyfunction("IF(I3829="""", """", REGEXEXTRACT(I3829, ""Padrao/([^/]+)""))"),"Jardim Anhanguera")</f>
        <v>Jardim Anhanguera</v>
      </c>
    </row>
    <row r="3789" customFormat="false" ht="15.75" hidden="false" customHeight="false" outlineLevel="0" collapsed="false">
      <c r="A3789" s="2" t="n">
        <v>240278</v>
      </c>
      <c r="B3789" s="2" t="s">
        <v>3051</v>
      </c>
      <c r="C3789" s="2" t="n">
        <v>2</v>
      </c>
      <c r="D3789" s="2" t="n">
        <v>1</v>
      </c>
      <c r="E3789" s="2" t="n">
        <v>1</v>
      </c>
      <c r="F3789" s="2" t="n">
        <v>49</v>
      </c>
      <c r="G3789" s="2" t="s">
        <v>3052</v>
      </c>
      <c r="H3789" s="2" t="str">
        <f aca="false">IFERROR(__xludf.dummyfunction("IF(I3830="""", """", REGEXEXTRACT(I3830, ""Padrao/([^/]+)""))"),"Residencial Monterrey")</f>
        <v>Residencial Monterrey</v>
      </c>
    </row>
    <row r="3790" customFormat="false" ht="15.75" hidden="false" customHeight="false" outlineLevel="0" collapsed="false">
      <c r="A3790" s="2" t="n">
        <v>238253</v>
      </c>
      <c r="B3790" s="2" t="s">
        <v>3053</v>
      </c>
      <c r="C3790" s="2" t="n">
        <v>2</v>
      </c>
      <c r="D3790" s="2" t="n">
        <v>1</v>
      </c>
      <c r="E3790" s="2" t="n">
        <v>1</v>
      </c>
      <c r="F3790" s="2" t="n">
        <v>60</v>
      </c>
      <c r="G3790" s="2" t="s">
        <v>3052</v>
      </c>
      <c r="H3790" s="2" t="str">
        <f aca="false">IFERROR(__xludf.dummyfunction("IF(I3831="""", """", REGEXEXTRACT(I3831, ""Padrao/([^/]+)""))"),"Quinta da Primavera")</f>
        <v>Quinta da Primavera</v>
      </c>
    </row>
    <row r="3791" customFormat="false" ht="15.75" hidden="false" customHeight="false" outlineLevel="0" collapsed="false">
      <c r="A3791" s="2" t="n">
        <v>213869</v>
      </c>
      <c r="B3791" s="2" t="s">
        <v>3054</v>
      </c>
      <c r="C3791" s="2" t="n">
        <v>2</v>
      </c>
      <c r="D3791" s="2" t="n">
        <v>2</v>
      </c>
      <c r="E3791" s="2" t="n">
        <v>1</v>
      </c>
      <c r="F3791" s="2" t="n">
        <v>55</v>
      </c>
      <c r="G3791" s="2" t="s">
        <v>3052</v>
      </c>
      <c r="H3791" s="2" t="str">
        <f aca="false">IFERROR(__xludf.dummyfunction("IF(I3832="""", """", REGEXEXTRACT(I3832, ""Padrao/([^/]+)""))"),"Campos Eliseos")</f>
        <v>Campos Eliseos</v>
      </c>
    </row>
    <row r="3792" customFormat="false" ht="15.75" hidden="false" customHeight="false" outlineLevel="0" collapsed="false">
      <c r="A3792" s="2" t="n">
        <v>207014</v>
      </c>
      <c r="B3792" s="2" t="s">
        <v>3055</v>
      </c>
      <c r="C3792" s="2" t="n">
        <v>2</v>
      </c>
      <c r="D3792" s="2" t="n">
        <v>1</v>
      </c>
      <c r="E3792" s="2" t="n">
        <v>1</v>
      </c>
      <c r="F3792" s="2" t="n">
        <v>48</v>
      </c>
      <c r="G3792" s="2" t="s">
        <v>614</v>
      </c>
      <c r="H3792" s="2" t="str">
        <f aca="false">IFERROR(__xludf.dummyfunction("IF(I3833="""", """", REGEXEXTRACT(I3833, ""Padrao/([^/]+)""))"),"Jardim Paulistano")</f>
        <v>Jardim Paulistano</v>
      </c>
    </row>
    <row r="3793" customFormat="false" ht="15.75" hidden="false" customHeight="false" outlineLevel="0" collapsed="false">
      <c r="A3793" s="2" t="n">
        <v>137936</v>
      </c>
      <c r="B3793" s="2" t="s">
        <v>3056</v>
      </c>
      <c r="C3793" s="2" t="n">
        <v>3</v>
      </c>
      <c r="D3793" s="2" t="n">
        <v>3</v>
      </c>
      <c r="E3793" s="2" t="n">
        <v>2</v>
      </c>
      <c r="F3793" s="2" t="n">
        <v>107</v>
      </c>
      <c r="G3793" s="2" t="s">
        <v>614</v>
      </c>
      <c r="H3793" s="2" t="str">
        <f aca="false">IFERROR(__xludf.dummyfunction("IF(I3834="""", """", REGEXEXTRACT(I3834, ""Padrao/([^/]+)""))"),"Iguatemi")</f>
        <v>Iguatemi</v>
      </c>
    </row>
    <row r="3794" customFormat="false" ht="15.75" hidden="false" customHeight="false" outlineLevel="0" collapsed="false">
      <c r="A3794" s="2" t="n">
        <v>240704</v>
      </c>
      <c r="B3794" s="2" t="s">
        <v>2764</v>
      </c>
      <c r="C3794" s="2" t="n">
        <v>3</v>
      </c>
      <c r="D3794" s="2" t="n">
        <v>2</v>
      </c>
      <c r="E3794" s="2" t="n">
        <v>1</v>
      </c>
      <c r="F3794" s="2" t="n">
        <v>82</v>
      </c>
      <c r="G3794" s="2" t="s">
        <v>3057</v>
      </c>
      <c r="H3794" s="2" t="str">
        <f aca="false">IFERROR(__xludf.dummyfunction("IF(I3835="""", """", REGEXEXTRACT(I3835, ""Padrao/([^/]+)""))"),"Jardim Castelo Branco")</f>
        <v>Jardim Castelo Branco</v>
      </c>
    </row>
    <row r="3795" customFormat="false" ht="15.75" hidden="false" customHeight="false" outlineLevel="0" collapsed="false">
      <c r="A3795" s="2" t="n">
        <v>236426</v>
      </c>
      <c r="B3795" s="2" t="s">
        <v>3058</v>
      </c>
      <c r="C3795" s="2" t="n">
        <v>3</v>
      </c>
      <c r="D3795" s="2" t="n">
        <v>2</v>
      </c>
      <c r="E3795" s="2" t="n">
        <v>1</v>
      </c>
      <c r="F3795" s="2" t="n">
        <v>78</v>
      </c>
      <c r="G3795" s="2" t="s">
        <v>3057</v>
      </c>
      <c r="H3795" s="2" t="str">
        <f aca="false">IFERROR(__xludf.dummyfunction("IF(I3836="""", """", REGEXEXTRACT(I3836, ""Padrao/([^/]+)""))"),"Parque dos Lagos")</f>
        <v>Parque dos Lagos</v>
      </c>
    </row>
    <row r="3796" customFormat="false" ht="15.75" hidden="false" customHeight="false" outlineLevel="0" collapsed="false">
      <c r="A3796" s="2" t="n">
        <v>232118</v>
      </c>
      <c r="B3796" s="2" t="s">
        <v>3059</v>
      </c>
      <c r="C3796" s="2" t="n">
        <v>3</v>
      </c>
      <c r="D3796" s="2" t="n">
        <v>2</v>
      </c>
      <c r="E3796" s="2" t="n">
        <v>2</v>
      </c>
      <c r="F3796" s="2" t="n">
        <v>89</v>
      </c>
      <c r="G3796" s="2" t="s">
        <v>3057</v>
      </c>
      <c r="H3796" s="2" t="str">
        <f aca="false">IFERROR(__xludf.dummyfunction("IF(I3837="""", """", REGEXEXTRACT(I3837, ""Padrao/([^/]+)""))"),"Jardim Novo Mundo")</f>
        <v>Jardim Novo Mundo</v>
      </c>
    </row>
    <row r="3797" customFormat="false" ht="15.75" hidden="false" customHeight="false" outlineLevel="0" collapsed="false">
      <c r="A3797" s="2" t="n">
        <v>158054</v>
      </c>
      <c r="B3797" s="2" t="s">
        <v>3060</v>
      </c>
      <c r="C3797" s="2" t="n">
        <v>2</v>
      </c>
      <c r="D3797" s="2" t="n">
        <v>1</v>
      </c>
      <c r="E3797" s="2" t="n">
        <v>1</v>
      </c>
      <c r="F3797" s="2" t="n">
        <v>44</v>
      </c>
      <c r="G3797" s="2" t="s">
        <v>3057</v>
      </c>
      <c r="H3797" s="2" t="str">
        <f aca="false">IFERROR(__xludf.dummyfunction("IF(I3838="""", """", REGEXEXTRACT(I3838, ""Padrao/([^/]+)""))"),"Quintas de Sao Jose")</f>
        <v>Quintas de Sao Jose</v>
      </c>
    </row>
    <row r="3798" customFormat="false" ht="15.75" hidden="false" customHeight="false" outlineLevel="0" collapsed="false">
      <c r="A3798" s="2" t="n">
        <v>150452</v>
      </c>
      <c r="B3798" s="2" t="s">
        <v>3061</v>
      </c>
      <c r="C3798" s="2" t="n">
        <v>3</v>
      </c>
      <c r="D3798" s="2" t="n">
        <v>2</v>
      </c>
      <c r="E3798" s="2" t="n">
        <v>1</v>
      </c>
      <c r="F3798" s="2" t="n">
        <v>78</v>
      </c>
      <c r="G3798" s="2" t="s">
        <v>3057</v>
      </c>
      <c r="H3798" s="2" t="str">
        <f aca="false">IFERROR(__xludf.dummyfunction("IF(I3839="""", """", REGEXEXTRACT(I3839, ""Padrao/([^/]+)""))"),"Jardim Zaneti")</f>
        <v>Jardim Zaneti</v>
      </c>
    </row>
    <row r="3799" customFormat="false" ht="15.75" hidden="false" customHeight="false" outlineLevel="0" collapsed="false">
      <c r="A3799" s="2" t="n">
        <v>25025</v>
      </c>
      <c r="B3799" s="2" t="s">
        <v>3062</v>
      </c>
      <c r="C3799" s="2" t="n">
        <v>2</v>
      </c>
      <c r="D3799" s="2" t="n">
        <v>2</v>
      </c>
      <c r="E3799" s="2" t="n">
        <v>2</v>
      </c>
      <c r="F3799" s="2" t="n">
        <v>71</v>
      </c>
      <c r="G3799" s="2" t="s">
        <v>3057</v>
      </c>
      <c r="H3799" s="2" t="str">
        <f aca="false">IFERROR(__xludf.dummyfunction("IF(I3840="""", """", REGEXEXTRACT(I3840, ""Padrao/([^/]+)""))"),"Vila Ana Maria")</f>
        <v>Vila Ana Maria</v>
      </c>
    </row>
    <row r="3800" customFormat="false" ht="15.75" hidden="false" customHeight="false" outlineLevel="0" collapsed="false">
      <c r="A3800" s="2" t="n">
        <v>244886</v>
      </c>
      <c r="B3800" s="2" t="s">
        <v>3063</v>
      </c>
      <c r="C3800" s="2" t="n">
        <v>1</v>
      </c>
      <c r="D3800" s="2" t="n">
        <v>1</v>
      </c>
      <c r="E3800" s="2" t="n">
        <v>1</v>
      </c>
      <c r="F3800" s="2" t="n">
        <v>43</v>
      </c>
      <c r="G3800" s="2" t="s">
        <v>3064</v>
      </c>
      <c r="H3800" s="2" t="str">
        <f aca="false">IFERROR(__xludf.dummyfunction("IF(I3841="""", """", REGEXEXTRACT(I3841, ""Padrao/([^/]+)""))"),"Nova Ribeirania")</f>
        <v>Nova Ribeirania</v>
      </c>
    </row>
    <row r="3801" customFormat="false" ht="15.75" hidden="false" customHeight="false" outlineLevel="0" collapsed="false">
      <c r="A3801" s="2" t="n">
        <v>204725</v>
      </c>
      <c r="B3801" s="2" t="s">
        <v>3065</v>
      </c>
      <c r="C3801" s="2" t="n">
        <v>2</v>
      </c>
      <c r="D3801" s="2" t="n">
        <v>2</v>
      </c>
      <c r="E3801" s="2" t="n">
        <v>1</v>
      </c>
      <c r="F3801" s="2" t="n">
        <v>71</v>
      </c>
      <c r="G3801" s="2" t="s">
        <v>3066</v>
      </c>
      <c r="H3801" s="2" t="str">
        <f aca="false">IFERROR(__xludf.dummyfunction("IF(I3842="""", """", REGEXEXTRACT(I3842, ""Padrao/([^/]+)""))"),"Alto da Boa Vista")</f>
        <v>Alto da Boa Vista</v>
      </c>
    </row>
    <row r="3802" customFormat="false" ht="15.75" hidden="false" customHeight="false" outlineLevel="0" collapsed="false">
      <c r="A3802" s="2" t="n">
        <v>12650</v>
      </c>
      <c r="B3802" s="2" t="s">
        <v>605</v>
      </c>
      <c r="C3802" s="2" t="n">
        <v>3</v>
      </c>
      <c r="D3802" s="2" t="n">
        <v>2</v>
      </c>
      <c r="E3802" s="2" t="n">
        <v>1</v>
      </c>
      <c r="F3802" s="2" t="n">
        <v>105</v>
      </c>
      <c r="G3802" s="2" t="s">
        <v>3067</v>
      </c>
      <c r="H3802" s="2" t="str">
        <f aca="false">IFERROR(__xludf.dummyfunction("IF(I3843="""", """", REGEXEXTRACT(I3843, ""Padrao/([^/]+)""))"),"Campos Eliseos")</f>
        <v>Campos Eliseos</v>
      </c>
    </row>
    <row r="3803" customFormat="false" ht="15.75" hidden="false" customHeight="false" outlineLevel="0" collapsed="false">
      <c r="A3803" s="2" t="n">
        <v>170933</v>
      </c>
      <c r="B3803" s="2" t="s">
        <v>3068</v>
      </c>
      <c r="C3803" s="2" t="n">
        <v>2</v>
      </c>
      <c r="D3803" s="2" t="n">
        <v>1</v>
      </c>
      <c r="E3803" s="2" t="n">
        <v>1</v>
      </c>
      <c r="F3803" s="2" t="n">
        <v>63</v>
      </c>
      <c r="G3803" s="2" t="s">
        <v>3069</v>
      </c>
      <c r="H3803" s="2" t="str">
        <f aca="false">IFERROR(__xludf.dummyfunction("IF(I3844="""", """", REGEXEXTRACT(I3844, ""Padrao/([^/]+)""))"),"Vila Virginia")</f>
        <v>Vila Virginia</v>
      </c>
    </row>
    <row r="3804" customFormat="false" ht="15.75" hidden="false" customHeight="false" outlineLevel="0" collapsed="false">
      <c r="A3804" s="2" t="n">
        <v>235025</v>
      </c>
      <c r="B3804" s="2" t="s">
        <v>3070</v>
      </c>
      <c r="C3804" s="2" t="n">
        <v>2</v>
      </c>
      <c r="D3804" s="2" t="n">
        <v>1</v>
      </c>
      <c r="E3804" s="2" t="n">
        <v>1</v>
      </c>
      <c r="F3804" s="2" t="n">
        <v>45</v>
      </c>
      <c r="G3804" s="2" t="s">
        <v>3005</v>
      </c>
      <c r="H3804" s="2" t="str">
        <f aca="false">IFERROR(__xludf.dummyfunction("IF(I3845="""", """", REGEXEXTRACT(I3845, ""Padrao/([^/]+)""))"),"Quinta da Primavera")</f>
        <v>Quinta da Primavera</v>
      </c>
    </row>
    <row r="3805" customFormat="false" ht="15.75" hidden="false" customHeight="false" outlineLevel="0" collapsed="false">
      <c r="A3805" s="2" t="n">
        <v>235697</v>
      </c>
      <c r="B3805" s="2" t="s">
        <v>3071</v>
      </c>
      <c r="C3805" s="2" t="n">
        <v>1</v>
      </c>
      <c r="D3805" s="2" t="n">
        <v>1</v>
      </c>
      <c r="E3805" s="2" t="n">
        <v>1</v>
      </c>
      <c r="F3805" s="2" t="n">
        <v>43</v>
      </c>
      <c r="G3805" s="2" t="s">
        <v>3072</v>
      </c>
      <c r="H3805" s="2" t="str">
        <f aca="false">IFERROR(__xludf.dummyfunction("IF(I3846="""", """", REGEXEXTRACT(I3846, ""Padrao/([^/]+)""))"),"Quinta da Primavera")</f>
        <v>Quinta da Primavera</v>
      </c>
    </row>
    <row r="3806" customFormat="false" ht="15.75" hidden="false" customHeight="false" outlineLevel="0" collapsed="false">
      <c r="A3806" s="2" t="n">
        <v>198611</v>
      </c>
      <c r="B3806" s="2" t="s">
        <v>3073</v>
      </c>
      <c r="C3806" s="2" t="n">
        <v>1</v>
      </c>
      <c r="D3806" s="2" t="n">
        <v>1</v>
      </c>
      <c r="E3806" s="2" t="n">
        <v>1</v>
      </c>
      <c r="F3806" s="2" t="n">
        <v>45</v>
      </c>
      <c r="G3806" s="2" t="s">
        <v>3074</v>
      </c>
      <c r="H3806" s="2" t="str">
        <f aca="false">IFERROR(__xludf.dummyfunction("IF(I3847="""", """", REGEXEXTRACT(I3847, ""Padrao/([^/]+)""))"),"Jardim Recreio")</f>
        <v>Jardim Recreio</v>
      </c>
    </row>
    <row r="3807" customFormat="false" ht="15.75" hidden="false" customHeight="false" outlineLevel="0" collapsed="false">
      <c r="A3807" s="2" t="n">
        <v>237473</v>
      </c>
      <c r="B3807" s="2" t="s">
        <v>3075</v>
      </c>
      <c r="C3807" s="2" t="n">
        <v>3</v>
      </c>
      <c r="D3807" s="2" t="n">
        <v>2</v>
      </c>
      <c r="E3807" s="2" t="n">
        <v>1</v>
      </c>
      <c r="F3807" s="2" t="n">
        <v>66</v>
      </c>
      <c r="G3807" s="2" t="s">
        <v>3076</v>
      </c>
      <c r="H3807" s="2" t="str">
        <f aca="false">IFERROR(__xludf.dummyfunction("IF(I3848="""", """", REGEXEXTRACT(I3848, ""Padrao/([^/]+)""))"),"Parque dos Lagos")</f>
        <v>Parque dos Lagos</v>
      </c>
    </row>
    <row r="3808" customFormat="false" ht="15.75" hidden="false" customHeight="false" outlineLevel="0" collapsed="false">
      <c r="A3808" s="2" t="n">
        <v>143009</v>
      </c>
      <c r="B3808" s="2" t="s">
        <v>440</v>
      </c>
      <c r="C3808" s="2" t="n">
        <v>2</v>
      </c>
      <c r="D3808" s="2" t="n">
        <v>2</v>
      </c>
      <c r="E3808" s="2" t="n">
        <v>1</v>
      </c>
      <c r="F3808" s="2" t="n">
        <v>117</v>
      </c>
      <c r="G3808" s="2" t="s">
        <v>1513</v>
      </c>
      <c r="H3808" s="2" t="str">
        <f aca="false">IFERROR(__xludf.dummyfunction("IF(I3849="""", """", REGEXEXTRACT(I3849, ""Padrao/([^/]+)""))"),"Centro")</f>
        <v>Centro</v>
      </c>
    </row>
    <row r="3809" customFormat="false" ht="15.75" hidden="false" customHeight="false" outlineLevel="0" collapsed="false">
      <c r="A3809" s="2" t="n">
        <v>117773</v>
      </c>
      <c r="B3809" s="2" t="s">
        <v>3077</v>
      </c>
      <c r="C3809" s="2" t="n">
        <v>3</v>
      </c>
      <c r="D3809" s="2" t="n">
        <v>3</v>
      </c>
      <c r="E3809" s="2" t="n">
        <v>1</v>
      </c>
      <c r="F3809" s="2" t="n">
        <v>104</v>
      </c>
      <c r="G3809" s="2" t="s">
        <v>588</v>
      </c>
      <c r="H3809" s="2" t="str">
        <f aca="false">IFERROR(__xludf.dummyfunction("IF(I3850="""", """", REGEXEXTRACT(I3850, ""Padrao/([^/]+)""))"),"Jardim Paulista")</f>
        <v>Jardim Paulista</v>
      </c>
    </row>
    <row r="3810" customFormat="false" ht="15.75" hidden="false" customHeight="false" outlineLevel="0" collapsed="false">
      <c r="A3810" s="2" t="n">
        <v>199448</v>
      </c>
      <c r="B3810" s="2" t="s">
        <v>2630</v>
      </c>
      <c r="C3810" s="2" t="n">
        <v>2</v>
      </c>
      <c r="D3810" s="2" t="n">
        <v>2</v>
      </c>
      <c r="E3810" s="2" t="n">
        <v>1</v>
      </c>
      <c r="F3810" s="2" t="n">
        <v>48</v>
      </c>
      <c r="G3810" s="2" t="s">
        <v>3078</v>
      </c>
      <c r="H3810" s="2" t="str">
        <f aca="false">IFERROR(__xludf.dummyfunction("IF(I3851="""", """", REGEXEXTRACT(I3851, ""Padrao/([^/]+)""))"),"Quintas de Sao Jose")</f>
        <v>Quintas de Sao Jose</v>
      </c>
    </row>
    <row r="3811" customFormat="false" ht="15.75" hidden="false" customHeight="false" outlineLevel="0" collapsed="false">
      <c r="A3811" s="2" t="n">
        <v>189284</v>
      </c>
      <c r="B3811" s="2" t="s">
        <v>3079</v>
      </c>
      <c r="C3811" s="2" t="n">
        <v>1</v>
      </c>
      <c r="D3811" s="2" t="n">
        <v>1</v>
      </c>
      <c r="E3811" s="2" t="n">
        <v>1</v>
      </c>
      <c r="F3811" s="2" t="n">
        <v>43</v>
      </c>
      <c r="G3811" s="2" t="s">
        <v>614</v>
      </c>
      <c r="H3811" s="2" t="str">
        <f aca="false">IFERROR(__xludf.dummyfunction("IF(I3852="""", """", REGEXEXTRACT(I3852, ""Padrao/([^/]+)""))"),"Vila Monte Alegre")</f>
        <v>Vila Monte Alegre</v>
      </c>
    </row>
    <row r="3812" customFormat="false" ht="15.75" hidden="false" customHeight="false" outlineLevel="0" collapsed="false">
      <c r="A3812" s="2" t="n">
        <v>226661</v>
      </c>
      <c r="B3812" s="2" t="s">
        <v>3080</v>
      </c>
      <c r="C3812" s="2" t="n">
        <v>2</v>
      </c>
      <c r="D3812" s="2" t="n">
        <v>2</v>
      </c>
      <c r="E3812" s="2" t="n">
        <v>1</v>
      </c>
      <c r="F3812" s="2" t="n">
        <v>54</v>
      </c>
      <c r="G3812" s="2" t="s">
        <v>618</v>
      </c>
      <c r="H3812" s="2" t="str">
        <f aca="false">IFERROR(__xludf.dummyfunction("IF(I3853="""", """", REGEXEXTRACT(I3853, ""Padrao/([^/]+)""))"),"Vila Monte Alegre")</f>
        <v>Vila Monte Alegre</v>
      </c>
    </row>
    <row r="3813" customFormat="false" ht="15.75" hidden="false" customHeight="false" outlineLevel="0" collapsed="false">
      <c r="A3813" s="2" t="n">
        <v>190340</v>
      </c>
      <c r="B3813" s="2" t="s">
        <v>2466</v>
      </c>
      <c r="C3813" s="2" t="n">
        <v>2</v>
      </c>
      <c r="D3813" s="2" t="n">
        <v>1</v>
      </c>
      <c r="E3813" s="2" t="n">
        <v>1</v>
      </c>
      <c r="F3813" s="2" t="n">
        <v>48</v>
      </c>
      <c r="G3813" s="2" t="s">
        <v>618</v>
      </c>
      <c r="H3813" s="2" t="str">
        <f aca="false">IFERROR(__xludf.dummyfunction("IF(I3854="""", """", REGEXEXTRACT(I3854, ""Padrao/([^/]+)""))"),"Jardim Paulistano")</f>
        <v>Jardim Paulistano</v>
      </c>
    </row>
    <row r="3814" customFormat="false" ht="15.75" hidden="false" customHeight="false" outlineLevel="0" collapsed="false">
      <c r="A3814" s="2" t="n">
        <v>199442</v>
      </c>
      <c r="B3814" s="2" t="s">
        <v>3081</v>
      </c>
      <c r="C3814" s="2" t="n">
        <v>2</v>
      </c>
      <c r="D3814" s="2" t="n">
        <v>2</v>
      </c>
      <c r="E3814" s="2" t="n">
        <v>1</v>
      </c>
      <c r="F3814" s="2" t="n">
        <v>52</v>
      </c>
      <c r="G3814" s="2" t="s">
        <v>3082</v>
      </c>
      <c r="H3814" s="2" t="str">
        <f aca="false">IFERROR(__xludf.dummyfunction("IF(I3855="""", """", REGEXEXTRACT(I3855, ""Padrao/([^/]+)""))"),"Quintas de Sao Jose")</f>
        <v>Quintas de Sao Jose</v>
      </c>
    </row>
    <row r="3815" customFormat="false" ht="15.75" hidden="false" customHeight="false" outlineLevel="0" collapsed="false">
      <c r="A3815" s="2" t="n">
        <v>245048</v>
      </c>
      <c r="B3815" s="2" t="s">
        <v>3083</v>
      </c>
      <c r="C3815" s="2" t="n">
        <v>2</v>
      </c>
      <c r="D3815" s="2" t="n">
        <v>2</v>
      </c>
      <c r="E3815" s="2" t="n">
        <v>1</v>
      </c>
      <c r="F3815" s="2" t="n">
        <v>53</v>
      </c>
      <c r="G3815" s="2" t="s">
        <v>621</v>
      </c>
      <c r="H3815" s="2" t="str">
        <f aca="false">IFERROR(__xludf.dummyfunction("IF(I3856="""", """", REGEXEXTRACT(I3856, ""Padrao/([^/]+)""))"),"Alto da Boa Vista")</f>
        <v>Alto da Boa Vista</v>
      </c>
    </row>
    <row r="3816" customFormat="false" ht="15.75" hidden="false" customHeight="false" outlineLevel="0" collapsed="false">
      <c r="A3816" s="2" t="n">
        <v>242891</v>
      </c>
      <c r="B3816" s="2" t="s">
        <v>1916</v>
      </c>
      <c r="C3816" s="2" t="n">
        <v>3</v>
      </c>
      <c r="D3816" s="2" t="n">
        <v>2</v>
      </c>
      <c r="E3816" s="2" t="n">
        <v>2</v>
      </c>
      <c r="F3816" s="2" t="n">
        <v>87</v>
      </c>
      <c r="G3816" s="2" t="s">
        <v>621</v>
      </c>
      <c r="H3816" s="2" t="str">
        <f aca="false">IFERROR(__xludf.dummyfunction("IF(I3857="""", """", REGEXEXTRACT(I3857, ""Padrao/([^/]+)""))"),"Jardim Paulistano")</f>
        <v>Jardim Paulistano</v>
      </c>
    </row>
    <row r="3817" customFormat="false" ht="15.75" hidden="false" customHeight="false" outlineLevel="0" collapsed="false">
      <c r="A3817" s="2" t="n">
        <v>241514</v>
      </c>
      <c r="B3817" s="2" t="s">
        <v>3084</v>
      </c>
      <c r="C3817" s="2" t="n">
        <v>2</v>
      </c>
      <c r="D3817" s="2" t="n">
        <v>2</v>
      </c>
      <c r="E3817" s="2" t="n">
        <v>1</v>
      </c>
      <c r="F3817" s="2" t="n">
        <v>53</v>
      </c>
      <c r="G3817" s="2" t="s">
        <v>621</v>
      </c>
      <c r="H3817" s="2" t="str">
        <f aca="false">IFERROR(__xludf.dummyfunction("IF(I3858="""", """", REGEXEXTRACT(I3858, ""Padrao/([^/]+)""))"),"Parque das Oliveiras")</f>
        <v>Parque das Oliveiras</v>
      </c>
    </row>
    <row r="3818" customFormat="false" ht="15.75" hidden="false" customHeight="false" outlineLevel="0" collapsed="false">
      <c r="A3818" s="2" t="n">
        <v>236849</v>
      </c>
      <c r="B3818" s="2" t="s">
        <v>3085</v>
      </c>
      <c r="C3818" s="2" t="n">
        <v>2</v>
      </c>
      <c r="D3818" s="2" t="n">
        <v>3</v>
      </c>
      <c r="E3818" s="2" t="n">
        <v>2</v>
      </c>
      <c r="F3818" s="2" t="n">
        <v>66</v>
      </c>
      <c r="G3818" s="2" t="s">
        <v>621</v>
      </c>
      <c r="H3818" s="2" t="str">
        <f aca="false">IFERROR(__xludf.dummyfunction("IF(I3859="""", """", REGEXEXTRACT(I3859, ""Padrao/([^/]+)""))"),"Jardim Botanico")</f>
        <v>Jardim Botanico</v>
      </c>
    </row>
    <row r="3819" customFormat="false" ht="15.75" hidden="false" customHeight="false" outlineLevel="0" collapsed="false">
      <c r="A3819" s="2" t="n">
        <v>236510</v>
      </c>
      <c r="B3819" s="2" t="s">
        <v>3086</v>
      </c>
      <c r="C3819" s="2" t="n">
        <v>2</v>
      </c>
      <c r="D3819" s="2" t="n">
        <v>2</v>
      </c>
      <c r="E3819" s="2" t="n">
        <v>1</v>
      </c>
      <c r="F3819" s="2" t="n">
        <v>60</v>
      </c>
      <c r="G3819" s="2" t="s">
        <v>621</v>
      </c>
      <c r="H3819" s="2" t="str">
        <f aca="false">IFERROR(__xludf.dummyfunction("IF(I3860="""", """", REGEXEXTRACT(I3860, ""Padrao/([^/]+)""))"),"Sumarezinho")</f>
        <v>Sumarezinho</v>
      </c>
    </row>
    <row r="3820" customFormat="false" ht="15.75" hidden="false" customHeight="false" outlineLevel="0" collapsed="false">
      <c r="A3820" s="2" t="n">
        <v>233903</v>
      </c>
      <c r="B3820" s="2" t="s">
        <v>2764</v>
      </c>
      <c r="C3820" s="2" t="n">
        <v>3</v>
      </c>
      <c r="D3820" s="2" t="n">
        <v>2</v>
      </c>
      <c r="E3820" s="2" t="n">
        <v>1</v>
      </c>
      <c r="F3820" s="2" t="n">
        <v>82</v>
      </c>
      <c r="G3820" s="2" t="s">
        <v>621</v>
      </c>
      <c r="H3820" s="2" t="str">
        <f aca="false">IFERROR(__xludf.dummyfunction("IF(I3861="""", """", REGEXEXTRACT(I3861, ""Padrao/([^/]+)""))"),"Jardim Castelo Branco")</f>
        <v>Jardim Castelo Branco</v>
      </c>
    </row>
    <row r="3821" customFormat="false" ht="15.75" hidden="false" customHeight="false" outlineLevel="0" collapsed="false">
      <c r="A3821" s="2" t="n">
        <v>230762</v>
      </c>
      <c r="B3821" s="2" t="s">
        <v>3087</v>
      </c>
      <c r="C3821" s="2" t="n">
        <v>3</v>
      </c>
      <c r="D3821" s="2" t="n">
        <v>3</v>
      </c>
      <c r="E3821" s="2" t="n">
        <v>1</v>
      </c>
      <c r="F3821" s="2" t="n">
        <v>121</v>
      </c>
      <c r="G3821" s="2" t="s">
        <v>621</v>
      </c>
      <c r="H3821" s="2" t="str">
        <f aca="false">IFERROR(__xludf.dummyfunction("IF(I3862="""", """", REGEXEXTRACT(I3862, ""Padrao/([^/]+)""))"),"Campos Eliseos")</f>
        <v>Campos Eliseos</v>
      </c>
    </row>
    <row r="3822" customFormat="false" ht="15.75" hidden="false" customHeight="false" outlineLevel="0" collapsed="false">
      <c r="A3822" s="2" t="n">
        <v>230003</v>
      </c>
      <c r="B3822" s="2" t="s">
        <v>3088</v>
      </c>
      <c r="C3822" s="2" t="n">
        <v>1</v>
      </c>
      <c r="D3822" s="2" t="n">
        <v>1</v>
      </c>
      <c r="E3822" s="2" t="n">
        <v>1</v>
      </c>
      <c r="F3822" s="2" t="n">
        <v>34</v>
      </c>
      <c r="G3822" s="2" t="s">
        <v>621</v>
      </c>
      <c r="H3822" s="2" t="str">
        <f aca="false">IFERROR(__xludf.dummyfunction("IF(I3863="""", """", REGEXEXTRACT(I3863, ""Padrao/([^/]+)""))"),"Santa Cruz do Jose Jacques")</f>
        <v>Santa Cruz do Jose Jacques</v>
      </c>
    </row>
    <row r="3823" customFormat="false" ht="15.75" hidden="false" customHeight="false" outlineLevel="0" collapsed="false">
      <c r="A3823" s="2" t="n">
        <v>227462</v>
      </c>
      <c r="B3823" s="2" t="s">
        <v>3089</v>
      </c>
      <c r="C3823" s="2" t="n">
        <v>2</v>
      </c>
      <c r="D3823" s="2" t="n">
        <v>2</v>
      </c>
      <c r="E3823" s="2" t="n">
        <v>1</v>
      </c>
      <c r="F3823" s="2" t="n">
        <v>52</v>
      </c>
      <c r="G3823" s="2" t="s">
        <v>621</v>
      </c>
      <c r="H3823" s="2" t="str">
        <f aca="false">IFERROR(__xludf.dummyfunction("IF(I3864="""", """", REGEXEXTRACT(I3864, ""Padrao/([^/]+)""))"),"Quintas de Sao Jose")</f>
        <v>Quintas de Sao Jose</v>
      </c>
    </row>
    <row r="3824" customFormat="false" ht="15.75" hidden="false" customHeight="false" outlineLevel="0" collapsed="false">
      <c r="A3824" s="2" t="n">
        <v>225269</v>
      </c>
      <c r="B3824" s="2" t="s">
        <v>3090</v>
      </c>
      <c r="C3824" s="2" t="n">
        <v>2</v>
      </c>
      <c r="D3824" s="2" t="n">
        <v>2</v>
      </c>
      <c r="E3824" s="2" t="n">
        <v>1</v>
      </c>
      <c r="F3824" s="2" t="n">
        <v>75</v>
      </c>
      <c r="G3824" s="2" t="s">
        <v>621</v>
      </c>
      <c r="H3824" s="2" t="str">
        <f aca="false">IFERROR(__xludf.dummyfunction("IF(I3865="""", """", REGEXEXTRACT(I3865, ""Padrao/([^/]+)""))"),"Alto da Boa Vista")</f>
        <v>Alto da Boa Vista</v>
      </c>
    </row>
    <row r="3825" customFormat="false" ht="15.75" hidden="false" customHeight="false" outlineLevel="0" collapsed="false">
      <c r="A3825" s="2" t="n">
        <v>218807</v>
      </c>
      <c r="B3825" s="2" t="s">
        <v>2290</v>
      </c>
      <c r="C3825" s="2" t="n">
        <v>2</v>
      </c>
      <c r="D3825" s="2" t="n">
        <v>1</v>
      </c>
      <c r="E3825" s="2" t="n">
        <v>1</v>
      </c>
      <c r="F3825" s="2" t="n">
        <v>50</v>
      </c>
      <c r="G3825" s="2" t="s">
        <v>621</v>
      </c>
      <c r="H3825" s="2" t="str">
        <f aca="false">IFERROR(__xludf.dummyfunction("IF(I3866="""", """", REGEXEXTRACT(I3866, ""Padrao/([^/]+)""))"),"Jardim Novo Mundo")</f>
        <v>Jardim Novo Mundo</v>
      </c>
    </row>
    <row r="3826" customFormat="false" ht="15.75" hidden="false" customHeight="false" outlineLevel="0" collapsed="false">
      <c r="A3826" s="2" t="n">
        <v>216035</v>
      </c>
      <c r="B3826" s="2" t="s">
        <v>3091</v>
      </c>
      <c r="C3826" s="2" t="n">
        <v>2</v>
      </c>
      <c r="D3826" s="2" t="n">
        <v>1</v>
      </c>
      <c r="E3826" s="2" t="n">
        <v>1</v>
      </c>
      <c r="F3826" s="2" t="n">
        <v>44</v>
      </c>
      <c r="G3826" s="2" t="s">
        <v>621</v>
      </c>
      <c r="H3826" s="2" t="str">
        <f aca="false">IFERROR(__xludf.dummyfunction("IF(I3867="""", """", REGEXEXTRACT(I3867, ""Padrao/([^/]+)""))"),"Recreio das Acacias")</f>
        <v>Recreio das Acacias</v>
      </c>
    </row>
    <row r="3827" customFormat="false" ht="15.75" hidden="false" customHeight="false" outlineLevel="0" collapsed="false">
      <c r="A3827" s="2" t="n">
        <v>206009</v>
      </c>
      <c r="B3827" s="2" t="s">
        <v>3092</v>
      </c>
      <c r="C3827" s="2" t="n">
        <v>2</v>
      </c>
      <c r="D3827" s="2" t="n">
        <v>2</v>
      </c>
      <c r="E3827" s="2" t="n">
        <v>1</v>
      </c>
      <c r="F3827" s="2" t="n">
        <v>62</v>
      </c>
      <c r="G3827" s="2" t="s">
        <v>621</v>
      </c>
      <c r="H3827" s="2" t="str">
        <f aca="false">IFERROR(__xludf.dummyfunction("IF(I3868="""", """", REGEXEXTRACT(I3868, ""Padrao/([^/]+)""))"),"Vila Maria Luiza")</f>
        <v>Vila Maria Luiza</v>
      </c>
    </row>
    <row r="3828" customFormat="false" ht="15.75" hidden="false" customHeight="false" outlineLevel="0" collapsed="false">
      <c r="A3828" s="2" t="n">
        <v>205577</v>
      </c>
      <c r="B3828" s="2" t="s">
        <v>3093</v>
      </c>
      <c r="C3828" s="2" t="n">
        <v>2</v>
      </c>
      <c r="D3828" s="2" t="n">
        <v>2</v>
      </c>
      <c r="E3828" s="2" t="n">
        <v>1</v>
      </c>
      <c r="F3828" s="2" t="n">
        <v>63</v>
      </c>
      <c r="G3828" s="2" t="s">
        <v>621</v>
      </c>
      <c r="H3828" s="2" t="str">
        <f aca="false">IFERROR(__xludf.dummyfunction("IF(I3869="""", """", REGEXEXTRACT(I3869, ""Padrao/([^/]+)""))"),"Ipiranga")</f>
        <v>Ipiranga</v>
      </c>
    </row>
    <row r="3829" customFormat="false" ht="15.75" hidden="false" customHeight="false" outlineLevel="0" collapsed="false">
      <c r="A3829" s="2" t="n">
        <v>203729</v>
      </c>
      <c r="B3829" s="2" t="s">
        <v>3094</v>
      </c>
      <c r="C3829" s="2" t="n">
        <v>1</v>
      </c>
      <c r="D3829" s="2" t="n">
        <v>1</v>
      </c>
      <c r="E3829" s="2" t="n">
        <v>1</v>
      </c>
      <c r="F3829" s="2" t="n">
        <v>40</v>
      </c>
      <c r="G3829" s="2" t="s">
        <v>621</v>
      </c>
      <c r="H3829" s="2" t="str">
        <f aca="false">IFERROR(__xludf.dummyfunction("IF(I3870="""", """", REGEXEXTRACT(I3870, ""Padrao/([^/]+)""))"),"Bosque das Juritis")</f>
        <v>Bosque das Juritis</v>
      </c>
    </row>
    <row r="3830" customFormat="false" ht="15.75" hidden="false" customHeight="false" outlineLevel="0" collapsed="false">
      <c r="A3830" s="2" t="n">
        <v>202772</v>
      </c>
      <c r="B3830" s="2" t="s">
        <v>3095</v>
      </c>
      <c r="C3830" s="2" t="n">
        <v>3</v>
      </c>
      <c r="D3830" s="2" t="n">
        <v>3</v>
      </c>
      <c r="E3830" s="2" t="n">
        <v>1</v>
      </c>
      <c r="F3830" s="2" t="n">
        <v>108</v>
      </c>
      <c r="G3830" s="2" t="s">
        <v>621</v>
      </c>
      <c r="H3830" s="2" t="str">
        <f aca="false">IFERROR(__xludf.dummyfunction("IF(I3871="""", """", REGEXEXTRACT(I3871, ""Padrao/([^/]+)""))"),"Jardim Paulista")</f>
        <v>Jardim Paulista</v>
      </c>
    </row>
    <row r="3831" customFormat="false" ht="15.75" hidden="false" customHeight="false" outlineLevel="0" collapsed="false">
      <c r="A3831" s="2" t="n">
        <v>200867</v>
      </c>
      <c r="B3831" s="2" t="s">
        <v>3096</v>
      </c>
      <c r="C3831" s="2" t="n">
        <v>3</v>
      </c>
      <c r="D3831" s="2" t="n">
        <v>2</v>
      </c>
      <c r="E3831" s="2" t="n">
        <v>1</v>
      </c>
      <c r="F3831" s="2" t="n">
        <v>60</v>
      </c>
      <c r="G3831" s="2" t="s">
        <v>621</v>
      </c>
      <c r="H3831" s="2" t="str">
        <f aca="false">IFERROR(__xludf.dummyfunction("IF(I3872="""", """", REGEXEXTRACT(I3872, ""Padrao/([^/]+)""))"),"Jardim Palma Travassos")</f>
        <v>Jardim Palma Travassos</v>
      </c>
    </row>
    <row r="3832" customFormat="false" ht="15.75" hidden="false" customHeight="false" outlineLevel="0" collapsed="false">
      <c r="A3832" s="2" t="n">
        <v>199439</v>
      </c>
      <c r="B3832" s="2" t="s">
        <v>3081</v>
      </c>
      <c r="C3832" s="2" t="n">
        <v>2</v>
      </c>
      <c r="D3832" s="2" t="n">
        <v>2</v>
      </c>
      <c r="E3832" s="2" t="n">
        <v>1</v>
      </c>
      <c r="F3832" s="2" t="n">
        <v>52</v>
      </c>
      <c r="G3832" s="2" t="s">
        <v>621</v>
      </c>
      <c r="H3832" s="2" t="str">
        <f aca="false">IFERROR(__xludf.dummyfunction("IF(I3873="""", """", REGEXEXTRACT(I3873, ""Padrao/([^/]+)""))"),"Quintas de Sao Jose")</f>
        <v>Quintas de Sao Jose</v>
      </c>
    </row>
    <row r="3833" customFormat="false" ht="15.75" hidden="false" customHeight="false" outlineLevel="0" collapsed="false">
      <c r="A3833" s="2" t="n">
        <v>197372</v>
      </c>
      <c r="B3833" s="2" t="s">
        <v>3097</v>
      </c>
      <c r="C3833" s="2" t="n">
        <v>2</v>
      </c>
      <c r="D3833" s="2" t="n">
        <v>2</v>
      </c>
      <c r="E3833" s="2" t="n">
        <v>1</v>
      </c>
      <c r="F3833" s="2" t="n">
        <v>75</v>
      </c>
      <c r="G3833" s="2" t="s">
        <v>621</v>
      </c>
      <c r="H3833" s="2" t="str">
        <f aca="false">IFERROR(__xludf.dummyfunction("IF(I3874="""", """", REGEXEXTRACT(I3874, ""Padrao/([^/]+)""))"),"Alto da Boa Vista")</f>
        <v>Alto da Boa Vista</v>
      </c>
    </row>
    <row r="3834" customFormat="false" ht="15.75" hidden="false" customHeight="false" outlineLevel="0" collapsed="false">
      <c r="A3834" s="2" t="n">
        <v>195428</v>
      </c>
      <c r="B3834" s="2" t="s">
        <v>615</v>
      </c>
      <c r="C3834" s="2" t="n">
        <v>2</v>
      </c>
      <c r="D3834" s="2" t="n">
        <v>1</v>
      </c>
      <c r="E3834" s="2" t="n">
        <v>1</v>
      </c>
      <c r="F3834" s="2" t="n">
        <v>68</v>
      </c>
      <c r="G3834" s="2" t="s">
        <v>621</v>
      </c>
      <c r="H3834" s="2" t="str">
        <f aca="false">IFERROR(__xludf.dummyfunction("IF(I3875="""", """", REGEXEXTRACT(I3875, ""Padrao/([^/]+)""))"),"Centro")</f>
        <v>Centro</v>
      </c>
    </row>
    <row r="3835" customFormat="false" ht="15.75" hidden="false" customHeight="false" outlineLevel="0" collapsed="false">
      <c r="A3835" s="2" t="n">
        <v>188408</v>
      </c>
      <c r="B3835" s="2" t="s">
        <v>3098</v>
      </c>
      <c r="C3835" s="2" t="n">
        <v>1</v>
      </c>
      <c r="D3835" s="2" t="n">
        <v>1</v>
      </c>
      <c r="E3835" s="2" t="n">
        <v>1</v>
      </c>
      <c r="F3835" s="2" t="n">
        <v>43</v>
      </c>
      <c r="G3835" s="2" t="s">
        <v>621</v>
      </c>
      <c r="H3835" s="2" t="str">
        <f aca="false">IFERROR(__xludf.dummyfunction("IF(I3876="""", """", REGEXEXTRACT(I3876, ""Padrao/([^/]+)""))"),"Nova Alianca")</f>
        <v>Nova Alianca</v>
      </c>
    </row>
    <row r="3836" customFormat="false" ht="15.75" hidden="false" customHeight="false" outlineLevel="0" collapsed="false">
      <c r="A3836" s="2" t="n">
        <v>187997</v>
      </c>
      <c r="B3836" s="2" t="s">
        <v>3099</v>
      </c>
      <c r="C3836" s="2" t="n">
        <v>1</v>
      </c>
      <c r="D3836" s="2" t="n">
        <v>1</v>
      </c>
      <c r="E3836" s="2" t="n">
        <v>1</v>
      </c>
      <c r="F3836" s="2" t="n">
        <v>38</v>
      </c>
      <c r="G3836" s="2" t="s">
        <v>621</v>
      </c>
      <c r="H3836" s="2" t="str">
        <f aca="false">IFERROR(__xludf.dummyfunction("IF(I3877="""", """", REGEXEXTRACT(I3877, ""Padrao/([^/]+)""))"),"Jardim Palma Travassos")</f>
        <v>Jardim Palma Travassos</v>
      </c>
    </row>
    <row r="3837" customFormat="false" ht="15.75" hidden="false" customHeight="false" outlineLevel="0" collapsed="false">
      <c r="A3837" s="2" t="n">
        <v>187883</v>
      </c>
      <c r="B3837" s="2" t="s">
        <v>3100</v>
      </c>
      <c r="C3837" s="2" t="n">
        <v>3</v>
      </c>
      <c r="D3837" s="2" t="n">
        <v>2</v>
      </c>
      <c r="E3837" s="2" t="n">
        <v>1</v>
      </c>
      <c r="F3837" s="2" t="n">
        <v>93</v>
      </c>
      <c r="G3837" s="2" t="s">
        <v>621</v>
      </c>
      <c r="H3837" s="2" t="str">
        <f aca="false">IFERROR(__xludf.dummyfunction("IF(I3878="""", """", REGEXEXTRACT(I3878, ""Padrao/([^/]+)""))"),"Jardim Iraja")</f>
        <v>Jardim Iraja</v>
      </c>
    </row>
    <row r="3838" customFormat="false" ht="15.75" hidden="false" customHeight="false" outlineLevel="0" collapsed="false">
      <c r="A3838" s="2" t="n">
        <v>186635</v>
      </c>
      <c r="B3838" s="2" t="s">
        <v>2082</v>
      </c>
      <c r="C3838" s="2" t="n">
        <v>2</v>
      </c>
      <c r="D3838" s="2" t="n">
        <v>2</v>
      </c>
      <c r="E3838" s="2" t="n">
        <v>2</v>
      </c>
      <c r="F3838" s="2" t="n">
        <v>71</v>
      </c>
      <c r="G3838" s="2" t="s">
        <v>621</v>
      </c>
      <c r="H3838" s="2" t="str">
        <f aca="false">IFERROR(__xludf.dummyfunction("IF(I3879="""", """", REGEXEXTRACT(I3879, ""Padrao/([^/]+)""))"),"Jardim Paulista")</f>
        <v>Jardim Paulista</v>
      </c>
    </row>
    <row r="3839" customFormat="false" ht="15.75" hidden="false" customHeight="false" outlineLevel="0" collapsed="false">
      <c r="A3839" s="2" t="n">
        <v>180584</v>
      </c>
      <c r="B3839" s="2" t="s">
        <v>3101</v>
      </c>
      <c r="C3839" s="2" t="n">
        <v>2</v>
      </c>
      <c r="D3839" s="2" t="n">
        <v>2</v>
      </c>
      <c r="E3839" s="2" t="n">
        <v>2</v>
      </c>
      <c r="F3839" s="2" t="n">
        <v>62</v>
      </c>
      <c r="G3839" s="2" t="s">
        <v>621</v>
      </c>
      <c r="H3839" s="2" t="str">
        <f aca="false">IFERROR(__xludf.dummyfunction("IF(I3880="""", """", REGEXEXTRACT(I3880, ""Padrao/([^/]+)""))"),"Vila Ana Maria")</f>
        <v>Vila Ana Maria</v>
      </c>
    </row>
    <row r="3840" customFormat="false" ht="15.75" hidden="false" customHeight="false" outlineLevel="0" collapsed="false">
      <c r="A3840" s="2" t="n">
        <v>167096</v>
      </c>
      <c r="B3840" s="2" t="s">
        <v>3102</v>
      </c>
      <c r="C3840" s="2" t="n">
        <v>3</v>
      </c>
      <c r="D3840" s="2" t="n">
        <v>2</v>
      </c>
      <c r="E3840" s="2" t="n">
        <v>1</v>
      </c>
      <c r="F3840" s="2" t="n">
        <v>86</v>
      </c>
      <c r="G3840" s="2" t="s">
        <v>621</v>
      </c>
      <c r="H3840" s="2" t="str">
        <f aca="false">IFERROR(__xludf.dummyfunction("IF(I3881="""", """", REGEXEXTRACT(I3881, ""Padrao/([^/]+)""))"),"Parque dos Bandeirantes")</f>
        <v>Parque dos Bandeirantes</v>
      </c>
    </row>
    <row r="3841" customFormat="false" ht="15.75" hidden="false" customHeight="false" outlineLevel="0" collapsed="false">
      <c r="A3841" s="2" t="n">
        <v>157772</v>
      </c>
      <c r="B3841" s="2" t="s">
        <v>3103</v>
      </c>
      <c r="C3841" s="2" t="n">
        <v>3</v>
      </c>
      <c r="D3841" s="2" t="n">
        <v>2</v>
      </c>
      <c r="E3841" s="2" t="n">
        <v>1</v>
      </c>
      <c r="F3841" s="2" t="n">
        <v>92</v>
      </c>
      <c r="G3841" s="2" t="s">
        <v>621</v>
      </c>
      <c r="H3841" s="2" t="str">
        <f aca="false">IFERROR(__xludf.dummyfunction("IF(I3882="""", """", REGEXEXTRACT(I3882, ""Padrao/([^/]+)""))"),"Parque dos Bandeirantes")</f>
        <v>Parque dos Bandeirantes</v>
      </c>
    </row>
    <row r="3842" customFormat="false" ht="15.75" hidden="false" customHeight="false" outlineLevel="0" collapsed="false">
      <c r="A3842" s="2" t="n">
        <v>154346</v>
      </c>
      <c r="B3842" s="2" t="s">
        <v>386</v>
      </c>
      <c r="C3842" s="2" t="n">
        <v>2</v>
      </c>
      <c r="D3842" s="2" t="n">
        <v>2</v>
      </c>
      <c r="E3842" s="2" t="n">
        <v>2</v>
      </c>
      <c r="F3842" s="2" t="n">
        <v>78</v>
      </c>
      <c r="G3842" s="2" t="s">
        <v>621</v>
      </c>
      <c r="H3842" s="2" t="str">
        <f aca="false">IFERROR(__xludf.dummyfunction("IF(I3883="""", """", REGEXEXTRACT(I3883, ""Padrao/([^/]+)""))"),"Residencial e Comercial Palmares")</f>
        <v>Residencial e Comercial Palmares</v>
      </c>
    </row>
    <row r="3843" customFormat="false" ht="15.75" hidden="false" customHeight="false" outlineLevel="0" collapsed="false">
      <c r="A3843" s="2" t="n">
        <v>151742</v>
      </c>
      <c r="B3843" s="2" t="s">
        <v>3104</v>
      </c>
      <c r="C3843" s="2" t="n">
        <v>1</v>
      </c>
      <c r="D3843" s="2" t="n">
        <v>1</v>
      </c>
      <c r="E3843" s="2" t="n">
        <v>1</v>
      </c>
      <c r="F3843" s="2" t="n">
        <v>38</v>
      </c>
      <c r="G3843" s="2" t="s">
        <v>621</v>
      </c>
      <c r="H3843" s="2" t="str">
        <f aca="false">IFERROR(__xludf.dummyfunction("IF(I3884="""", """", REGEXEXTRACT(I3884, ""Padrao/([^/]+)""))"),"Presidente Medici")</f>
        <v>Presidente Medici</v>
      </c>
    </row>
    <row r="3844" customFormat="false" ht="15.75" hidden="false" customHeight="false" outlineLevel="0" collapsed="false">
      <c r="A3844" s="2" t="n">
        <v>142490</v>
      </c>
      <c r="B3844" s="2" t="s">
        <v>3105</v>
      </c>
      <c r="C3844" s="2" t="n">
        <v>3</v>
      </c>
      <c r="D3844" s="2" t="n">
        <v>3</v>
      </c>
      <c r="E3844" s="2" t="n">
        <v>1</v>
      </c>
      <c r="F3844" s="2" t="n">
        <v>141</v>
      </c>
      <c r="G3844" s="2" t="s">
        <v>621</v>
      </c>
      <c r="H3844" s="2" t="str">
        <f aca="false">IFERROR(__xludf.dummyfunction("IF(I3885="""", """", REGEXEXTRACT(I3885, ""Padrao/([^/]+)""))"),"Centro")</f>
        <v>Centro</v>
      </c>
    </row>
    <row r="3845" customFormat="false" ht="15.75" hidden="false" customHeight="false" outlineLevel="0" collapsed="false">
      <c r="A3845" s="2" t="n">
        <v>139826</v>
      </c>
      <c r="B3845" s="2" t="s">
        <v>2000</v>
      </c>
      <c r="C3845" s="2" t="n">
        <v>3</v>
      </c>
      <c r="D3845" s="2" t="n">
        <v>2</v>
      </c>
      <c r="E3845" s="2" t="n">
        <v>1</v>
      </c>
      <c r="F3845" s="2" t="n">
        <v>90</v>
      </c>
      <c r="G3845" s="2" t="s">
        <v>621</v>
      </c>
      <c r="H3845" s="2" t="str">
        <f aca="false">IFERROR(__xludf.dummyfunction("IF(I3886="""", """", REGEXEXTRACT(I3886, ""Padrao/([^/]+)""))"),"Jardim Botanico")</f>
        <v>Jardim Botanico</v>
      </c>
    </row>
    <row r="3846" customFormat="false" ht="15.75" hidden="false" customHeight="false" outlineLevel="0" collapsed="false">
      <c r="A3846" s="2" t="n">
        <v>136463</v>
      </c>
      <c r="B3846" s="2" t="s">
        <v>605</v>
      </c>
      <c r="C3846" s="2" t="n">
        <v>3</v>
      </c>
      <c r="D3846" s="2" t="n">
        <v>3</v>
      </c>
      <c r="E3846" s="2" t="n">
        <v>1</v>
      </c>
      <c r="F3846" s="2" t="n">
        <v>97</v>
      </c>
      <c r="G3846" s="2" t="s">
        <v>621</v>
      </c>
      <c r="H3846" s="2" t="str">
        <f aca="false">IFERROR(__xludf.dummyfunction("IF(I3887="""", """", REGEXEXTRACT(I3887, ""Padrao/([^/]+)""))"),"Campos Eliseos")</f>
        <v>Campos Eliseos</v>
      </c>
    </row>
    <row r="3847" customFormat="false" ht="15.75" hidden="false" customHeight="false" outlineLevel="0" collapsed="false">
      <c r="A3847" s="2" t="n">
        <v>133325</v>
      </c>
      <c r="B3847" s="2" t="s">
        <v>3106</v>
      </c>
      <c r="C3847" s="2" t="n">
        <v>1</v>
      </c>
      <c r="D3847" s="2" t="n">
        <v>1</v>
      </c>
      <c r="E3847" s="2" t="n">
        <v>1</v>
      </c>
      <c r="F3847" s="2" t="n">
        <v>36</v>
      </c>
      <c r="G3847" s="2" t="s">
        <v>621</v>
      </c>
      <c r="H3847" s="2" t="str">
        <f aca="false">IFERROR(__xludf.dummyfunction("IF(I3888="""", """", REGEXEXTRACT(I3888, ""Padrao/([^/]+)""))"),"Residencial Florida")</f>
        <v>Residencial Florida</v>
      </c>
    </row>
    <row r="3848" customFormat="false" ht="15.75" hidden="false" customHeight="false" outlineLevel="0" collapsed="false">
      <c r="A3848" s="2" t="n">
        <v>120611</v>
      </c>
      <c r="B3848" s="2" t="s">
        <v>162</v>
      </c>
      <c r="C3848" s="2" t="n">
        <v>3</v>
      </c>
      <c r="D3848" s="2" t="n">
        <v>3</v>
      </c>
      <c r="E3848" s="2" t="n">
        <v>1</v>
      </c>
      <c r="F3848" s="2" t="n">
        <v>95</v>
      </c>
      <c r="G3848" s="2" t="s">
        <v>621</v>
      </c>
      <c r="H3848" s="2" t="str">
        <f aca="false">IFERROR(__xludf.dummyfunction("IF(I3889="""", """", REGEXEXTRACT(I3889, ""Padrao/([^/]+)""))"),"Centro")</f>
        <v>Centro</v>
      </c>
    </row>
    <row r="3849" customFormat="false" ht="15.75" hidden="false" customHeight="false" outlineLevel="0" collapsed="false">
      <c r="A3849" s="2" t="n">
        <v>118310</v>
      </c>
      <c r="B3849" s="2" t="s">
        <v>3107</v>
      </c>
      <c r="C3849" s="2" t="n">
        <v>2</v>
      </c>
      <c r="D3849" s="2" t="n">
        <v>2</v>
      </c>
      <c r="E3849" s="2" t="n">
        <v>1</v>
      </c>
      <c r="F3849" s="2" t="n">
        <v>62</v>
      </c>
      <c r="G3849" s="2" t="s">
        <v>621</v>
      </c>
      <c r="H3849" s="2" t="str">
        <f aca="false">IFERROR(__xludf.dummyfunction("IF(I3890="""", """", REGEXEXTRACT(I3890, ""Padrao/([^/]+)""))"),"Jardim Zara")</f>
        <v>Jardim Zara</v>
      </c>
    </row>
    <row r="3850" customFormat="false" ht="15.75" hidden="false" customHeight="false" outlineLevel="0" collapsed="false">
      <c r="A3850" s="2" t="n">
        <v>117425</v>
      </c>
      <c r="B3850" s="2" t="s">
        <v>2897</v>
      </c>
      <c r="C3850" s="2" t="n">
        <v>1</v>
      </c>
      <c r="D3850" s="2" t="n">
        <v>1</v>
      </c>
      <c r="E3850" s="2" t="n">
        <v>1</v>
      </c>
      <c r="F3850" s="2" t="n">
        <v>43</v>
      </c>
      <c r="G3850" s="2" t="s">
        <v>621</v>
      </c>
      <c r="H3850" s="2" t="str">
        <f aca="false">IFERROR(__xludf.dummyfunction("IF(I3891="""", """", REGEXEXTRACT(I3891, ""Padrao/([^/]+)""))"),"Nova Alianca")</f>
        <v>Nova Alianca</v>
      </c>
    </row>
    <row r="3851" customFormat="false" ht="15.75" hidden="false" customHeight="false" outlineLevel="0" collapsed="false">
      <c r="A3851" s="2" t="n">
        <v>106040</v>
      </c>
      <c r="B3851" s="2" t="s">
        <v>3108</v>
      </c>
      <c r="C3851" s="2" t="n">
        <v>3</v>
      </c>
      <c r="D3851" s="2" t="n">
        <v>2</v>
      </c>
      <c r="E3851" s="2" t="n">
        <v>1</v>
      </c>
      <c r="F3851" s="2" t="n">
        <v>83</v>
      </c>
      <c r="G3851" s="2" t="s">
        <v>621</v>
      </c>
      <c r="H3851" s="2" t="str">
        <f aca="false">IFERROR(__xludf.dummyfunction("IF(I3892="""", """", REGEXEXTRACT(I3892, ""Padrao/([^/]+)""))"),"Jardim Iraja")</f>
        <v>Jardim Iraja</v>
      </c>
    </row>
    <row r="3852" customFormat="false" ht="15.75" hidden="false" customHeight="false" outlineLevel="0" collapsed="false">
      <c r="A3852" s="2" t="n">
        <v>103745</v>
      </c>
      <c r="B3852" s="2" t="s">
        <v>3109</v>
      </c>
      <c r="C3852" s="2" t="n">
        <v>3</v>
      </c>
      <c r="D3852" s="2" t="n">
        <v>2</v>
      </c>
      <c r="E3852" s="2" t="n">
        <v>2</v>
      </c>
      <c r="F3852" s="2" t="n">
        <v>96</v>
      </c>
      <c r="G3852" s="2" t="s">
        <v>621</v>
      </c>
      <c r="H3852" s="2" t="str">
        <f aca="false">IFERROR(__xludf.dummyfunction("IF(I3893="""", """", REGEXEXTRACT(I3893, ""Padrao/([^/]+)""))"),"Jardim Paulistano")</f>
        <v>Jardim Paulistano</v>
      </c>
    </row>
    <row r="3853" customFormat="false" ht="15.75" hidden="false" customHeight="false" outlineLevel="0" collapsed="false">
      <c r="A3853" s="2" t="n">
        <v>100778</v>
      </c>
      <c r="B3853" s="2" t="s">
        <v>3110</v>
      </c>
      <c r="C3853" s="2" t="n">
        <v>3</v>
      </c>
      <c r="D3853" s="2" t="n">
        <v>2</v>
      </c>
      <c r="E3853" s="2" t="n">
        <v>2</v>
      </c>
      <c r="F3853" s="2" t="n">
        <v>75</v>
      </c>
      <c r="G3853" s="2" t="s">
        <v>621</v>
      </c>
      <c r="H3853" s="2" t="str">
        <f aca="false">IFERROR(__xludf.dummyfunction("IF(I3894="""", """", REGEXEXTRACT(I3894, ""Padrao/([^/]+)""))"),"Parque dos Bandeirantes")</f>
        <v>Parque dos Bandeirantes</v>
      </c>
    </row>
    <row r="3854" customFormat="false" ht="15.75" hidden="false" customHeight="false" outlineLevel="0" collapsed="false">
      <c r="A3854" s="2" t="n">
        <v>98024</v>
      </c>
      <c r="B3854" s="2" t="s">
        <v>3111</v>
      </c>
      <c r="C3854" s="2" t="n">
        <v>2</v>
      </c>
      <c r="D3854" s="2" t="n">
        <v>2</v>
      </c>
      <c r="E3854" s="2" t="n">
        <v>1</v>
      </c>
      <c r="F3854" s="2" t="n">
        <v>69</v>
      </c>
      <c r="G3854" s="2" t="s">
        <v>621</v>
      </c>
      <c r="H3854" s="2" t="str">
        <f aca="false">IFERROR(__xludf.dummyfunction("IF(I3895="""", """", REGEXEXTRACT(I3895, ""Padrao/([^/]+)""))"),"Jardim Palma Travassos")</f>
        <v>Jardim Palma Travassos</v>
      </c>
    </row>
    <row r="3855" customFormat="false" ht="15.75" hidden="false" customHeight="false" outlineLevel="0" collapsed="false">
      <c r="A3855" s="2" t="n">
        <v>94943</v>
      </c>
      <c r="B3855" s="2" t="s">
        <v>3112</v>
      </c>
      <c r="C3855" s="2" t="n">
        <v>1</v>
      </c>
      <c r="D3855" s="2" t="n">
        <v>1</v>
      </c>
      <c r="E3855" s="2" t="n">
        <v>1</v>
      </c>
      <c r="F3855" s="2" t="n">
        <v>45</v>
      </c>
      <c r="G3855" s="2" t="s">
        <v>621</v>
      </c>
      <c r="H3855" s="2" t="str">
        <f aca="false">IFERROR(__xludf.dummyfunction("IF(I3896="""", """", REGEXEXTRACT(I3896, ""Padrao/([^/]+)""))"),"Jardim Florida")</f>
        <v>Jardim Florida</v>
      </c>
    </row>
    <row r="3856" customFormat="false" ht="15.75" hidden="false" customHeight="false" outlineLevel="0" collapsed="false">
      <c r="A3856" s="2" t="n">
        <v>81533</v>
      </c>
      <c r="B3856" s="2" t="s">
        <v>1442</v>
      </c>
      <c r="C3856" s="2" t="n">
        <v>2</v>
      </c>
      <c r="D3856" s="2" t="n">
        <v>2</v>
      </c>
      <c r="E3856" s="2" t="n">
        <v>2</v>
      </c>
      <c r="F3856" s="2" t="n">
        <v>64</v>
      </c>
      <c r="G3856" s="2" t="s">
        <v>621</v>
      </c>
      <c r="H3856" s="2" t="str">
        <f aca="false">IFERROR(__xludf.dummyfunction("IF(I3897="""", """", REGEXEXTRACT(I3897, ""Padrao/([^/]+)""))"),"Vila Ana Maria")</f>
        <v>Vila Ana Maria</v>
      </c>
    </row>
    <row r="3857" customFormat="false" ht="15.75" hidden="false" customHeight="false" outlineLevel="0" collapsed="false">
      <c r="A3857" s="2" t="n">
        <v>24725</v>
      </c>
      <c r="B3857" s="2" t="s">
        <v>1312</v>
      </c>
      <c r="C3857" s="2" t="n">
        <v>3</v>
      </c>
      <c r="D3857" s="2" t="n">
        <v>2</v>
      </c>
      <c r="E3857" s="2" t="n">
        <v>1</v>
      </c>
      <c r="F3857" s="2" t="n">
        <v>90</v>
      </c>
      <c r="G3857" s="2" t="s">
        <v>621</v>
      </c>
      <c r="H3857" s="2" t="str">
        <f aca="false">IFERROR(__xludf.dummyfunction("IF(I3898="""", """", REGEXEXTRACT(I3898, ""Padrao/([^/]+)""))"),"Jardim Iraja")</f>
        <v>Jardim Iraja</v>
      </c>
    </row>
    <row r="3858" customFormat="false" ht="15.75" hidden="false" customHeight="false" outlineLevel="0" collapsed="false">
      <c r="A3858" s="2" t="n">
        <v>244883</v>
      </c>
      <c r="B3858" s="2" t="s">
        <v>3113</v>
      </c>
      <c r="C3858" s="2" t="n">
        <v>1</v>
      </c>
      <c r="D3858" s="2" t="n">
        <v>1</v>
      </c>
      <c r="E3858" s="2" t="n">
        <v>1</v>
      </c>
      <c r="F3858" s="2" t="n">
        <v>43</v>
      </c>
      <c r="G3858" s="2" t="s">
        <v>3114</v>
      </c>
      <c r="H3858" s="2" t="str">
        <f aca="false">IFERROR(__xludf.dummyfunction("IF(I3899="""", """", REGEXEXTRACT(I3899, ""Padrao/([^/]+)""))"),"Nova Ribeirania")</f>
        <v>Nova Ribeirania</v>
      </c>
    </row>
    <row r="3859" customFormat="false" ht="15.75" hidden="false" customHeight="false" outlineLevel="0" collapsed="false">
      <c r="A3859" s="2" t="n">
        <v>146648</v>
      </c>
      <c r="B3859" s="2" t="s">
        <v>3115</v>
      </c>
      <c r="C3859" s="2" t="n">
        <v>3</v>
      </c>
      <c r="D3859" s="2" t="n">
        <v>2</v>
      </c>
      <c r="E3859" s="2" t="n">
        <v>1</v>
      </c>
      <c r="F3859" s="2" t="n">
        <v>65</v>
      </c>
      <c r="G3859" s="2" t="s">
        <v>3116</v>
      </c>
      <c r="H3859" s="2" t="str">
        <f aca="false">IFERROR(__xludf.dummyfunction("IF(I3900="""", """", REGEXEXTRACT(I3900, ""Padrao/([^/]+)""))"),"Sumarezinho")</f>
        <v>Sumarezinho</v>
      </c>
    </row>
    <row r="3860" customFormat="false" ht="15.75" hidden="false" customHeight="false" outlineLevel="0" collapsed="false">
      <c r="A3860" s="2" t="n">
        <v>195548</v>
      </c>
      <c r="B3860" s="2" t="s">
        <v>3117</v>
      </c>
      <c r="C3860" s="2" t="n">
        <v>2</v>
      </c>
      <c r="D3860" s="2" t="n">
        <v>1</v>
      </c>
      <c r="E3860" s="2" t="n">
        <v>1</v>
      </c>
      <c r="F3860" s="2" t="n">
        <v>87</v>
      </c>
      <c r="G3860" s="2" t="s">
        <v>3118</v>
      </c>
      <c r="H3860" s="2" t="str">
        <f aca="false">IFERROR(__xludf.dummyfunction("IF(I3901="""", """", REGEXEXTRACT(I3901, ""Padrao/([^/]+)""))"),"Real Sul")</f>
        <v>Real Sul</v>
      </c>
    </row>
    <row r="3861" customFormat="false" ht="15.75" hidden="false" customHeight="false" outlineLevel="0" collapsed="false">
      <c r="A3861" s="2" t="n">
        <v>46838</v>
      </c>
      <c r="B3861" s="2" t="s">
        <v>3119</v>
      </c>
      <c r="C3861" s="2" t="n">
        <v>3</v>
      </c>
      <c r="D3861" s="2" t="n">
        <v>3</v>
      </c>
      <c r="E3861" s="2" t="n">
        <v>1</v>
      </c>
      <c r="F3861" s="2" t="n">
        <v>120</v>
      </c>
      <c r="G3861" s="2" t="s">
        <v>588</v>
      </c>
      <c r="H3861" s="2" t="str">
        <f aca="false">IFERROR(__xludf.dummyfunction("IF(I3902="""", """", REGEXEXTRACT(I3902, ""Padrao/([^/]+)""))"),"Campos Eliseos")</f>
        <v>Campos Eliseos</v>
      </c>
    </row>
    <row r="3862" customFormat="false" ht="15.75" hidden="false" customHeight="false" outlineLevel="0" collapsed="false">
      <c r="A3862" s="2" t="n">
        <v>181214</v>
      </c>
      <c r="B3862" s="2" t="s">
        <v>3120</v>
      </c>
      <c r="C3862" s="2" t="n">
        <v>3</v>
      </c>
      <c r="D3862" s="2" t="n">
        <v>2</v>
      </c>
      <c r="E3862" s="2" t="n">
        <v>1</v>
      </c>
      <c r="F3862" s="2" t="n">
        <v>102</v>
      </c>
      <c r="G3862" s="2" t="s">
        <v>614</v>
      </c>
      <c r="H3862" s="2" t="str">
        <f aca="false">IFERROR(__xludf.dummyfunction("IF(I3903="""", """", REGEXEXTRACT(I3903, ""Padrao/([^/]+)""))"),"Jardim Macedo")</f>
        <v>Jardim Macedo</v>
      </c>
    </row>
    <row r="3863" customFormat="false" ht="15.75" hidden="false" customHeight="false" outlineLevel="0" collapsed="false">
      <c r="A3863" s="2" t="n">
        <v>239387</v>
      </c>
      <c r="B3863" s="2" t="s">
        <v>3121</v>
      </c>
      <c r="C3863" s="2" t="n">
        <v>1</v>
      </c>
      <c r="D3863" s="2" t="n">
        <v>1</v>
      </c>
      <c r="E3863" s="2" t="n">
        <v>1</v>
      </c>
      <c r="F3863" s="2" t="n">
        <v>42</v>
      </c>
      <c r="G3863" s="2" t="s">
        <v>3122</v>
      </c>
      <c r="H3863" s="2" t="str">
        <f aca="false">IFERROR(__xludf.dummyfunction("IF(I3904="""", """", REGEXEXTRACT(I3904, ""Padrao/([^/]+)""))"),"Jardim Sumare")</f>
        <v>Jardim Sumare</v>
      </c>
    </row>
    <row r="3864" customFormat="false" ht="15.75" hidden="false" customHeight="false" outlineLevel="0" collapsed="false">
      <c r="A3864" s="2" t="n">
        <v>215414</v>
      </c>
      <c r="B3864" s="2" t="s">
        <v>3123</v>
      </c>
      <c r="C3864" s="2" t="n">
        <v>1</v>
      </c>
      <c r="D3864" s="2" t="n">
        <v>1</v>
      </c>
      <c r="E3864" s="2" t="n">
        <v>1</v>
      </c>
      <c r="F3864" s="2" t="n">
        <v>38</v>
      </c>
      <c r="G3864" s="2" t="s">
        <v>3122</v>
      </c>
      <c r="H3864" s="2" t="str">
        <f aca="false">IFERROR(__xludf.dummyfunction("IF(I3905="""", """", REGEXEXTRACT(I3905, ""Padrao/([^/]+)""))"),"Jardim Palma Travassos")</f>
        <v>Jardim Palma Travassos</v>
      </c>
    </row>
    <row r="3865" customFormat="false" ht="15.75" hidden="false" customHeight="false" outlineLevel="0" collapsed="false">
      <c r="A3865" s="2" t="n">
        <v>201701</v>
      </c>
      <c r="B3865" s="2" t="s">
        <v>3124</v>
      </c>
      <c r="C3865" s="2" t="n">
        <v>3</v>
      </c>
      <c r="D3865" s="2" t="n">
        <v>2</v>
      </c>
      <c r="E3865" s="2" t="n">
        <v>1</v>
      </c>
      <c r="F3865" s="2" t="n">
        <v>78</v>
      </c>
      <c r="G3865" s="2" t="s">
        <v>3122</v>
      </c>
      <c r="H3865" s="2" t="str">
        <f aca="false">IFERROR(__xludf.dummyfunction("IF(I3906="""", """", REGEXEXTRACT(I3906, ""Padrao/([^/]+)""))"),"Independencia")</f>
        <v>Independencia</v>
      </c>
    </row>
    <row r="3866" customFormat="false" ht="15.75" hidden="false" customHeight="false" outlineLevel="0" collapsed="false">
      <c r="A3866" s="2" t="n">
        <v>172451</v>
      </c>
      <c r="B3866" s="2" t="s">
        <v>3125</v>
      </c>
      <c r="C3866" s="2" t="n">
        <v>2</v>
      </c>
      <c r="D3866" s="2" t="n">
        <v>2</v>
      </c>
      <c r="E3866" s="2" t="n">
        <v>2</v>
      </c>
      <c r="F3866" s="2" t="n">
        <v>82</v>
      </c>
      <c r="G3866" s="2" t="s">
        <v>3122</v>
      </c>
      <c r="H3866" s="2" t="str">
        <f aca="false">IFERROR(__xludf.dummyfunction("IF(I3907="""", """", REGEXEXTRACT(I3907, ""Padrao/([^/]+)""))"),"Vila Ana Maria")</f>
        <v>Vila Ana Maria</v>
      </c>
    </row>
    <row r="3867" customFormat="false" ht="15.75" hidden="false" customHeight="false" outlineLevel="0" collapsed="false">
      <c r="A3867" s="2" t="n">
        <v>165245</v>
      </c>
      <c r="B3867" s="2" t="s">
        <v>3126</v>
      </c>
      <c r="C3867" s="2" t="n">
        <v>3</v>
      </c>
      <c r="D3867" s="2" t="n">
        <v>2</v>
      </c>
      <c r="E3867" s="2" t="n">
        <v>1</v>
      </c>
      <c r="F3867" s="2" t="n">
        <v>92</v>
      </c>
      <c r="G3867" s="2" t="s">
        <v>3122</v>
      </c>
      <c r="H3867" s="2" t="str">
        <f aca="false">IFERROR(__xludf.dummyfunction("IF(I3908="""", """", REGEXEXTRACT(I3908, ""Padrao/([^/]+)""))"),"Jardim Castelo Branco")</f>
        <v>Jardim Castelo Branco</v>
      </c>
    </row>
    <row r="3868" customFormat="false" ht="15.75" hidden="false" customHeight="false" outlineLevel="0" collapsed="false">
      <c r="A3868" s="2" t="n">
        <v>162014</v>
      </c>
      <c r="B3868" s="2" t="s">
        <v>3127</v>
      </c>
      <c r="C3868" s="2" t="n">
        <v>2</v>
      </c>
      <c r="D3868" s="2" t="n">
        <v>1</v>
      </c>
      <c r="E3868" s="2" t="n">
        <v>1</v>
      </c>
      <c r="F3868" s="2" t="n">
        <v>48</v>
      </c>
      <c r="G3868" s="2" t="s">
        <v>3128</v>
      </c>
      <c r="H3868" s="2" t="str">
        <f aca="false">IFERROR(__xludf.dummyfunction("IF(I3909="""", """", REGEXEXTRACT(I3909, ""Padrao/([^/]+)""))"),"Jardim Olhos DAgua")</f>
        <v>Jardim Olhos DAgua</v>
      </c>
    </row>
    <row r="3869" customFormat="false" ht="15.75" hidden="false" customHeight="false" outlineLevel="0" collapsed="false">
      <c r="A3869" s="2" t="n">
        <v>229022</v>
      </c>
      <c r="B3869" s="2" t="s">
        <v>3129</v>
      </c>
      <c r="C3869" s="2" t="n">
        <v>2</v>
      </c>
      <c r="D3869" s="2" t="n">
        <v>2</v>
      </c>
      <c r="E3869" s="2" t="n">
        <v>1</v>
      </c>
      <c r="F3869" s="2" t="n">
        <v>67</v>
      </c>
      <c r="G3869" s="2" t="s">
        <v>3130</v>
      </c>
      <c r="H3869" s="2" t="str">
        <f aca="false">IFERROR(__xludf.dummyfunction("IF(I3910="""", """", REGEXEXTRACT(I3910, ""Padrao/([^/]+)""))"),"Parque Industrial Lagoinha")</f>
        <v>Parque Industrial Lagoinha</v>
      </c>
    </row>
    <row r="3870" customFormat="false" ht="15.75" hidden="false" customHeight="false" outlineLevel="0" collapsed="false">
      <c r="A3870" s="2" t="n">
        <v>188615</v>
      </c>
      <c r="B3870" s="2" t="s">
        <v>1448</v>
      </c>
      <c r="C3870" s="2" t="n">
        <v>2</v>
      </c>
      <c r="D3870" s="2" t="n">
        <v>1</v>
      </c>
      <c r="E3870" s="2" t="n">
        <v>1</v>
      </c>
      <c r="F3870" s="2" t="n">
        <v>42</v>
      </c>
      <c r="G3870" s="2" t="s">
        <v>483</v>
      </c>
      <c r="H3870" s="2" t="str">
        <f aca="false">IFERROR(__xludf.dummyfunction("IF(I3911="""", """", REGEXEXTRACT(I3911, ""Padrao/([^/]+)""))"),"Ipiranga")</f>
        <v>Ipiranga</v>
      </c>
    </row>
    <row r="3871" customFormat="false" ht="15.75" hidden="false" customHeight="false" outlineLevel="0" collapsed="false">
      <c r="A3871" s="2" t="n">
        <v>69398</v>
      </c>
      <c r="B3871" s="2" t="s">
        <v>3131</v>
      </c>
      <c r="C3871" s="2" t="n">
        <v>1</v>
      </c>
      <c r="D3871" s="2" t="n">
        <v>1</v>
      </c>
      <c r="E3871" s="2" t="n">
        <v>1</v>
      </c>
      <c r="F3871" s="2" t="n">
        <v>40</v>
      </c>
      <c r="G3871" s="2" t="s">
        <v>564</v>
      </c>
      <c r="H3871" s="2" t="str">
        <f aca="false">IFERROR(__xludf.dummyfunction("IF(I3912="""", """", REGEXEXTRACT(I3912, ""Padrao/([^/]+)""))"),"Vila Seixas")</f>
        <v>Vila Seixas</v>
      </c>
    </row>
    <row r="3872" customFormat="false" ht="15.75" hidden="false" customHeight="false" outlineLevel="0" collapsed="false">
      <c r="A3872" s="2" t="n">
        <v>151310</v>
      </c>
      <c r="B3872" s="2" t="s">
        <v>3132</v>
      </c>
      <c r="C3872" s="2" t="n">
        <v>2</v>
      </c>
      <c r="D3872" s="2" t="n">
        <v>2</v>
      </c>
      <c r="E3872" s="2" t="n">
        <v>1</v>
      </c>
      <c r="F3872" s="2" t="n">
        <v>65</v>
      </c>
      <c r="G3872" s="2" t="s">
        <v>595</v>
      </c>
      <c r="H3872" s="2" t="str">
        <f aca="false">IFERROR(__xludf.dummyfunction("IF(I3913="""", """", REGEXEXTRACT(I3913, ""Padrao/([^/]+)""))"),"Jardim Botanico")</f>
        <v>Jardim Botanico</v>
      </c>
    </row>
    <row r="3873" customFormat="false" ht="15.75" hidden="false" customHeight="false" outlineLevel="0" collapsed="false">
      <c r="A3873" s="2" t="n">
        <v>81269</v>
      </c>
      <c r="B3873" s="2" t="s">
        <v>3133</v>
      </c>
      <c r="C3873" s="2" t="n">
        <v>2</v>
      </c>
      <c r="D3873" s="2" t="n">
        <v>2</v>
      </c>
      <c r="E3873" s="2" t="n">
        <v>1</v>
      </c>
      <c r="F3873" s="2" t="n">
        <v>60</v>
      </c>
      <c r="G3873" s="2" t="s">
        <v>595</v>
      </c>
      <c r="H3873" s="2" t="str">
        <f aca="false">IFERROR(__xludf.dummyfunction("IF(I3914="""", """", REGEXEXTRACT(I3914, ""Padrao/([^/]+)""))"),"Residencial Greenville")</f>
        <v>Residencial Greenville</v>
      </c>
    </row>
    <row r="3874" customFormat="false" ht="15.75" hidden="false" customHeight="false" outlineLevel="0" collapsed="false">
      <c r="A3874" s="2" t="n">
        <v>230450</v>
      </c>
      <c r="B3874" s="2" t="s">
        <v>3134</v>
      </c>
      <c r="C3874" s="2" t="n">
        <v>1</v>
      </c>
      <c r="D3874" s="2" t="n">
        <v>1</v>
      </c>
      <c r="E3874" s="2" t="n">
        <v>1</v>
      </c>
      <c r="F3874" s="2" t="n">
        <v>38</v>
      </c>
      <c r="G3874" s="2" t="s">
        <v>2895</v>
      </c>
      <c r="H3874" s="2" t="str">
        <f aca="false">IFERROR(__xludf.dummyfunction("IF(I3915="""", """", REGEXEXTRACT(I3915, ""Padrao/([^/]+)""))"),"Jardim Palma Travassos")</f>
        <v>Jardim Palma Travassos</v>
      </c>
    </row>
    <row r="3875" customFormat="false" ht="15.75" hidden="false" customHeight="false" outlineLevel="0" collapsed="false">
      <c r="A3875" s="2" t="n">
        <v>182840</v>
      </c>
      <c r="B3875" s="2" t="s">
        <v>3135</v>
      </c>
      <c r="C3875" s="2" t="n">
        <v>2</v>
      </c>
      <c r="D3875" s="2" t="n">
        <v>2</v>
      </c>
      <c r="E3875" s="2" t="n">
        <v>1</v>
      </c>
      <c r="F3875" s="2" t="n">
        <v>102</v>
      </c>
      <c r="G3875" s="2" t="s">
        <v>612</v>
      </c>
      <c r="H3875" s="2" t="str">
        <f aca="false">IFERROR(__xludf.dummyfunction("IF(I3916="""", """", REGEXEXTRACT(I3916, ""Padrao/([^/]+)""))"),"Centro")</f>
        <v>Centro</v>
      </c>
    </row>
    <row r="3876" customFormat="false" ht="15.75" hidden="false" customHeight="false" outlineLevel="0" collapsed="false">
      <c r="A3876" s="2" t="n">
        <v>217271</v>
      </c>
      <c r="B3876" s="2" t="s">
        <v>2914</v>
      </c>
      <c r="C3876" s="2" t="n">
        <v>2</v>
      </c>
      <c r="D3876" s="2" t="n">
        <v>3</v>
      </c>
      <c r="E3876" s="2" t="n">
        <v>2</v>
      </c>
      <c r="F3876" s="2" t="n">
        <v>72</v>
      </c>
      <c r="G3876" s="2" t="s">
        <v>614</v>
      </c>
      <c r="H3876" s="2" t="str">
        <f aca="false">IFERROR(__xludf.dummyfunction("IF(I3917="""", """", REGEXEXTRACT(I3917, ""Padrao/([^/]+)""))"),"Vila Seixas")</f>
        <v>Vila Seixas</v>
      </c>
    </row>
    <row r="3877" customFormat="false" ht="15.75" hidden="false" customHeight="false" outlineLevel="0" collapsed="false">
      <c r="A3877" s="2" t="n">
        <v>64895</v>
      </c>
      <c r="B3877" s="2" t="s">
        <v>3136</v>
      </c>
      <c r="C3877" s="2" t="n">
        <v>2</v>
      </c>
      <c r="D3877" s="2" t="n">
        <v>2</v>
      </c>
      <c r="E3877" s="2" t="n">
        <v>1</v>
      </c>
      <c r="F3877" s="2" t="n">
        <v>85</v>
      </c>
      <c r="G3877" s="2" t="s">
        <v>614</v>
      </c>
      <c r="H3877" s="2" t="str">
        <f aca="false">IFERROR(__xludf.dummyfunction("IF(I3918="""", """", REGEXEXTRACT(I3918, ""Padrao/([^/]+)""))"),"Centro")</f>
        <v>Centro</v>
      </c>
    </row>
    <row r="3878" customFormat="false" ht="15.75" hidden="false" customHeight="false" outlineLevel="0" collapsed="false">
      <c r="A3878" s="2" t="n">
        <v>161135</v>
      </c>
      <c r="B3878" s="2" t="s">
        <v>3137</v>
      </c>
      <c r="C3878" s="2" t="n">
        <v>3</v>
      </c>
      <c r="D3878" s="2" t="n">
        <v>3</v>
      </c>
      <c r="E3878" s="2" t="n">
        <v>2</v>
      </c>
      <c r="F3878" s="2" t="n">
        <v>129</v>
      </c>
      <c r="G3878" s="2" t="s">
        <v>2992</v>
      </c>
      <c r="H3878" s="2" t="str">
        <f aca="false">IFERROR(__xludf.dummyfunction("IF(I3919="""", """", REGEXEXTRACT(I3919, ""Padrao/([^/]+)""))"),"Jardim Macedo")</f>
        <v>Jardim Macedo</v>
      </c>
    </row>
    <row r="3879" customFormat="false" ht="15.75" hidden="false" customHeight="false" outlineLevel="0" collapsed="false">
      <c r="A3879" s="2" t="n">
        <v>164138</v>
      </c>
      <c r="B3879" s="2" t="s">
        <v>3138</v>
      </c>
      <c r="C3879" s="2" t="n">
        <v>2</v>
      </c>
      <c r="D3879" s="2" t="n">
        <v>2</v>
      </c>
      <c r="E3879" s="2" t="n">
        <v>1</v>
      </c>
      <c r="F3879" s="2" t="n">
        <v>53</v>
      </c>
      <c r="G3879" s="2" t="s">
        <v>618</v>
      </c>
      <c r="H3879" s="2" t="str">
        <f aca="false">IFERROR(__xludf.dummyfunction("IF(I3920="""", """", REGEXEXTRACT(I3920, ""Padrao/([^/]+)""))"),"Condominio Mirante Sul")</f>
        <v>Condominio Mirante Sul</v>
      </c>
    </row>
    <row r="3880" customFormat="false" ht="15.75" hidden="false" customHeight="false" outlineLevel="0" collapsed="false">
      <c r="A3880" s="2" t="n">
        <v>88415</v>
      </c>
      <c r="B3880" s="2" t="s">
        <v>3139</v>
      </c>
      <c r="C3880" s="2" t="n">
        <v>3</v>
      </c>
      <c r="D3880" s="2" t="n">
        <v>2</v>
      </c>
      <c r="E3880" s="2" t="n">
        <v>1</v>
      </c>
      <c r="F3880" s="2" t="n">
        <v>97</v>
      </c>
      <c r="G3880" s="2" t="s">
        <v>618</v>
      </c>
      <c r="H3880" s="2" t="str">
        <f aca="false">IFERROR(__xludf.dummyfunction("IF(I3921="""", """", REGEXEXTRACT(I3921, ""Padrao/([^/]+)""))"),"Centro")</f>
        <v>Centro</v>
      </c>
    </row>
    <row r="3881" customFormat="false" ht="15.75" hidden="false" customHeight="false" outlineLevel="0" collapsed="false">
      <c r="A3881" s="2" t="n">
        <v>151250</v>
      </c>
      <c r="B3881" s="2" t="s">
        <v>3140</v>
      </c>
      <c r="C3881" s="2" t="n">
        <v>3</v>
      </c>
      <c r="D3881" s="2" t="n">
        <v>3</v>
      </c>
      <c r="E3881" s="2" t="n">
        <v>1</v>
      </c>
      <c r="F3881" s="2" t="n">
        <v>86</v>
      </c>
      <c r="G3881" s="2" t="s">
        <v>3057</v>
      </c>
      <c r="H3881" s="2" t="str">
        <f aca="false">IFERROR(__xludf.dummyfunction("IF(I3922="""", """", REGEXEXTRACT(I3922, ""Padrao/([^/]+)""))"),"Jardim Iraja")</f>
        <v>Jardim Iraja</v>
      </c>
    </row>
    <row r="3882" customFormat="false" ht="15.75" hidden="false" customHeight="false" outlineLevel="0" collapsed="false">
      <c r="A3882" s="2" t="n">
        <v>113564</v>
      </c>
      <c r="B3882" s="2" t="s">
        <v>3141</v>
      </c>
      <c r="C3882" s="2" t="n">
        <v>2</v>
      </c>
      <c r="D3882" s="2" t="n">
        <v>2</v>
      </c>
      <c r="E3882" s="2" t="n">
        <v>1</v>
      </c>
      <c r="F3882" s="2" t="n">
        <v>73</v>
      </c>
      <c r="G3882" s="2" t="s">
        <v>3057</v>
      </c>
      <c r="H3882" s="2" t="str">
        <f aca="false">IFERROR(__xludf.dummyfunction("IF(I3923="""", """", REGEXEXTRACT(I3923, ""Padrao/([^/]+)""))"),"Jardim Paulista")</f>
        <v>Jardim Paulista</v>
      </c>
    </row>
    <row r="3883" customFormat="false" ht="15.75" hidden="false" customHeight="false" outlineLevel="0" collapsed="false">
      <c r="A3883" s="2" t="n">
        <v>47612</v>
      </c>
      <c r="B3883" s="2" t="s">
        <v>3142</v>
      </c>
      <c r="C3883" s="2" t="n">
        <v>3</v>
      </c>
      <c r="D3883" s="2" t="n">
        <v>2</v>
      </c>
      <c r="E3883" s="2" t="n">
        <v>2</v>
      </c>
      <c r="F3883" s="2" t="n">
        <v>79</v>
      </c>
      <c r="G3883" s="2" t="s">
        <v>3057</v>
      </c>
      <c r="H3883" s="2" t="str">
        <f aca="false">IFERROR(__xludf.dummyfunction("IF(I3924="""", """", REGEXEXTRACT(I3924, ""Padrao/([^/]+)""))"),"Parque Industrial Lagoinha")</f>
        <v>Parque Industrial Lagoinha</v>
      </c>
    </row>
    <row r="3884" customFormat="false" ht="15.75" hidden="false" customHeight="false" outlineLevel="0" collapsed="false">
      <c r="A3884" s="2" t="n">
        <v>171959</v>
      </c>
      <c r="B3884" s="2" t="s">
        <v>3009</v>
      </c>
      <c r="C3884" s="2" t="n">
        <v>3</v>
      </c>
      <c r="D3884" s="2" t="n">
        <v>2</v>
      </c>
      <c r="E3884" s="2" t="n">
        <v>1</v>
      </c>
      <c r="F3884" s="2" t="n">
        <v>146</v>
      </c>
      <c r="G3884" s="2" t="s">
        <v>3072</v>
      </c>
      <c r="H3884" s="2" t="str">
        <f aca="false">IFERROR(__xludf.dummyfunction("IF(I3925="""", """", REGEXEXTRACT(I3925, ""Padrao/([^/]+)""))"),"Alto do Ipiranga")</f>
        <v>Alto do Ipiranga</v>
      </c>
    </row>
    <row r="3885" customFormat="false" ht="15.75" hidden="false" customHeight="false" outlineLevel="0" collapsed="false">
      <c r="A3885" s="2" t="n">
        <v>242693</v>
      </c>
      <c r="B3885" s="2" t="s">
        <v>3143</v>
      </c>
      <c r="C3885" s="2" t="n">
        <v>2</v>
      </c>
      <c r="D3885" s="2" t="n">
        <v>2</v>
      </c>
      <c r="E3885" s="2" t="n">
        <v>1</v>
      </c>
      <c r="F3885" s="2" t="n">
        <v>73</v>
      </c>
      <c r="G3885" s="2" t="s">
        <v>3144</v>
      </c>
      <c r="H3885" s="2" t="str">
        <f aca="false">IFERROR(__xludf.dummyfunction("IF(I3926="""", """", REGEXEXTRACT(I3926, ""Padrao/([^/]+)""))"),"Nova Ribeirania")</f>
        <v>Nova Ribeirania</v>
      </c>
    </row>
    <row r="3886" customFormat="false" ht="15.75" hidden="false" customHeight="false" outlineLevel="0" collapsed="false">
      <c r="A3886" s="2" t="n">
        <v>181646</v>
      </c>
      <c r="B3886" s="2" t="s">
        <v>3145</v>
      </c>
      <c r="C3886" s="2" t="n">
        <v>3</v>
      </c>
      <c r="D3886" s="2" t="n">
        <v>1</v>
      </c>
      <c r="E3886" s="2" t="n">
        <v>2</v>
      </c>
      <c r="F3886" s="2" t="n">
        <v>90</v>
      </c>
      <c r="G3886" s="2" t="s">
        <v>621</v>
      </c>
      <c r="H3886" s="2" t="str">
        <f aca="false">IFERROR(__xludf.dummyfunction("IF(I3927="""", """", REGEXEXTRACT(I3927, ""Padrao/([^/]+)""))"),"Jardim Antartica")</f>
        <v>Jardim Antartica</v>
      </c>
    </row>
    <row r="3887" customFormat="false" ht="15.75" hidden="false" customHeight="false" outlineLevel="0" collapsed="false">
      <c r="A3887" s="2" t="n">
        <v>78125</v>
      </c>
      <c r="B3887" s="2" t="s">
        <v>3146</v>
      </c>
      <c r="C3887" s="2" t="n">
        <v>3</v>
      </c>
      <c r="D3887" s="2" t="n">
        <v>2</v>
      </c>
      <c r="E3887" s="2" t="n">
        <v>1</v>
      </c>
      <c r="F3887" s="2" t="n">
        <v>90</v>
      </c>
      <c r="G3887" s="2" t="s">
        <v>621</v>
      </c>
      <c r="H3887" s="2" t="str">
        <f aca="false">IFERROR(__xludf.dummyfunction("IF(I3928="""", """", REGEXEXTRACT(I3928, ""Padrao/([^/]+)""))"),"Centro")</f>
        <v>Centro</v>
      </c>
    </row>
    <row r="3888" customFormat="false" ht="15.75" hidden="false" customHeight="false" outlineLevel="0" collapsed="false">
      <c r="A3888" s="2" t="n">
        <v>216275</v>
      </c>
      <c r="B3888" s="2" t="s">
        <v>3147</v>
      </c>
      <c r="C3888" s="2" t="n">
        <v>3</v>
      </c>
      <c r="D3888" s="2" t="n">
        <v>2</v>
      </c>
      <c r="E3888" s="2" t="n">
        <v>1</v>
      </c>
      <c r="F3888" s="2" t="n">
        <v>71</v>
      </c>
      <c r="G3888" s="2" t="s">
        <v>3148</v>
      </c>
      <c r="H3888" s="2" t="str">
        <f aca="false">IFERROR(__xludf.dummyfunction("IF(I3929="""", """", REGEXEXTRACT(I3929, ""Padrao/([^/]+)""))"),"Condominio Itamaraty")</f>
        <v>Condominio Itamaraty</v>
      </c>
    </row>
    <row r="3889" customFormat="false" ht="15.75" hidden="false" customHeight="false" outlineLevel="0" collapsed="false">
      <c r="A3889" s="2" t="n">
        <v>243122</v>
      </c>
      <c r="B3889" s="2" t="s">
        <v>3149</v>
      </c>
      <c r="C3889" s="2" t="n">
        <v>1</v>
      </c>
      <c r="D3889" s="2" t="n">
        <v>1</v>
      </c>
      <c r="E3889" s="2" t="n">
        <v>1</v>
      </c>
      <c r="F3889" s="2" t="n">
        <v>45</v>
      </c>
      <c r="G3889" s="2" t="s">
        <v>626</v>
      </c>
      <c r="H3889" s="2" t="str">
        <f aca="false">IFERROR(__xludf.dummyfunction("IF(I3930="""", """", REGEXEXTRACT(I3930, ""Padrao/([^/]+)""))"),"Jardim Botanico")</f>
        <v>Jardim Botanico</v>
      </c>
    </row>
    <row r="3890" customFormat="false" ht="15.75" hidden="false" customHeight="false" outlineLevel="0" collapsed="false">
      <c r="A3890" s="2" t="n">
        <v>241241</v>
      </c>
      <c r="B3890" s="2" t="s">
        <v>3150</v>
      </c>
      <c r="C3890" s="2" t="n">
        <v>1</v>
      </c>
      <c r="D3890" s="2" t="n">
        <v>1</v>
      </c>
      <c r="E3890" s="2" t="n">
        <v>1</v>
      </c>
      <c r="F3890" s="2" t="n">
        <v>54</v>
      </c>
      <c r="G3890" s="2" t="s">
        <v>626</v>
      </c>
      <c r="H3890" s="2" t="str">
        <f aca="false">IFERROR(__xludf.dummyfunction("IF(I3931="""", """", REGEXEXTRACT(I3931, ""Padrao/([^/]+)""))"),"Jardim Sao Luiz")</f>
        <v>Jardim Sao Luiz</v>
      </c>
    </row>
    <row r="3891" customFormat="false" ht="15.75" hidden="false" customHeight="false" outlineLevel="0" collapsed="false">
      <c r="A3891" s="2" t="n">
        <v>240749</v>
      </c>
      <c r="B3891" s="2" t="s">
        <v>3151</v>
      </c>
      <c r="C3891" s="2" t="n">
        <v>2</v>
      </c>
      <c r="D3891" s="2" t="n">
        <v>1</v>
      </c>
      <c r="E3891" s="2" t="n">
        <v>1</v>
      </c>
      <c r="F3891" s="2" t="n">
        <v>46</v>
      </c>
      <c r="G3891" s="2" t="s">
        <v>626</v>
      </c>
      <c r="H3891" s="2" t="str">
        <f aca="false">IFERROR(__xludf.dummyfunction("IF(I3932="""", """", REGEXEXTRACT(I3932, ""Padrao/([^/]+)""))"),"Residencial Greenville")</f>
        <v>Residencial Greenville</v>
      </c>
    </row>
    <row r="3892" customFormat="false" ht="15.75" hidden="false" customHeight="false" outlineLevel="0" collapsed="false">
      <c r="A3892" s="2" t="n">
        <v>240440</v>
      </c>
      <c r="B3892" s="2" t="s">
        <v>3152</v>
      </c>
      <c r="C3892" s="2" t="n">
        <v>2</v>
      </c>
      <c r="D3892" s="2" t="n">
        <v>1</v>
      </c>
      <c r="E3892" s="2" t="n">
        <v>1</v>
      </c>
      <c r="F3892" s="2" t="n">
        <v>49</v>
      </c>
      <c r="G3892" s="2" t="s">
        <v>626</v>
      </c>
      <c r="H3892" s="2" t="str">
        <f aca="false">IFERROR(__xludf.dummyfunction("IF(I3933="""", """", REGEXEXTRACT(I3933, ""Padrao/([^/]+)""))"),"Residencial Monterrey")</f>
        <v>Residencial Monterrey</v>
      </c>
    </row>
    <row r="3893" customFormat="false" ht="15.75" hidden="false" customHeight="false" outlineLevel="0" collapsed="false">
      <c r="A3893" s="2" t="n">
        <v>240296</v>
      </c>
      <c r="B3893" s="2" t="s">
        <v>3153</v>
      </c>
      <c r="C3893" s="2" t="n">
        <v>4</v>
      </c>
      <c r="D3893" s="2" t="n">
        <v>3</v>
      </c>
      <c r="E3893" s="2" t="n">
        <v>1</v>
      </c>
      <c r="F3893" s="2" t="n">
        <v>199</v>
      </c>
      <c r="G3893" s="2" t="s">
        <v>626</v>
      </c>
      <c r="H3893" s="2" t="str">
        <f aca="false">IFERROR(__xludf.dummyfunction("IF(I3934="""", """", REGEXEXTRACT(I3934, ""Padrao/([^/]+)""))"),"Centro")</f>
        <v>Centro</v>
      </c>
    </row>
    <row r="3894" customFormat="false" ht="15.75" hidden="false" customHeight="false" outlineLevel="0" collapsed="false">
      <c r="A3894" s="2" t="n">
        <v>239321</v>
      </c>
      <c r="B3894" s="2" t="s">
        <v>3154</v>
      </c>
      <c r="C3894" s="2" t="n">
        <v>3</v>
      </c>
      <c r="D3894" s="2" t="n">
        <v>2</v>
      </c>
      <c r="E3894" s="2" t="n">
        <v>2</v>
      </c>
      <c r="F3894" s="2" t="n">
        <v>95</v>
      </c>
      <c r="G3894" s="2" t="s">
        <v>626</v>
      </c>
      <c r="H3894" s="2" t="str">
        <f aca="false">IFERROR(__xludf.dummyfunction("IF(I3935="""", """", REGEXEXTRACT(I3935, ""Padrao/([^/]+)""))"),"Jardim Iraja")</f>
        <v>Jardim Iraja</v>
      </c>
    </row>
    <row r="3895" customFormat="false" ht="15.75" hidden="false" customHeight="false" outlineLevel="0" collapsed="false">
      <c r="A3895" s="2" t="n">
        <v>234872</v>
      </c>
      <c r="B3895" s="2" t="s">
        <v>3155</v>
      </c>
      <c r="C3895" s="2" t="n">
        <v>2</v>
      </c>
      <c r="D3895" s="2" t="n">
        <v>2</v>
      </c>
      <c r="E3895" s="2" t="n">
        <v>1</v>
      </c>
      <c r="F3895" s="2" t="n">
        <v>54</v>
      </c>
      <c r="G3895" s="2" t="s">
        <v>626</v>
      </c>
      <c r="H3895" s="2" t="str">
        <f aca="false">IFERROR(__xludf.dummyfunction("IF(I3936="""", """", REGEXEXTRACT(I3936, ""Padrao/([^/]+)""))"),"Vila Monte Alegre")</f>
        <v>Vila Monte Alegre</v>
      </c>
    </row>
    <row r="3896" customFormat="false" ht="15.75" hidden="false" customHeight="false" outlineLevel="0" collapsed="false">
      <c r="A3896" s="2" t="n">
        <v>233675</v>
      </c>
      <c r="B3896" s="2" t="s">
        <v>2978</v>
      </c>
      <c r="C3896" s="2" t="n">
        <v>2</v>
      </c>
      <c r="D3896" s="2" t="n">
        <v>2</v>
      </c>
      <c r="E3896" s="2" t="n">
        <v>2</v>
      </c>
      <c r="F3896" s="2" t="n">
        <v>59</v>
      </c>
      <c r="G3896" s="2" t="s">
        <v>626</v>
      </c>
      <c r="H3896" s="2" t="str">
        <f aca="false">IFERROR(__xludf.dummyfunction("IF(I3937="""", """", REGEXEXTRACT(I3937, ""Padrao/([^/]+)""))"),"Residencial Florida")</f>
        <v>Residencial Florida</v>
      </c>
    </row>
    <row r="3897" customFormat="false" ht="15.75" hidden="false" customHeight="false" outlineLevel="0" collapsed="false">
      <c r="A3897" s="2" t="n">
        <v>233159</v>
      </c>
      <c r="B3897" s="2" t="s">
        <v>3156</v>
      </c>
      <c r="C3897" s="2" t="n">
        <v>2</v>
      </c>
      <c r="D3897" s="2" t="n">
        <v>2</v>
      </c>
      <c r="E3897" s="2" t="n">
        <v>1</v>
      </c>
      <c r="F3897" s="2" t="n">
        <v>65</v>
      </c>
      <c r="G3897" s="2" t="s">
        <v>626</v>
      </c>
      <c r="H3897" s="2" t="str">
        <f aca="false">IFERROR(__xludf.dummyfunction("IF(I3938="""", """", REGEXEXTRACT(I3938, ""Padrao/([^/]+)""))"),"Vila Maria Luiza")</f>
        <v>Vila Maria Luiza</v>
      </c>
    </row>
    <row r="3898" customFormat="false" ht="15.75" hidden="false" customHeight="false" outlineLevel="0" collapsed="false">
      <c r="A3898" s="2" t="n">
        <v>232727</v>
      </c>
      <c r="B3898" s="2" t="s">
        <v>3157</v>
      </c>
      <c r="C3898" s="2" t="n">
        <v>2</v>
      </c>
      <c r="D3898" s="2" t="n">
        <v>2</v>
      </c>
      <c r="E3898" s="2" t="n">
        <v>1</v>
      </c>
      <c r="F3898" s="2" t="n">
        <v>61</v>
      </c>
      <c r="G3898" s="2" t="s">
        <v>626</v>
      </c>
      <c r="H3898" s="2" t="str">
        <f aca="false">IFERROR(__xludf.dummyfunction("IF(I3939="""", """", REGEXEXTRACT(I3939, ""Padrao/([^/]+)""))"),"Nova Alianca")</f>
        <v>Nova Alianca</v>
      </c>
    </row>
    <row r="3899" customFormat="false" ht="15.75" hidden="false" customHeight="false" outlineLevel="0" collapsed="false">
      <c r="A3899" s="2" t="n">
        <v>231290</v>
      </c>
      <c r="B3899" s="2" t="s">
        <v>3158</v>
      </c>
      <c r="C3899" s="2" t="n">
        <v>2</v>
      </c>
      <c r="D3899" s="2" t="n">
        <v>2</v>
      </c>
      <c r="E3899" s="2" t="n">
        <v>1</v>
      </c>
      <c r="F3899" s="2" t="n">
        <v>69</v>
      </c>
      <c r="G3899" s="2" t="s">
        <v>626</v>
      </c>
      <c r="H3899" s="2" t="str">
        <f aca="false">IFERROR(__xludf.dummyfunction("IF(I3940="""", """", REGEXEXTRACT(I3940, ""Padrao/([^/]+)""))"),"Jardim Paulista")</f>
        <v>Jardim Paulista</v>
      </c>
    </row>
    <row r="3900" customFormat="false" ht="15.75" hidden="false" customHeight="false" outlineLevel="0" collapsed="false">
      <c r="A3900" s="2" t="n">
        <v>226316</v>
      </c>
      <c r="B3900" s="2" t="s">
        <v>3159</v>
      </c>
      <c r="C3900" s="2" t="n">
        <v>2</v>
      </c>
      <c r="D3900" s="2" t="n">
        <v>2</v>
      </c>
      <c r="E3900" s="2" t="n">
        <v>1</v>
      </c>
      <c r="F3900" s="2" t="n">
        <v>56</v>
      </c>
      <c r="G3900" s="2" t="s">
        <v>626</v>
      </c>
      <c r="H3900" s="2" t="str">
        <f aca="false">IFERROR(__xludf.dummyfunction("IF(I3941="""", """", REGEXEXTRACT(I3941, ""Padrao/([^/]+)""))"),"Jardim Manoel Penna")</f>
        <v>Jardim Manoel Penna</v>
      </c>
    </row>
    <row r="3901" customFormat="false" ht="15.75" hidden="false" customHeight="false" outlineLevel="0" collapsed="false">
      <c r="A3901" s="2" t="n">
        <v>224141</v>
      </c>
      <c r="B3901" s="2" t="s">
        <v>3160</v>
      </c>
      <c r="C3901" s="2" t="n">
        <v>2</v>
      </c>
      <c r="D3901" s="2" t="n">
        <v>2</v>
      </c>
      <c r="E3901" s="2" t="n">
        <v>1</v>
      </c>
      <c r="F3901" s="2" t="n">
        <v>55</v>
      </c>
      <c r="G3901" s="2" t="s">
        <v>626</v>
      </c>
      <c r="H3901" s="2" t="str">
        <f aca="false">IFERROR(__xludf.dummyfunction("IF(I3942="""", """", REGEXEXTRACT(I3942, ""Padrao/([^/]+)""))"),"Jardim Olhos DAgua")</f>
        <v>Jardim Olhos DAgua</v>
      </c>
    </row>
    <row r="3902" customFormat="false" ht="15.75" hidden="false" customHeight="false" outlineLevel="0" collapsed="false">
      <c r="A3902" s="2" t="n">
        <v>222953</v>
      </c>
      <c r="B3902" s="2" t="s">
        <v>3161</v>
      </c>
      <c r="C3902" s="2" t="n">
        <v>2</v>
      </c>
      <c r="D3902" s="2" t="n">
        <v>2</v>
      </c>
      <c r="E3902" s="2" t="n">
        <v>1</v>
      </c>
      <c r="F3902" s="2" t="n">
        <v>58</v>
      </c>
      <c r="G3902" s="2" t="s">
        <v>626</v>
      </c>
      <c r="H3902" s="2" t="str">
        <f aca="false">IFERROR(__xludf.dummyfunction("IF(I3943="""", """", REGEXEXTRACT(I3943, ""Padrao/([^/]+)""))"),"Residencial Parque dos Servidores")</f>
        <v>Residencial Parque dos Servidores</v>
      </c>
    </row>
    <row r="3903" customFormat="false" ht="15.75" hidden="false" customHeight="false" outlineLevel="0" collapsed="false">
      <c r="A3903" s="2" t="n">
        <v>221561</v>
      </c>
      <c r="B3903" s="2" t="s">
        <v>2178</v>
      </c>
      <c r="C3903" s="2" t="n">
        <v>2</v>
      </c>
      <c r="D3903" s="2" t="n">
        <v>1</v>
      </c>
      <c r="E3903" s="2" t="n">
        <v>1</v>
      </c>
      <c r="F3903" s="2" t="n">
        <v>46</v>
      </c>
      <c r="G3903" s="2" t="s">
        <v>626</v>
      </c>
      <c r="H3903" s="2" t="str">
        <f aca="false">IFERROR(__xludf.dummyfunction("IF(I3944="""", """", REGEXEXTRACT(I3944, ""Padrao/([^/]+)""))"),"Jardim Manoel Penna")</f>
        <v>Jardim Manoel Penna</v>
      </c>
    </row>
    <row r="3904" customFormat="false" ht="15.75" hidden="false" customHeight="false" outlineLevel="0" collapsed="false">
      <c r="A3904" s="2" t="n">
        <v>220979</v>
      </c>
      <c r="B3904" s="2" t="s">
        <v>3162</v>
      </c>
      <c r="C3904" s="2" t="n">
        <v>2</v>
      </c>
      <c r="D3904" s="2" t="n">
        <v>2</v>
      </c>
      <c r="E3904" s="2" t="n">
        <v>1</v>
      </c>
      <c r="F3904" s="2" t="n">
        <v>67</v>
      </c>
      <c r="G3904" s="2" t="s">
        <v>626</v>
      </c>
      <c r="H3904" s="2" t="str">
        <f aca="false">IFERROR(__xludf.dummyfunction("IF(I3945="""", """", REGEXEXTRACT(I3945, ""Padrao/([^/]+)""))"),"Jardim Antartica")</f>
        <v>Jardim Antartica</v>
      </c>
    </row>
    <row r="3905" customFormat="false" ht="15.75" hidden="false" customHeight="false" outlineLevel="0" collapsed="false">
      <c r="A3905" s="2" t="n">
        <v>217790</v>
      </c>
      <c r="B3905" s="2" t="s">
        <v>3163</v>
      </c>
      <c r="C3905" s="2" t="n">
        <v>1</v>
      </c>
      <c r="D3905" s="2" t="n">
        <v>2</v>
      </c>
      <c r="E3905" s="2" t="n">
        <v>1</v>
      </c>
      <c r="F3905" s="2" t="n">
        <v>44</v>
      </c>
      <c r="G3905" s="2" t="s">
        <v>626</v>
      </c>
      <c r="H3905" s="2" t="str">
        <f aca="false">IFERROR(__xludf.dummyfunction("IF(I3946="""", """", REGEXEXTRACT(I3946, ""Padrao/([^/]+)""))"),"Jardim Recreio")</f>
        <v>Jardim Recreio</v>
      </c>
    </row>
    <row r="3906" customFormat="false" ht="15.75" hidden="false" customHeight="false" outlineLevel="0" collapsed="false">
      <c r="A3906" s="2" t="n">
        <v>217415</v>
      </c>
      <c r="B3906" s="2" t="s">
        <v>3164</v>
      </c>
      <c r="C3906" s="2" t="n">
        <v>2</v>
      </c>
      <c r="D3906" s="2" t="n">
        <v>1</v>
      </c>
      <c r="E3906" s="2" t="n">
        <v>1</v>
      </c>
      <c r="F3906" s="2" t="n">
        <v>44</v>
      </c>
      <c r="G3906" s="2" t="s">
        <v>626</v>
      </c>
      <c r="H3906" s="2" t="str">
        <f aca="false">IFERROR(__xludf.dummyfunction("IF(I3947="""", """", REGEXEXTRACT(I3947, ""Padrao/([^/]+)""))"),"Quinta da Primavera")</f>
        <v>Quinta da Primavera</v>
      </c>
    </row>
    <row r="3907" customFormat="false" ht="15.75" hidden="false" customHeight="false" outlineLevel="0" collapsed="false">
      <c r="A3907" s="2" t="n">
        <v>209591</v>
      </c>
      <c r="B3907" s="2" t="s">
        <v>2948</v>
      </c>
      <c r="C3907" s="2" t="n">
        <v>2</v>
      </c>
      <c r="D3907" s="2" t="n">
        <v>2</v>
      </c>
      <c r="E3907" s="2" t="n">
        <v>1</v>
      </c>
      <c r="F3907" s="2" t="n">
        <v>73</v>
      </c>
      <c r="G3907" s="2" t="s">
        <v>626</v>
      </c>
      <c r="H3907" s="2" t="str">
        <f aca="false">IFERROR(__xludf.dummyfunction("IF(I3948="""", """", REGEXEXTRACT(I3948, ""Padrao/([^/]+)""))"),"Parque Industrial Lagoinha")</f>
        <v>Parque Industrial Lagoinha</v>
      </c>
    </row>
    <row r="3908" customFormat="false" ht="15.75" hidden="false" customHeight="false" outlineLevel="0" collapsed="false">
      <c r="A3908" s="2" t="n">
        <v>209207</v>
      </c>
      <c r="B3908" s="2" t="s">
        <v>3165</v>
      </c>
      <c r="C3908" s="2" t="n">
        <v>3</v>
      </c>
      <c r="D3908" s="2" t="n">
        <v>1</v>
      </c>
      <c r="E3908" s="2" t="n">
        <v>1</v>
      </c>
      <c r="F3908" s="2" t="n">
        <v>97</v>
      </c>
      <c r="G3908" s="2" t="s">
        <v>626</v>
      </c>
      <c r="H3908" s="2" t="str">
        <f aca="false">IFERROR(__xludf.dummyfunction("IF(I3949="""", """", REGEXEXTRACT(I3949, ""Padrao/([^/]+)""))"),"Centro")</f>
        <v>Centro</v>
      </c>
    </row>
    <row r="3909" customFormat="false" ht="15.75" hidden="false" customHeight="false" outlineLevel="0" collapsed="false">
      <c r="A3909" s="2" t="n">
        <v>208247</v>
      </c>
      <c r="B3909" s="2" t="s">
        <v>3089</v>
      </c>
      <c r="C3909" s="2" t="n">
        <v>2</v>
      </c>
      <c r="D3909" s="2" t="n">
        <v>2</v>
      </c>
      <c r="E3909" s="2" t="n">
        <v>1</v>
      </c>
      <c r="F3909" s="2" t="n">
        <v>52</v>
      </c>
      <c r="G3909" s="2" t="s">
        <v>626</v>
      </c>
      <c r="H3909" s="2" t="str">
        <f aca="false">IFERROR(__xludf.dummyfunction("IF(I3950="""", """", REGEXEXTRACT(I3950, ""Padrao/([^/]+)""))"),"Quintas de Sao Jose")</f>
        <v>Quintas de Sao Jose</v>
      </c>
    </row>
    <row r="3910" customFormat="false" ht="15.75" hidden="false" customHeight="false" outlineLevel="0" collapsed="false">
      <c r="A3910" s="2" t="n">
        <v>206597</v>
      </c>
      <c r="B3910" s="2" t="s">
        <v>2640</v>
      </c>
      <c r="C3910" s="2" t="n">
        <v>3</v>
      </c>
      <c r="D3910" s="2" t="n">
        <v>2</v>
      </c>
      <c r="E3910" s="2" t="n">
        <v>1</v>
      </c>
      <c r="F3910" s="2" t="n">
        <v>89</v>
      </c>
      <c r="G3910" s="2" t="s">
        <v>626</v>
      </c>
      <c r="H3910" s="2" t="str">
        <f aca="false">IFERROR(__xludf.dummyfunction("IF(I3951="""", """", REGEXEXTRACT(I3951, ""Padrao/([^/]+)""))"),"Centro")</f>
        <v>Centro</v>
      </c>
    </row>
    <row r="3911" customFormat="false" ht="15.75" hidden="false" customHeight="false" outlineLevel="0" collapsed="false">
      <c r="A3911" s="2" t="n">
        <v>205367</v>
      </c>
      <c r="B3911" s="2" t="s">
        <v>3166</v>
      </c>
      <c r="C3911" s="2" t="n">
        <v>2</v>
      </c>
      <c r="D3911" s="2" t="n">
        <v>2</v>
      </c>
      <c r="E3911" s="2" t="n">
        <v>1</v>
      </c>
      <c r="F3911" s="2" t="n">
        <v>51</v>
      </c>
      <c r="G3911" s="2" t="s">
        <v>626</v>
      </c>
      <c r="H3911" s="2" t="str">
        <f aca="false">IFERROR(__xludf.dummyfunction("IF(I3952="""", """", REGEXEXTRACT(I3952, ""Padrao/([^/]+)""))"),"Quintas de Sao Jose")</f>
        <v>Quintas de Sao Jose</v>
      </c>
    </row>
    <row r="3912" customFormat="false" ht="15.75" hidden="false" customHeight="false" outlineLevel="0" collapsed="false">
      <c r="A3912" s="2" t="n">
        <v>200306</v>
      </c>
      <c r="B3912" s="2" t="s">
        <v>3167</v>
      </c>
      <c r="C3912" s="2" t="n">
        <v>3</v>
      </c>
      <c r="D3912" s="2" t="n">
        <v>2</v>
      </c>
      <c r="E3912" s="2" t="n">
        <v>2</v>
      </c>
      <c r="F3912" s="2" t="n">
        <v>80</v>
      </c>
      <c r="G3912" s="2" t="s">
        <v>626</v>
      </c>
      <c r="H3912" s="2" t="str">
        <f aca="false">IFERROR(__xludf.dummyfunction("IF(I3953="""", """", REGEXEXTRACT(I3953, ""Padrao/([^/]+)""))"),"Residencial e Comercial Palmares")</f>
        <v>Residencial e Comercial Palmares</v>
      </c>
    </row>
    <row r="3913" customFormat="false" ht="15.75" hidden="false" customHeight="false" outlineLevel="0" collapsed="false">
      <c r="A3913" s="2" t="n">
        <v>199994</v>
      </c>
      <c r="B3913" s="2" t="s">
        <v>3168</v>
      </c>
      <c r="C3913" s="2" t="n">
        <v>3</v>
      </c>
      <c r="D3913" s="2" t="n">
        <v>3</v>
      </c>
      <c r="E3913" s="2" t="n">
        <v>2</v>
      </c>
      <c r="F3913" s="2" t="n">
        <v>84</v>
      </c>
      <c r="G3913" s="2" t="s">
        <v>626</v>
      </c>
      <c r="H3913" s="2" t="str">
        <f aca="false">IFERROR(__xludf.dummyfunction("IF(I3954="""", """", REGEXEXTRACT(I3954, ""Padrao/([^/]+)""))"),"Jardim Paulistano")</f>
        <v>Jardim Paulistano</v>
      </c>
    </row>
    <row r="3914" customFormat="false" ht="15.75" hidden="false" customHeight="false" outlineLevel="0" collapsed="false">
      <c r="A3914" s="2" t="n">
        <v>198254</v>
      </c>
      <c r="B3914" s="2" t="s">
        <v>602</v>
      </c>
      <c r="C3914" s="2" t="n">
        <v>3</v>
      </c>
      <c r="D3914" s="2" t="n">
        <v>2</v>
      </c>
      <c r="E3914" s="2" t="n">
        <v>1</v>
      </c>
      <c r="F3914" s="2" t="n">
        <v>123</v>
      </c>
      <c r="G3914" s="2" t="s">
        <v>626</v>
      </c>
      <c r="H3914" s="2" t="str">
        <f aca="false">IFERROR(__xludf.dummyfunction("IF(I3955="""", """", REGEXEXTRACT(I3955, ""Padrao/([^/]+)""))"),"Centro")</f>
        <v>Centro</v>
      </c>
    </row>
    <row r="3915" customFormat="false" ht="15.75" hidden="false" customHeight="false" outlineLevel="0" collapsed="false">
      <c r="A3915" s="2" t="n">
        <v>197369</v>
      </c>
      <c r="B3915" s="2" t="s">
        <v>1611</v>
      </c>
      <c r="C3915" s="2" t="n">
        <v>2</v>
      </c>
      <c r="D3915" s="2" t="n">
        <v>1</v>
      </c>
      <c r="E3915" s="2" t="n">
        <v>1</v>
      </c>
      <c r="F3915" s="2" t="n">
        <v>53</v>
      </c>
      <c r="G3915" s="2" t="s">
        <v>626</v>
      </c>
      <c r="H3915" s="2" t="str">
        <f aca="false">IFERROR(__xludf.dummyfunction("IF(I3956="""", """", REGEXEXTRACT(I3956, ""Padrao/([^/]+)""))"),"Vila Amelia")</f>
        <v>Vila Amelia</v>
      </c>
    </row>
    <row r="3916" customFormat="false" ht="15.75" hidden="false" customHeight="false" outlineLevel="0" collapsed="false">
      <c r="A3916" s="2" t="n">
        <v>195752</v>
      </c>
      <c r="B3916" s="2" t="s">
        <v>2275</v>
      </c>
      <c r="C3916" s="2" t="n">
        <v>3</v>
      </c>
      <c r="D3916" s="2" t="n">
        <v>2</v>
      </c>
      <c r="E3916" s="2" t="n">
        <v>2</v>
      </c>
      <c r="F3916" s="2" t="n">
        <v>104</v>
      </c>
      <c r="G3916" s="2" t="s">
        <v>626</v>
      </c>
      <c r="H3916" s="2" t="str">
        <f aca="false">IFERROR(__xludf.dummyfunction("IF(I3957="""", """", REGEXEXTRACT(I3957, ""Padrao/([^/]+)""))"),"Lagoinha")</f>
        <v>Lagoinha</v>
      </c>
    </row>
    <row r="3917" customFormat="false" ht="15.75" hidden="false" customHeight="false" outlineLevel="0" collapsed="false">
      <c r="A3917" s="2" t="n">
        <v>193475</v>
      </c>
      <c r="B3917" s="2" t="s">
        <v>3169</v>
      </c>
      <c r="C3917" s="2" t="n">
        <v>1</v>
      </c>
      <c r="D3917" s="2" t="n">
        <v>1</v>
      </c>
      <c r="E3917" s="2" t="n">
        <v>1</v>
      </c>
      <c r="F3917" s="2" t="n">
        <v>46</v>
      </c>
      <c r="G3917" s="2" t="s">
        <v>626</v>
      </c>
      <c r="H3917" s="2" t="str">
        <f aca="false">IFERROR(__xludf.dummyfunction("IF(I3958="""", """", REGEXEXTRACT(I3958, ""Padrao/([^/]+)""))"),"Nova Alianca")</f>
        <v>Nova Alianca</v>
      </c>
    </row>
    <row r="3918" customFormat="false" ht="15.75" hidden="false" customHeight="false" outlineLevel="0" collapsed="false">
      <c r="A3918" s="2" t="n">
        <v>193091</v>
      </c>
      <c r="B3918" s="2" t="s">
        <v>3170</v>
      </c>
      <c r="C3918" s="2" t="n">
        <v>2</v>
      </c>
      <c r="D3918" s="2" t="n">
        <v>1</v>
      </c>
      <c r="E3918" s="2" t="n">
        <v>1</v>
      </c>
      <c r="F3918" s="2" t="n">
        <v>67</v>
      </c>
      <c r="G3918" s="2" t="s">
        <v>626</v>
      </c>
      <c r="H3918" s="2" t="str">
        <f aca="false">IFERROR(__xludf.dummyfunction("IF(I3959="""", """", REGEXEXTRACT(I3959, ""Padrao/([^/]+)""))"),"Jardim Manoel Penna")</f>
        <v>Jardim Manoel Penna</v>
      </c>
    </row>
    <row r="3919" customFormat="false" ht="15.75" hidden="false" customHeight="false" outlineLevel="0" collapsed="false">
      <c r="A3919" s="2" t="n">
        <v>192290</v>
      </c>
      <c r="B3919" s="2" t="s">
        <v>3171</v>
      </c>
      <c r="C3919" s="2" t="n">
        <v>3</v>
      </c>
      <c r="D3919" s="2" t="n">
        <v>2</v>
      </c>
      <c r="E3919" s="2" t="n">
        <v>1</v>
      </c>
      <c r="F3919" s="2" t="n">
        <v>96</v>
      </c>
      <c r="G3919" s="2" t="s">
        <v>626</v>
      </c>
      <c r="H3919" s="2" t="str">
        <f aca="false">IFERROR(__xludf.dummyfunction("IF(I3960="""", """", REGEXEXTRACT(I3960, ""Padrao/([^/]+)""))"),"Jardim Paulistano")</f>
        <v>Jardim Paulistano</v>
      </c>
    </row>
    <row r="3920" customFormat="false" ht="15.75" hidden="false" customHeight="false" outlineLevel="0" collapsed="false">
      <c r="A3920" s="2" t="n">
        <v>189656</v>
      </c>
      <c r="B3920" s="2" t="s">
        <v>3172</v>
      </c>
      <c r="C3920" s="2" t="n">
        <v>2</v>
      </c>
      <c r="D3920" s="2" t="n">
        <v>1</v>
      </c>
      <c r="E3920" s="2" t="n">
        <v>1</v>
      </c>
      <c r="F3920" s="2" t="n">
        <v>46</v>
      </c>
      <c r="G3920" s="2" t="s">
        <v>626</v>
      </c>
      <c r="H3920" s="2" t="str">
        <f aca="false">IFERROR(__xludf.dummyfunction("IF(I3961="""", """", REGEXEXTRACT(I3961, ""Padrao/([^/]+)""))"),"Recreio das Acacias")</f>
        <v>Recreio das Acacias</v>
      </c>
    </row>
    <row r="3921" customFormat="false" ht="15.75" hidden="false" customHeight="false" outlineLevel="0" collapsed="false">
      <c r="A3921" s="2" t="n">
        <v>189569</v>
      </c>
      <c r="B3921" s="2" t="s">
        <v>3173</v>
      </c>
      <c r="C3921" s="2" t="n">
        <v>2</v>
      </c>
      <c r="D3921" s="2" t="n">
        <v>1</v>
      </c>
      <c r="E3921" s="2" t="n">
        <v>1</v>
      </c>
      <c r="F3921" s="2" t="n">
        <v>46</v>
      </c>
      <c r="G3921" s="2" t="s">
        <v>626</v>
      </c>
      <c r="H3921" s="2" t="str">
        <f aca="false">IFERROR(__xludf.dummyfunction("IF(I3962="""", """", REGEXEXTRACT(I3962, ""Padrao/([^/]+)""))"),"Recreio das Acacias")</f>
        <v>Recreio das Acacias</v>
      </c>
    </row>
    <row r="3922" customFormat="false" ht="15.75" hidden="false" customHeight="false" outlineLevel="0" collapsed="false">
      <c r="A3922" s="2" t="n">
        <v>187832</v>
      </c>
      <c r="B3922" s="2" t="s">
        <v>3174</v>
      </c>
      <c r="C3922" s="2" t="n">
        <v>1</v>
      </c>
      <c r="D3922" s="2" t="n">
        <v>1</v>
      </c>
      <c r="E3922" s="2" t="n">
        <v>1</v>
      </c>
      <c r="F3922" s="2" t="n">
        <v>44</v>
      </c>
      <c r="G3922" s="2" t="s">
        <v>626</v>
      </c>
      <c r="H3922" s="2" t="str">
        <f aca="false">IFERROR(__xludf.dummyfunction("IF(I3963="""", """", REGEXEXTRACT(I3963, ""Padrao/([^/]+)""))"),"Nova Alianca")</f>
        <v>Nova Alianca</v>
      </c>
    </row>
    <row r="3923" customFormat="false" ht="15.75" hidden="false" customHeight="false" outlineLevel="0" collapsed="false">
      <c r="A3923" s="2" t="n">
        <v>186701</v>
      </c>
      <c r="B3923" s="2" t="s">
        <v>3175</v>
      </c>
      <c r="C3923" s="2" t="n">
        <v>3</v>
      </c>
      <c r="D3923" s="2" t="n">
        <v>2</v>
      </c>
      <c r="E3923" s="2" t="n">
        <v>1</v>
      </c>
      <c r="F3923" s="2" t="n">
        <v>68</v>
      </c>
      <c r="G3923" s="2" t="s">
        <v>626</v>
      </c>
      <c r="H3923" s="2" t="str">
        <f aca="false">IFERROR(__xludf.dummyfunction("IF(I3964="""", """", REGEXEXTRACT(I3964, ""Padrao/([^/]+)""))"),"Parque Industrial Lagoinha")</f>
        <v>Parque Industrial Lagoinha</v>
      </c>
    </row>
    <row r="3924" customFormat="false" ht="15.75" hidden="false" customHeight="false" outlineLevel="0" collapsed="false">
      <c r="A3924" s="2" t="n">
        <v>183296</v>
      </c>
      <c r="B3924" s="2" t="s">
        <v>3176</v>
      </c>
      <c r="C3924" s="2" t="n">
        <v>3</v>
      </c>
      <c r="D3924" s="2" t="n">
        <v>3</v>
      </c>
      <c r="E3924" s="2" t="n">
        <v>1</v>
      </c>
      <c r="F3924" s="2" t="n">
        <v>115</v>
      </c>
      <c r="G3924" s="2" t="s">
        <v>626</v>
      </c>
      <c r="H3924" s="2" t="str">
        <f aca="false">IFERROR(__xludf.dummyfunction("IF(I3965="""", """", REGEXEXTRACT(I3965, ""Padrao/([^/]+)""))"),"Residencial e Comercial Palmares")</f>
        <v>Residencial e Comercial Palmares</v>
      </c>
    </row>
    <row r="3925" customFormat="false" ht="15.75" hidden="false" customHeight="false" outlineLevel="0" collapsed="false">
      <c r="A3925" s="2" t="n">
        <v>183167</v>
      </c>
      <c r="B3925" s="2" t="s">
        <v>3177</v>
      </c>
      <c r="C3925" s="2" t="n">
        <v>1</v>
      </c>
      <c r="D3925" s="2" t="n">
        <v>1</v>
      </c>
      <c r="E3925" s="2" t="n">
        <v>1</v>
      </c>
      <c r="F3925" s="2" t="n">
        <v>43</v>
      </c>
      <c r="G3925" s="2" t="s">
        <v>626</v>
      </c>
      <c r="H3925" s="2" t="str">
        <f aca="false">IFERROR(__xludf.dummyfunction("IF(I3966="""", """", REGEXEXTRACT(I3966, ""Padrao/([^/]+)""))"),"Vila Ana Maria")</f>
        <v>Vila Ana Maria</v>
      </c>
    </row>
    <row r="3926" customFormat="false" ht="15.75" hidden="false" customHeight="false" outlineLevel="0" collapsed="false">
      <c r="A3926" s="2" t="n">
        <v>181181</v>
      </c>
      <c r="B3926" s="2" t="s">
        <v>3178</v>
      </c>
      <c r="C3926" s="2" t="n">
        <v>3</v>
      </c>
      <c r="D3926" s="2" t="n">
        <v>1</v>
      </c>
      <c r="E3926" s="2" t="n">
        <v>1</v>
      </c>
      <c r="F3926" s="2" t="n">
        <v>72</v>
      </c>
      <c r="G3926" s="2" t="s">
        <v>626</v>
      </c>
      <c r="H3926" s="2" t="str">
        <f aca="false">IFERROR(__xludf.dummyfunction("IF(I3967="""", """", REGEXEXTRACT(I3967, ""Padrao/([^/]+)""))"),"Presidente Medici")</f>
        <v>Presidente Medici</v>
      </c>
    </row>
    <row r="3927" customFormat="false" ht="15.75" hidden="false" customHeight="false" outlineLevel="0" collapsed="false">
      <c r="A3927" s="2" t="n">
        <v>175763</v>
      </c>
      <c r="B3927" s="2" t="s">
        <v>3179</v>
      </c>
      <c r="C3927" s="2" t="n">
        <v>3</v>
      </c>
      <c r="D3927" s="2" t="n">
        <v>2</v>
      </c>
      <c r="E3927" s="2" t="n">
        <v>1</v>
      </c>
      <c r="F3927" s="2" t="n">
        <v>72</v>
      </c>
      <c r="G3927" s="2" t="s">
        <v>626</v>
      </c>
      <c r="H3927" s="2" t="str">
        <f aca="false">IFERROR(__xludf.dummyfunction("IF(I3968="""", """", REGEXEXTRACT(I3968, ""Padrao/([^/]+)""))"),"Parque Industrial Lagoinha")</f>
        <v>Parque Industrial Lagoinha</v>
      </c>
    </row>
    <row r="3928" customFormat="false" ht="15.75" hidden="false" customHeight="false" outlineLevel="0" collapsed="false">
      <c r="A3928" s="2" t="n">
        <v>173375</v>
      </c>
      <c r="B3928" s="2" t="s">
        <v>3016</v>
      </c>
      <c r="C3928" s="2" t="n">
        <v>3</v>
      </c>
      <c r="D3928" s="2" t="n">
        <v>2</v>
      </c>
      <c r="E3928" s="2" t="n">
        <v>2</v>
      </c>
      <c r="F3928" s="2" t="n">
        <v>93</v>
      </c>
      <c r="G3928" s="2" t="s">
        <v>626</v>
      </c>
      <c r="H3928" s="2" t="str">
        <f aca="false">IFERROR(__xludf.dummyfunction("IF(I3969="""", """", REGEXEXTRACT(I3969, ""Padrao/([^/]+)""))"),"Parque dos Bandeirantes")</f>
        <v>Parque dos Bandeirantes</v>
      </c>
    </row>
    <row r="3929" customFormat="false" ht="15.75" hidden="false" customHeight="false" outlineLevel="0" collapsed="false">
      <c r="A3929" s="2" t="n">
        <v>173228</v>
      </c>
      <c r="B3929" s="2" t="s">
        <v>3180</v>
      </c>
      <c r="C3929" s="2" t="n">
        <v>3</v>
      </c>
      <c r="D3929" s="2" t="n">
        <v>2</v>
      </c>
      <c r="E3929" s="2" t="n">
        <v>1</v>
      </c>
      <c r="F3929" s="2" t="n">
        <v>78</v>
      </c>
      <c r="G3929" s="2" t="s">
        <v>626</v>
      </c>
      <c r="H3929" s="2" t="str">
        <f aca="false">IFERROR(__xludf.dummyfunction("IF(I3970="""", """", REGEXEXTRACT(I3970, ""Padrao/([^/]+)""))"),"Presidente Medici")</f>
        <v>Presidente Medici</v>
      </c>
    </row>
    <row r="3930" customFormat="false" ht="15.75" hidden="false" customHeight="false" outlineLevel="0" collapsed="false">
      <c r="A3930" s="2" t="n">
        <v>170594</v>
      </c>
      <c r="B3930" s="2" t="s">
        <v>602</v>
      </c>
      <c r="C3930" s="2" t="n">
        <v>3</v>
      </c>
      <c r="D3930" s="2" t="n">
        <v>2</v>
      </c>
      <c r="E3930" s="2" t="n">
        <v>1</v>
      </c>
      <c r="F3930" s="2" t="n">
        <v>90</v>
      </c>
      <c r="G3930" s="2" t="s">
        <v>626</v>
      </c>
      <c r="H3930" s="2" t="str">
        <f aca="false">IFERROR(__xludf.dummyfunction("IF(I3971="""", """", REGEXEXTRACT(I3971, ""Padrao/([^/]+)""))"),"Centro")</f>
        <v>Centro</v>
      </c>
    </row>
    <row r="3931" customFormat="false" ht="15.75" hidden="false" customHeight="false" outlineLevel="0" collapsed="false">
      <c r="A3931" s="2" t="n">
        <v>169424</v>
      </c>
      <c r="B3931" s="2" t="s">
        <v>3181</v>
      </c>
      <c r="C3931" s="2" t="n">
        <v>3</v>
      </c>
      <c r="D3931" s="2" t="n">
        <v>3</v>
      </c>
      <c r="E3931" s="2" t="n">
        <v>1</v>
      </c>
      <c r="F3931" s="2" t="n">
        <v>98</v>
      </c>
      <c r="G3931" s="2" t="s">
        <v>626</v>
      </c>
      <c r="H3931" s="2" t="str">
        <f aca="false">IFERROR(__xludf.dummyfunction("IF(I3972="""", """", REGEXEXTRACT(I3972, ""Padrao/([^/]+)""))"),"Jardim Iraja")</f>
        <v>Jardim Iraja</v>
      </c>
    </row>
    <row r="3932" customFormat="false" ht="15.75" hidden="false" customHeight="false" outlineLevel="0" collapsed="false">
      <c r="A3932" s="2" t="n">
        <v>167183</v>
      </c>
      <c r="B3932" s="2" t="s">
        <v>1648</v>
      </c>
      <c r="C3932" s="2" t="n">
        <v>1</v>
      </c>
      <c r="D3932" s="2" t="n">
        <v>1</v>
      </c>
      <c r="E3932" s="2" t="n">
        <v>1</v>
      </c>
      <c r="F3932" s="2" t="n">
        <v>45</v>
      </c>
      <c r="G3932" s="2" t="s">
        <v>626</v>
      </c>
      <c r="H3932" s="2" t="str">
        <f aca="false">IFERROR(__xludf.dummyfunction("IF(I3973="""", """", REGEXEXTRACT(I3973, ""Padrao/([^/]+)""))"),"Nova Alianca")</f>
        <v>Nova Alianca</v>
      </c>
    </row>
    <row r="3933" customFormat="false" ht="15.75" hidden="false" customHeight="false" outlineLevel="0" collapsed="false">
      <c r="A3933" s="2" t="n">
        <v>164081</v>
      </c>
      <c r="B3933" s="2" t="s">
        <v>900</v>
      </c>
      <c r="C3933" s="2" t="n">
        <v>2</v>
      </c>
      <c r="D3933" s="2" t="n">
        <v>1</v>
      </c>
      <c r="E3933" s="2" t="n">
        <v>1</v>
      </c>
      <c r="F3933" s="2" t="n">
        <v>53</v>
      </c>
      <c r="G3933" s="2" t="s">
        <v>626</v>
      </c>
      <c r="H3933" s="2" t="str">
        <f aca="false">IFERROR(__xludf.dummyfunction("IF(I3974="""", """", REGEXEXTRACT(I3974, ""Padrao/([^/]+)""))"),"Jardim Zara")</f>
        <v>Jardim Zara</v>
      </c>
    </row>
    <row r="3934" customFormat="false" ht="15.75" hidden="false" customHeight="false" outlineLevel="0" collapsed="false">
      <c r="A3934" s="2" t="n">
        <v>160235</v>
      </c>
      <c r="B3934" s="2" t="s">
        <v>1780</v>
      </c>
      <c r="C3934" s="2" t="n">
        <v>3</v>
      </c>
      <c r="D3934" s="2" t="n">
        <v>2</v>
      </c>
      <c r="E3934" s="2" t="n">
        <v>1</v>
      </c>
      <c r="F3934" s="2" t="n">
        <v>108</v>
      </c>
      <c r="G3934" s="2" t="s">
        <v>626</v>
      </c>
      <c r="H3934" s="2" t="str">
        <f aca="false">IFERROR(__xludf.dummyfunction("IF(I3975="""", """", REGEXEXTRACT(I3975, ""Padrao/([^/]+)""))"),"Vila Monte Alegre")</f>
        <v>Vila Monte Alegre</v>
      </c>
    </row>
    <row r="3935" customFormat="false" ht="15.75" hidden="false" customHeight="false" outlineLevel="0" collapsed="false">
      <c r="A3935" s="2" t="n">
        <v>160232</v>
      </c>
      <c r="B3935" s="2" t="s">
        <v>1780</v>
      </c>
      <c r="C3935" s="2" t="n">
        <v>3</v>
      </c>
      <c r="D3935" s="2" t="n">
        <v>2</v>
      </c>
      <c r="E3935" s="2" t="n">
        <v>1</v>
      </c>
      <c r="F3935" s="2" t="n">
        <v>108</v>
      </c>
      <c r="G3935" s="2" t="s">
        <v>626</v>
      </c>
      <c r="H3935" s="2" t="str">
        <f aca="false">IFERROR(__xludf.dummyfunction("IF(I3976="""", """", REGEXEXTRACT(I3976, ""Padrao/([^/]+)""))"),"Vila Monte Alegre")</f>
        <v>Vila Monte Alegre</v>
      </c>
    </row>
    <row r="3936" customFormat="false" ht="15.75" hidden="false" customHeight="false" outlineLevel="0" collapsed="false">
      <c r="A3936" s="2" t="n">
        <v>160229</v>
      </c>
      <c r="B3936" s="2" t="s">
        <v>1780</v>
      </c>
      <c r="C3936" s="2" t="n">
        <v>3</v>
      </c>
      <c r="D3936" s="2" t="n">
        <v>2</v>
      </c>
      <c r="E3936" s="2" t="n">
        <v>1</v>
      </c>
      <c r="F3936" s="2" t="n">
        <v>108</v>
      </c>
      <c r="G3936" s="2" t="s">
        <v>626</v>
      </c>
      <c r="H3936" s="2" t="str">
        <f aca="false">IFERROR(__xludf.dummyfunction("IF(I3977="""", """", REGEXEXTRACT(I3977, ""Padrao/([^/]+)""))"),"Vila Monte Alegre")</f>
        <v>Vila Monte Alegre</v>
      </c>
    </row>
    <row r="3937" customFormat="false" ht="15.75" hidden="false" customHeight="false" outlineLevel="0" collapsed="false">
      <c r="A3937" s="2" t="n">
        <v>158114</v>
      </c>
      <c r="B3937" s="2" t="s">
        <v>3182</v>
      </c>
      <c r="C3937" s="2" t="n">
        <v>2</v>
      </c>
      <c r="D3937" s="2" t="n">
        <v>1</v>
      </c>
      <c r="E3937" s="2" t="n">
        <v>1</v>
      </c>
      <c r="F3937" s="2" t="n">
        <v>57</v>
      </c>
      <c r="G3937" s="2" t="s">
        <v>626</v>
      </c>
      <c r="H3937" s="2" t="str">
        <f aca="false">IFERROR(__xludf.dummyfunction("IF(I3978="""", """", REGEXEXTRACT(I3978, ""Padrao/([^/]+)""))"),"Ipiranga")</f>
        <v>Ipiranga</v>
      </c>
    </row>
    <row r="3938" customFormat="false" ht="15.75" hidden="false" customHeight="false" outlineLevel="0" collapsed="false">
      <c r="A3938" s="2" t="n">
        <v>156011</v>
      </c>
      <c r="B3938" s="2" t="s">
        <v>3183</v>
      </c>
      <c r="C3938" s="2" t="n">
        <v>3</v>
      </c>
      <c r="D3938" s="2" t="n">
        <v>2</v>
      </c>
      <c r="E3938" s="2" t="n">
        <v>1</v>
      </c>
      <c r="F3938" s="2" t="n">
        <v>92</v>
      </c>
      <c r="G3938" s="2" t="s">
        <v>626</v>
      </c>
      <c r="H3938" s="2" t="str">
        <f aca="false">IFERROR(__xludf.dummyfunction("IF(I3979="""", """", REGEXEXTRACT(I3979, ""Padrao/([^/]+)""))"),"Jardim Palma Travassos")</f>
        <v>Jardim Palma Travassos</v>
      </c>
    </row>
    <row r="3939" customFormat="false" ht="15.75" hidden="false" customHeight="false" outlineLevel="0" collapsed="false">
      <c r="A3939" s="2" t="n">
        <v>152075</v>
      </c>
      <c r="B3939" s="2" t="s">
        <v>3184</v>
      </c>
      <c r="C3939" s="2" t="n">
        <v>3</v>
      </c>
      <c r="D3939" s="2" t="n">
        <v>3</v>
      </c>
      <c r="E3939" s="2" t="n">
        <v>2</v>
      </c>
      <c r="F3939" s="2" t="n">
        <v>93</v>
      </c>
      <c r="G3939" s="2" t="s">
        <v>626</v>
      </c>
      <c r="H3939" s="2" t="str">
        <f aca="false">IFERROR(__xludf.dummyfunction("IF(I3980="""", """", REGEXEXTRACT(I3980, ""Padrao/([^/]+)""))"),"Presidente Medici")</f>
        <v>Presidente Medici</v>
      </c>
    </row>
    <row r="3940" customFormat="false" ht="15.75" hidden="false" customHeight="false" outlineLevel="0" collapsed="false">
      <c r="A3940" s="2" t="n">
        <v>150167</v>
      </c>
      <c r="B3940" s="2" t="s">
        <v>3185</v>
      </c>
      <c r="C3940" s="2" t="n">
        <v>3</v>
      </c>
      <c r="D3940" s="2" t="n">
        <v>2</v>
      </c>
      <c r="E3940" s="2" t="n">
        <v>1</v>
      </c>
      <c r="F3940" s="2" t="n">
        <v>89</v>
      </c>
      <c r="G3940" s="2" t="s">
        <v>626</v>
      </c>
      <c r="H3940" s="2" t="str">
        <f aca="false">IFERROR(__xludf.dummyfunction("IF(I3981="""", """", REGEXEXTRACT(I3981, ""Padrao/([^/]+)""))"),"Residencial e Comercial Palmares")</f>
        <v>Residencial e Comercial Palmares</v>
      </c>
    </row>
    <row r="3941" customFormat="false" ht="15.75" hidden="false" customHeight="false" outlineLevel="0" collapsed="false">
      <c r="A3941" s="2" t="n">
        <v>149456</v>
      </c>
      <c r="B3941" s="2" t="s">
        <v>3186</v>
      </c>
      <c r="C3941" s="2" t="n">
        <v>3</v>
      </c>
      <c r="D3941" s="2" t="n">
        <v>2</v>
      </c>
      <c r="E3941" s="2" t="n">
        <v>1</v>
      </c>
      <c r="F3941" s="2" t="n">
        <v>109</v>
      </c>
      <c r="G3941" s="2" t="s">
        <v>626</v>
      </c>
      <c r="H3941" s="2" t="str">
        <f aca="false">IFERROR(__xludf.dummyfunction("IF(I3982="""", """", REGEXEXTRACT(I3982, ""Padrao/([^/]+)""))"),"Ipiranga")</f>
        <v>Ipiranga</v>
      </c>
    </row>
    <row r="3942" customFormat="false" ht="15.75" hidden="false" customHeight="false" outlineLevel="0" collapsed="false">
      <c r="A3942" s="2" t="n">
        <v>149318</v>
      </c>
      <c r="B3942" s="2" t="s">
        <v>386</v>
      </c>
      <c r="C3942" s="2" t="n">
        <v>2</v>
      </c>
      <c r="D3942" s="2" t="n">
        <v>1</v>
      </c>
      <c r="E3942" s="2" t="n">
        <v>2</v>
      </c>
      <c r="F3942" s="2" t="n">
        <v>82</v>
      </c>
      <c r="G3942" s="2" t="s">
        <v>626</v>
      </c>
      <c r="H3942" s="2" t="str">
        <f aca="false">IFERROR(__xludf.dummyfunction("IF(I3983="""", """", REGEXEXTRACT(I3983, ""Padrao/([^/]+)""))"),"Residencial e Comercial Palmares")</f>
        <v>Residencial e Comercial Palmares</v>
      </c>
    </row>
    <row r="3943" customFormat="false" ht="15.75" hidden="false" customHeight="false" outlineLevel="0" collapsed="false">
      <c r="A3943" s="2" t="n">
        <v>147779</v>
      </c>
      <c r="B3943" s="2" t="s">
        <v>3187</v>
      </c>
      <c r="C3943" s="2" t="n">
        <v>1</v>
      </c>
      <c r="D3943" s="2" t="n">
        <v>1</v>
      </c>
      <c r="E3943" s="2" t="n">
        <v>1</v>
      </c>
      <c r="F3943" s="2" t="n">
        <v>49</v>
      </c>
      <c r="G3943" s="2" t="s">
        <v>626</v>
      </c>
      <c r="H3943" s="2" t="str">
        <f aca="false">IFERROR(__xludf.dummyfunction("IF(I3984="""", """", REGEXEXTRACT(I3984, ""Padrao/([^/]+)""))"),"Centro")</f>
        <v>Centro</v>
      </c>
    </row>
    <row r="3944" customFormat="false" ht="15.75" hidden="false" customHeight="false" outlineLevel="0" collapsed="false">
      <c r="A3944" s="2" t="n">
        <v>147179</v>
      </c>
      <c r="B3944" s="2" t="s">
        <v>3188</v>
      </c>
      <c r="C3944" s="2" t="n">
        <v>3</v>
      </c>
      <c r="D3944" s="2" t="n">
        <v>3</v>
      </c>
      <c r="E3944" s="2" t="n">
        <v>2</v>
      </c>
      <c r="F3944" s="2" t="n">
        <v>99</v>
      </c>
      <c r="G3944" s="2" t="s">
        <v>626</v>
      </c>
      <c r="H3944" s="2" t="str">
        <f aca="false">IFERROR(__xludf.dummyfunction("IF(I3985="""", """", REGEXEXTRACT(I3985, ""Padrao/([^/]+)""))"),"Parque dos Bandeirantes")</f>
        <v>Parque dos Bandeirantes</v>
      </c>
    </row>
    <row r="3945" customFormat="false" ht="15.75" hidden="false" customHeight="false" outlineLevel="0" collapsed="false">
      <c r="A3945" s="2" t="n">
        <v>145679</v>
      </c>
      <c r="B3945" s="2" t="s">
        <v>3189</v>
      </c>
      <c r="C3945" s="2" t="n">
        <v>1</v>
      </c>
      <c r="D3945" s="2" t="n">
        <v>1</v>
      </c>
      <c r="E3945" s="2" t="n">
        <v>1</v>
      </c>
      <c r="F3945" s="2" t="n">
        <v>32</v>
      </c>
      <c r="G3945" s="2" t="s">
        <v>626</v>
      </c>
      <c r="H3945" s="2" t="str">
        <f aca="false">IFERROR(__xludf.dummyfunction("IF(I3986="""", """", REGEXEXTRACT(I3986, ""Padrao/([^/]+)""))"),"Nova Ribeirania")</f>
        <v>Nova Ribeirania</v>
      </c>
    </row>
    <row r="3946" customFormat="false" ht="15.75" hidden="false" customHeight="false" outlineLevel="0" collapsed="false">
      <c r="A3946" s="2" t="n">
        <v>145619</v>
      </c>
      <c r="B3946" s="2" t="s">
        <v>3190</v>
      </c>
      <c r="C3946" s="2" t="n">
        <v>2</v>
      </c>
      <c r="D3946" s="2" t="n">
        <v>2</v>
      </c>
      <c r="E3946" s="2" t="n">
        <v>2</v>
      </c>
      <c r="F3946" s="2" t="n">
        <v>59</v>
      </c>
      <c r="G3946" s="2" t="s">
        <v>626</v>
      </c>
      <c r="H3946" s="2" t="str">
        <f aca="false">IFERROR(__xludf.dummyfunction("IF(I3987="""", """", REGEXEXTRACT(I3987, ""Padrao/([^/]+)""))"),"Jardim Paulista")</f>
        <v>Jardim Paulista</v>
      </c>
    </row>
    <row r="3947" customFormat="false" ht="15.75" hidden="false" customHeight="false" outlineLevel="0" collapsed="false">
      <c r="A3947" s="2" t="n">
        <v>145598</v>
      </c>
      <c r="B3947" s="2" t="s">
        <v>3191</v>
      </c>
      <c r="C3947" s="2" t="n">
        <v>3</v>
      </c>
      <c r="D3947" s="2" t="n">
        <v>3</v>
      </c>
      <c r="E3947" s="2" t="n">
        <v>1</v>
      </c>
      <c r="F3947" s="2" t="n">
        <v>89</v>
      </c>
      <c r="G3947" s="2" t="s">
        <v>626</v>
      </c>
      <c r="H3947" s="2" t="str">
        <f aca="false">IFERROR(__xludf.dummyfunction("IF(I3988="""", """", REGEXEXTRACT(I3988, ""Padrao/([^/]+)""))"),"Centro")</f>
        <v>Centro</v>
      </c>
    </row>
    <row r="3948" customFormat="false" ht="15.75" hidden="false" customHeight="false" outlineLevel="0" collapsed="false">
      <c r="A3948" s="2" t="n">
        <v>138272</v>
      </c>
      <c r="B3948" s="2" t="s">
        <v>900</v>
      </c>
      <c r="C3948" s="2" t="n">
        <v>3</v>
      </c>
      <c r="D3948" s="2" t="n">
        <v>2</v>
      </c>
      <c r="E3948" s="2" t="n">
        <v>1</v>
      </c>
      <c r="F3948" s="2" t="n">
        <v>78</v>
      </c>
      <c r="G3948" s="2" t="s">
        <v>626</v>
      </c>
      <c r="H3948" s="2" t="str">
        <f aca="false">IFERROR(__xludf.dummyfunction("IF(I3989="""", """", REGEXEXTRACT(I3989, ""Padrao/([^/]+)""))"),"Jardim Zara")</f>
        <v>Jardim Zara</v>
      </c>
    </row>
    <row r="3949" customFormat="false" ht="15.75" hidden="false" customHeight="false" outlineLevel="0" collapsed="false">
      <c r="A3949" s="2" t="n">
        <v>137288</v>
      </c>
      <c r="B3949" s="2" t="s">
        <v>2000</v>
      </c>
      <c r="C3949" s="2" t="n">
        <v>2</v>
      </c>
      <c r="D3949" s="2" t="n">
        <v>2</v>
      </c>
      <c r="E3949" s="2" t="n">
        <v>2</v>
      </c>
      <c r="F3949" s="2" t="n">
        <v>70</v>
      </c>
      <c r="G3949" s="2" t="s">
        <v>626</v>
      </c>
      <c r="H3949" s="2" t="str">
        <f aca="false">IFERROR(__xludf.dummyfunction("IF(I3990="""", """", REGEXEXTRACT(I3990, ""Padrao/([^/]+)""))"),"Jardim Botanico")</f>
        <v>Jardim Botanico</v>
      </c>
    </row>
    <row r="3950" customFormat="false" ht="15.75" hidden="false" customHeight="false" outlineLevel="0" collapsed="false">
      <c r="A3950" s="2" t="n">
        <v>137207</v>
      </c>
      <c r="B3950" s="2" t="s">
        <v>3192</v>
      </c>
      <c r="C3950" s="2" t="n">
        <v>2</v>
      </c>
      <c r="D3950" s="2" t="n">
        <v>2</v>
      </c>
      <c r="E3950" s="2" t="n">
        <v>1</v>
      </c>
      <c r="F3950" s="2" t="n">
        <v>59</v>
      </c>
      <c r="G3950" s="2" t="s">
        <v>626</v>
      </c>
      <c r="H3950" s="2" t="str">
        <f aca="false">IFERROR(__xludf.dummyfunction("IF(I3991="""", """", REGEXEXTRACT(I3991, ""Padrao/([^/]+)""))"),"Jardim Zara")</f>
        <v>Jardim Zara</v>
      </c>
    </row>
    <row r="3951" customFormat="false" ht="15.75" hidden="false" customHeight="false" outlineLevel="0" collapsed="false">
      <c r="A3951" s="2" t="n">
        <v>135503</v>
      </c>
      <c r="B3951" s="2" t="s">
        <v>3193</v>
      </c>
      <c r="C3951" s="2" t="n">
        <v>2</v>
      </c>
      <c r="D3951" s="2" t="n">
        <v>2</v>
      </c>
      <c r="E3951" s="2" t="n">
        <v>1</v>
      </c>
      <c r="F3951" s="2" t="n">
        <v>91</v>
      </c>
      <c r="G3951" s="2" t="s">
        <v>626</v>
      </c>
      <c r="H3951" s="2" t="str">
        <f aca="false">IFERROR(__xludf.dummyfunction("IF(I3992="""", """", REGEXEXTRACT(I3992, ""Padrao/([^/]+)""))"),"Jardim Botanico")</f>
        <v>Jardim Botanico</v>
      </c>
    </row>
    <row r="3952" customFormat="false" ht="15.75" hidden="false" customHeight="false" outlineLevel="0" collapsed="false">
      <c r="A3952" s="2" t="n">
        <v>134048</v>
      </c>
      <c r="B3952" s="2" t="s">
        <v>3194</v>
      </c>
      <c r="C3952" s="2" t="n">
        <v>3</v>
      </c>
      <c r="D3952" s="2" t="n">
        <v>3</v>
      </c>
      <c r="E3952" s="2" t="n">
        <v>2</v>
      </c>
      <c r="F3952" s="2" t="n">
        <v>77</v>
      </c>
      <c r="G3952" s="2" t="s">
        <v>626</v>
      </c>
      <c r="H3952" s="2" t="str">
        <f aca="false">IFERROR(__xludf.dummyfunction("IF(I3993="""", """", REGEXEXTRACT(I3993, ""Padrao/([^/]+)""))"),"Vila Ana Maria")</f>
        <v>Vila Ana Maria</v>
      </c>
    </row>
    <row r="3953" customFormat="false" ht="15.75" hidden="false" customHeight="false" outlineLevel="0" collapsed="false">
      <c r="A3953" s="2" t="n">
        <v>133811</v>
      </c>
      <c r="B3953" s="2" t="s">
        <v>162</v>
      </c>
      <c r="C3953" s="2" t="n">
        <v>1</v>
      </c>
      <c r="D3953" s="2" t="n">
        <v>1</v>
      </c>
      <c r="E3953" s="2" t="n">
        <v>1</v>
      </c>
      <c r="F3953" s="2" t="n">
        <v>45</v>
      </c>
      <c r="G3953" s="2" t="s">
        <v>626</v>
      </c>
      <c r="H3953" s="2" t="str">
        <f aca="false">IFERROR(__xludf.dummyfunction("IF(I3994="""", """", REGEXEXTRACT(I3994, ""Padrao/([^/]+)""))"),"Ribeirania")</f>
        <v>Ribeirania</v>
      </c>
    </row>
    <row r="3954" customFormat="false" ht="15.75" hidden="false" customHeight="false" outlineLevel="0" collapsed="false">
      <c r="A3954" s="2" t="n">
        <v>132443</v>
      </c>
      <c r="B3954" s="2" t="s">
        <v>3195</v>
      </c>
      <c r="C3954" s="2" t="n">
        <v>3</v>
      </c>
      <c r="D3954" s="2" t="n">
        <v>3</v>
      </c>
      <c r="E3954" s="2" t="n">
        <v>1</v>
      </c>
      <c r="F3954" s="2" t="n">
        <v>100</v>
      </c>
      <c r="G3954" s="2" t="s">
        <v>626</v>
      </c>
      <c r="H3954" s="2" t="str">
        <f aca="false">IFERROR(__xludf.dummyfunction("IF(I3995="""", """", REGEXEXTRACT(I3995, ""Padrao/([^/]+)""))"),"Centro")</f>
        <v>Centro</v>
      </c>
    </row>
    <row r="3955" customFormat="false" ht="15.75" hidden="false" customHeight="false" outlineLevel="0" collapsed="false">
      <c r="A3955" s="2" t="n">
        <v>131969</v>
      </c>
      <c r="B3955" s="2" t="s">
        <v>162</v>
      </c>
      <c r="C3955" s="2" t="n">
        <v>3</v>
      </c>
      <c r="D3955" s="2" t="n">
        <v>2</v>
      </c>
      <c r="E3955" s="2" t="n">
        <v>1</v>
      </c>
      <c r="F3955" s="2" t="n">
        <v>103</v>
      </c>
      <c r="G3955" s="2" t="s">
        <v>626</v>
      </c>
      <c r="H3955" s="2" t="str">
        <f aca="false">IFERROR(__xludf.dummyfunction("IF(I3996="""", """", REGEXEXTRACT(I3996, ""Padrao/([^/]+)""))"),"Vila Maria Luiza")</f>
        <v>Vila Maria Luiza</v>
      </c>
    </row>
    <row r="3956" customFormat="false" ht="15.75" hidden="false" customHeight="false" outlineLevel="0" collapsed="false">
      <c r="A3956" s="2" t="n">
        <v>131966</v>
      </c>
      <c r="B3956" s="2" t="s">
        <v>162</v>
      </c>
      <c r="C3956" s="2" t="n">
        <v>3</v>
      </c>
      <c r="D3956" s="2" t="n">
        <v>2</v>
      </c>
      <c r="E3956" s="2" t="n">
        <v>1</v>
      </c>
      <c r="F3956" s="2" t="n">
        <v>103</v>
      </c>
      <c r="G3956" s="2" t="s">
        <v>626</v>
      </c>
      <c r="H3956" s="2" t="str">
        <f aca="false">IFERROR(__xludf.dummyfunction("IF(I3997="""", """", REGEXEXTRACT(I3997, ""Padrao/([^/]+)""))"),"Vila Maria Luiza")</f>
        <v>Vila Maria Luiza</v>
      </c>
    </row>
    <row r="3957" customFormat="false" ht="15.75" hidden="false" customHeight="false" outlineLevel="0" collapsed="false">
      <c r="A3957" s="2" t="n">
        <v>130145</v>
      </c>
      <c r="B3957" s="2" t="s">
        <v>3196</v>
      </c>
      <c r="C3957" s="2" t="n">
        <v>2</v>
      </c>
      <c r="D3957" s="2" t="n">
        <v>3</v>
      </c>
      <c r="E3957" s="2" t="n">
        <v>1</v>
      </c>
      <c r="F3957" s="2" t="n">
        <v>79</v>
      </c>
      <c r="G3957" s="2" t="s">
        <v>626</v>
      </c>
      <c r="H3957" s="2" t="str">
        <f aca="false">IFERROR(__xludf.dummyfunction("IF(I3998="""", """", REGEXEXTRACT(I3998, ""Padrao/([^/]+)""))"),"Centro")</f>
        <v>Centro</v>
      </c>
    </row>
    <row r="3958" customFormat="false" ht="15.75" hidden="false" customHeight="false" outlineLevel="0" collapsed="false">
      <c r="A3958" s="2" t="n">
        <v>128792</v>
      </c>
      <c r="B3958" s="2" t="s">
        <v>3197</v>
      </c>
      <c r="C3958" s="2" t="n">
        <v>2</v>
      </c>
      <c r="D3958" s="2" t="n">
        <v>2</v>
      </c>
      <c r="E3958" s="2" t="n">
        <v>1</v>
      </c>
      <c r="F3958" s="2" t="n">
        <v>73</v>
      </c>
      <c r="G3958" s="2" t="s">
        <v>626</v>
      </c>
      <c r="H3958" s="2" t="str">
        <f aca="false">IFERROR(__xludf.dummyfunction("IF(I3999="""", """", REGEXEXTRACT(I3999, ""Padrao/([^/]+)""))"),"Parque dos Lagos")</f>
        <v>Parque dos Lagos</v>
      </c>
    </row>
    <row r="3959" customFormat="false" ht="15.75" hidden="false" customHeight="false" outlineLevel="0" collapsed="false">
      <c r="A3959" s="2" t="n">
        <v>122753</v>
      </c>
      <c r="B3959" s="2" t="s">
        <v>162</v>
      </c>
      <c r="C3959" s="2" t="n">
        <v>3</v>
      </c>
      <c r="D3959" s="2" t="n">
        <v>2</v>
      </c>
      <c r="E3959" s="2" t="n">
        <v>1</v>
      </c>
      <c r="F3959" s="2" t="n">
        <v>64</v>
      </c>
      <c r="G3959" s="2" t="s">
        <v>626</v>
      </c>
      <c r="H3959" s="2" t="str">
        <f aca="false">IFERROR(__xludf.dummyfunction("IF(I4000="""", """", REGEXEXTRACT(I4000, ""Padrao/([^/]+)""))"),"Jardim Palma Travassos")</f>
        <v>Jardim Palma Travassos</v>
      </c>
    </row>
    <row r="3960" customFormat="false" ht="15.75" hidden="false" customHeight="false" outlineLevel="0" collapsed="false">
      <c r="A3960" s="2" t="n">
        <v>120617</v>
      </c>
      <c r="B3960" s="2" t="s">
        <v>3198</v>
      </c>
      <c r="C3960" s="2" t="n">
        <v>2</v>
      </c>
      <c r="D3960" s="2" t="n">
        <v>3</v>
      </c>
      <c r="E3960" s="2" t="n">
        <v>1</v>
      </c>
      <c r="F3960" s="2" t="n">
        <v>111</v>
      </c>
      <c r="G3960" s="2" t="s">
        <v>626</v>
      </c>
      <c r="H3960" s="2" t="str">
        <f aca="false">IFERROR(__xludf.dummyfunction("IF(I4001="""", """", REGEXEXTRACT(I4001, ""Padrao/([^/]+)""))"),"Centro")</f>
        <v>Centro</v>
      </c>
    </row>
    <row r="3961" customFormat="false" ht="15.75" hidden="false" customHeight="false" outlineLevel="0" collapsed="false">
      <c r="A3961" s="2" t="n">
        <v>109196</v>
      </c>
      <c r="B3961" s="2" t="s">
        <v>3199</v>
      </c>
      <c r="C3961" s="2" t="n">
        <v>2</v>
      </c>
      <c r="D3961" s="2" t="n">
        <v>2</v>
      </c>
      <c r="E3961" s="2" t="n">
        <v>1</v>
      </c>
      <c r="F3961" s="2" t="n">
        <v>67</v>
      </c>
      <c r="G3961" s="2" t="s">
        <v>626</v>
      </c>
      <c r="H3961" s="2" t="str">
        <f aca="false">IFERROR(__xludf.dummyfunction("IF(I4002="""", """", REGEXEXTRACT(I4002, ""Padrao/([^/]+)""))"),"Alto da Boa Vista")</f>
        <v>Alto da Boa Vista</v>
      </c>
    </row>
    <row r="3962" customFormat="false" ht="15.75" hidden="false" customHeight="false" outlineLevel="0" collapsed="false">
      <c r="A3962" s="2" t="n">
        <v>107357</v>
      </c>
      <c r="B3962" s="2" t="s">
        <v>3200</v>
      </c>
      <c r="C3962" s="2" t="n">
        <v>2</v>
      </c>
      <c r="D3962" s="2" t="n">
        <v>2</v>
      </c>
      <c r="E3962" s="2" t="n">
        <v>2</v>
      </c>
      <c r="F3962" s="2" t="n">
        <v>66</v>
      </c>
      <c r="G3962" s="2" t="s">
        <v>626</v>
      </c>
      <c r="H3962" s="2" t="str">
        <f aca="false">IFERROR(__xludf.dummyfunction("IF(I4003="""", """", REGEXEXTRACT(I4003, ""Padrao/([^/]+)""))"),"Vila Ana Maria")</f>
        <v>Vila Ana Maria</v>
      </c>
    </row>
    <row r="3963" customFormat="false" ht="15.75" hidden="false" customHeight="false" outlineLevel="0" collapsed="false">
      <c r="A3963" s="2" t="n">
        <v>104747</v>
      </c>
      <c r="B3963" s="2" t="s">
        <v>3201</v>
      </c>
      <c r="C3963" s="2" t="n">
        <v>3</v>
      </c>
      <c r="D3963" s="2" t="n">
        <v>2</v>
      </c>
      <c r="E3963" s="2" t="n">
        <v>1</v>
      </c>
      <c r="F3963" s="2" t="n">
        <v>120</v>
      </c>
      <c r="G3963" s="2" t="s">
        <v>626</v>
      </c>
      <c r="H3963" s="2" t="str">
        <f aca="false">IFERROR(__xludf.dummyfunction("IF(I4004="""", """", REGEXEXTRACT(I4004, ""Padrao/([^/]+)""))"),"Jardim Paulista")</f>
        <v>Jardim Paulista</v>
      </c>
    </row>
    <row r="3964" customFormat="false" ht="15.75" hidden="false" customHeight="false" outlineLevel="0" collapsed="false">
      <c r="A3964" s="2" t="n">
        <v>102638</v>
      </c>
      <c r="B3964" s="2" t="s">
        <v>3202</v>
      </c>
      <c r="C3964" s="2" t="n">
        <v>2</v>
      </c>
      <c r="D3964" s="2" t="n">
        <v>2</v>
      </c>
      <c r="E3964" s="2" t="n">
        <v>1</v>
      </c>
      <c r="F3964" s="2" t="n">
        <v>68</v>
      </c>
      <c r="G3964" s="2" t="s">
        <v>626</v>
      </c>
      <c r="H3964" s="2" t="str">
        <f aca="false">IFERROR(__xludf.dummyfunction("IF(I4005="""", """", REGEXEXTRACT(I4005, ""Padrao/([^/]+)""))"),"Centro")</f>
        <v>Centro</v>
      </c>
    </row>
    <row r="3965" customFormat="false" ht="15.75" hidden="false" customHeight="false" outlineLevel="0" collapsed="false">
      <c r="A3965" s="2" t="n">
        <v>102554</v>
      </c>
      <c r="B3965" s="2" t="s">
        <v>162</v>
      </c>
      <c r="C3965" s="2" t="n">
        <v>2</v>
      </c>
      <c r="D3965" s="2" t="n">
        <v>2</v>
      </c>
      <c r="E3965" s="2" t="n">
        <v>2</v>
      </c>
      <c r="F3965" s="2" t="n">
        <v>62</v>
      </c>
      <c r="G3965" s="2" t="s">
        <v>626</v>
      </c>
      <c r="H3965" s="2" t="str">
        <f aca="false">IFERROR(__xludf.dummyfunction("IF(I4006="""", """", REGEXEXTRACT(I4006, ""Padrao/([^/]+)""))"),"Vila Ana Maria")</f>
        <v>Vila Ana Maria</v>
      </c>
    </row>
    <row r="3966" customFormat="false" ht="15.75" hidden="false" customHeight="false" outlineLevel="0" collapsed="false">
      <c r="A3966" s="2" t="n">
        <v>101096</v>
      </c>
      <c r="B3966" s="2" t="s">
        <v>162</v>
      </c>
      <c r="C3966" s="2" t="n">
        <v>2</v>
      </c>
      <c r="D3966" s="2" t="n">
        <v>2</v>
      </c>
      <c r="E3966" s="2" t="n">
        <v>1</v>
      </c>
      <c r="F3966" s="2" t="n">
        <v>90</v>
      </c>
      <c r="G3966" s="2" t="s">
        <v>626</v>
      </c>
      <c r="H3966" s="2" t="str">
        <f aca="false">IFERROR(__xludf.dummyfunction("IF(I4007="""", """", REGEXEXTRACT(I4007, ""Padrao/([^/]+)""))"),"Residencial e Comercial Palmares")</f>
        <v>Residencial e Comercial Palmares</v>
      </c>
    </row>
    <row r="3967" customFormat="false" ht="15.75" hidden="false" customHeight="false" outlineLevel="0" collapsed="false">
      <c r="A3967" s="2" t="n">
        <v>101093</v>
      </c>
      <c r="B3967" s="2" t="s">
        <v>162</v>
      </c>
      <c r="C3967" s="2" t="n">
        <v>2</v>
      </c>
      <c r="D3967" s="2" t="n">
        <v>2</v>
      </c>
      <c r="E3967" s="2" t="n">
        <v>1</v>
      </c>
      <c r="F3967" s="2" t="n">
        <v>90</v>
      </c>
      <c r="G3967" s="2" t="s">
        <v>626</v>
      </c>
      <c r="H3967" s="2" t="str">
        <f aca="false">IFERROR(__xludf.dummyfunction("IF(I4008="""", """", REGEXEXTRACT(I4008, ""Padrao/([^/]+)""))"),"Residencial e Comercial Palmares")</f>
        <v>Residencial e Comercial Palmares</v>
      </c>
    </row>
    <row r="3968" customFormat="false" ht="15.75" hidden="false" customHeight="false" outlineLevel="0" collapsed="false">
      <c r="A3968" s="2" t="n">
        <v>101090</v>
      </c>
      <c r="B3968" s="2" t="s">
        <v>162</v>
      </c>
      <c r="C3968" s="2" t="n">
        <v>2</v>
      </c>
      <c r="D3968" s="2" t="n">
        <v>2</v>
      </c>
      <c r="E3968" s="2" t="n">
        <v>1</v>
      </c>
      <c r="F3968" s="2" t="n">
        <v>90</v>
      </c>
      <c r="G3968" s="2" t="s">
        <v>626</v>
      </c>
      <c r="H3968" s="2" t="str">
        <f aca="false">IFERROR(__xludf.dummyfunction("IF(I4009="""", """", REGEXEXTRACT(I4009, ""Padrao/([^/]+)""))"),"Residencial e Comercial Palmares")</f>
        <v>Residencial e Comercial Palmares</v>
      </c>
    </row>
    <row r="3969" customFormat="false" ht="15.75" hidden="false" customHeight="false" outlineLevel="0" collapsed="false">
      <c r="A3969" s="2" t="n">
        <v>101084</v>
      </c>
      <c r="B3969" s="2" t="s">
        <v>3203</v>
      </c>
      <c r="C3969" s="2" t="n">
        <v>2</v>
      </c>
      <c r="D3969" s="2" t="n">
        <v>2</v>
      </c>
      <c r="E3969" s="2" t="n">
        <v>1</v>
      </c>
      <c r="F3969" s="2" t="n">
        <v>90</v>
      </c>
      <c r="G3969" s="2" t="s">
        <v>626</v>
      </c>
      <c r="H3969" s="2" t="str">
        <f aca="false">IFERROR(__xludf.dummyfunction("IF(I4010="""", """", REGEXEXTRACT(I4010, ""Padrao/([^/]+)""))"),"Residencial e Comercial Palmares")</f>
        <v>Residencial e Comercial Palmares</v>
      </c>
    </row>
    <row r="3970" customFormat="false" ht="15.75" hidden="false" customHeight="false" outlineLevel="0" collapsed="false">
      <c r="A3970" s="2" t="n">
        <v>101057</v>
      </c>
      <c r="B3970" s="2" t="s">
        <v>162</v>
      </c>
      <c r="C3970" s="2" t="n">
        <v>3</v>
      </c>
      <c r="D3970" s="2" t="n">
        <v>2</v>
      </c>
      <c r="E3970" s="2" t="n">
        <v>1</v>
      </c>
      <c r="F3970" s="2" t="n">
        <v>110</v>
      </c>
      <c r="G3970" s="2" t="s">
        <v>626</v>
      </c>
      <c r="H3970" s="2" t="str">
        <f aca="false">IFERROR(__xludf.dummyfunction("IF(I4011="""", """", REGEXEXTRACT(I4011, ""Padrao/([^/]+)""))"),"Residencial e Comercial Palmares")</f>
        <v>Residencial e Comercial Palmares</v>
      </c>
    </row>
    <row r="3971" customFormat="false" ht="15.75" hidden="false" customHeight="false" outlineLevel="0" collapsed="false">
      <c r="A3971" s="2" t="n">
        <v>100913</v>
      </c>
      <c r="B3971" s="2" t="s">
        <v>3204</v>
      </c>
      <c r="C3971" s="2" t="n">
        <v>3</v>
      </c>
      <c r="D3971" s="2" t="n">
        <v>2</v>
      </c>
      <c r="E3971" s="2" t="n">
        <v>2</v>
      </c>
      <c r="F3971" s="2" t="n">
        <v>107</v>
      </c>
      <c r="G3971" s="2" t="s">
        <v>626</v>
      </c>
      <c r="H3971" s="2" t="str">
        <f aca="false">IFERROR(__xludf.dummyfunction("IF(I4012="""", """", REGEXEXTRACT(I4012, ""Padrao/([^/]+)""))"),"Vila Seixas")</f>
        <v>Vila Seixas</v>
      </c>
    </row>
    <row r="3972" customFormat="false" ht="15.75" hidden="false" customHeight="false" outlineLevel="0" collapsed="false">
      <c r="A3972" s="2" t="n">
        <v>99809</v>
      </c>
      <c r="B3972" s="2" t="s">
        <v>1060</v>
      </c>
      <c r="C3972" s="2" t="n">
        <v>3</v>
      </c>
      <c r="D3972" s="2" t="n">
        <v>2</v>
      </c>
      <c r="E3972" s="2" t="n">
        <v>1</v>
      </c>
      <c r="F3972" s="2" t="n">
        <v>67</v>
      </c>
      <c r="G3972" s="2" t="s">
        <v>626</v>
      </c>
      <c r="H3972" s="2" t="str">
        <f aca="false">IFERROR(__xludf.dummyfunction("IF(I4013="""", """", REGEXEXTRACT(I4013, ""Padrao/([^/]+)""))"),"Parque Industrial Lagoinha")</f>
        <v>Parque Industrial Lagoinha</v>
      </c>
    </row>
    <row r="3973" customFormat="false" ht="15.75" hidden="false" customHeight="false" outlineLevel="0" collapsed="false">
      <c r="A3973" s="2" t="n">
        <v>96914</v>
      </c>
      <c r="B3973" s="2" t="s">
        <v>3205</v>
      </c>
      <c r="C3973" s="2" t="n">
        <v>2</v>
      </c>
      <c r="D3973" s="2" t="n">
        <v>2</v>
      </c>
      <c r="E3973" s="2" t="n">
        <v>1</v>
      </c>
      <c r="F3973" s="2" t="n">
        <v>53</v>
      </c>
      <c r="G3973" s="2" t="s">
        <v>626</v>
      </c>
      <c r="H3973" s="2" t="str">
        <f aca="false">IFERROR(__xludf.dummyfunction("IF(I4014="""", """", REGEXEXTRACT(I4014, ""Padrao/([^/]+)""))"),"Alto da Boa Vista")</f>
        <v>Alto da Boa Vista</v>
      </c>
    </row>
    <row r="3974" customFormat="false" ht="15.75" hidden="false" customHeight="false" outlineLevel="0" collapsed="false">
      <c r="A3974" s="2" t="n">
        <v>95117</v>
      </c>
      <c r="B3974" s="2" t="s">
        <v>3206</v>
      </c>
      <c r="C3974" s="2" t="n">
        <v>2</v>
      </c>
      <c r="D3974" s="2" t="n">
        <v>3</v>
      </c>
      <c r="E3974" s="2" t="n">
        <v>2</v>
      </c>
      <c r="F3974" s="2" t="n">
        <v>60</v>
      </c>
      <c r="G3974" s="2" t="s">
        <v>626</v>
      </c>
      <c r="H3974" s="2" t="str">
        <f aca="false">IFERROR(__xludf.dummyfunction("IF(I4015="""", """", REGEXEXTRACT(I4015, ""Padrao/([^/]+)""))"),"Nova Alianca")</f>
        <v>Nova Alianca</v>
      </c>
    </row>
    <row r="3975" customFormat="false" ht="15.75" hidden="false" customHeight="false" outlineLevel="0" collapsed="false">
      <c r="A3975" s="2" t="n">
        <v>94790</v>
      </c>
      <c r="B3975" s="2" t="s">
        <v>3207</v>
      </c>
      <c r="C3975" s="2" t="n">
        <v>2</v>
      </c>
      <c r="D3975" s="2" t="n">
        <v>2</v>
      </c>
      <c r="E3975" s="2" t="n">
        <v>2</v>
      </c>
      <c r="F3975" s="2" t="n">
        <v>62</v>
      </c>
      <c r="G3975" s="2" t="s">
        <v>626</v>
      </c>
      <c r="H3975" s="2" t="str">
        <f aca="false">IFERROR(__xludf.dummyfunction("IF(I4016="""", """", REGEXEXTRACT(I4016, ""Padrao/([^/]+)""))"),"Vila Ana Maria")</f>
        <v>Vila Ana Maria</v>
      </c>
    </row>
    <row r="3976" customFormat="false" ht="15.75" hidden="false" customHeight="false" outlineLevel="0" collapsed="false">
      <c r="A3976" s="2" t="n">
        <v>94229</v>
      </c>
      <c r="B3976" s="2" t="s">
        <v>3208</v>
      </c>
      <c r="C3976" s="2" t="n">
        <v>3</v>
      </c>
      <c r="D3976" s="2" t="n">
        <v>2</v>
      </c>
      <c r="E3976" s="2" t="n">
        <v>1</v>
      </c>
      <c r="F3976" s="2" t="n">
        <v>65</v>
      </c>
      <c r="G3976" s="2" t="s">
        <v>626</v>
      </c>
      <c r="H3976" s="2" t="str">
        <f aca="false">IFERROR(__xludf.dummyfunction("IF(I4017="""", """", REGEXEXTRACT(I4017, ""Padrao/([^/]+)""))"),"Jardim Palma Travassos")</f>
        <v>Jardim Palma Travassos</v>
      </c>
    </row>
    <row r="3977" customFormat="false" ht="15.75" hidden="false" customHeight="false" outlineLevel="0" collapsed="false">
      <c r="A3977" s="2" t="n">
        <v>93953</v>
      </c>
      <c r="B3977" s="2" t="s">
        <v>3209</v>
      </c>
      <c r="C3977" s="2" t="n">
        <v>3</v>
      </c>
      <c r="D3977" s="2" t="n">
        <v>2</v>
      </c>
      <c r="E3977" s="2" t="n">
        <v>2</v>
      </c>
      <c r="F3977" s="2" t="n">
        <v>96</v>
      </c>
      <c r="G3977" s="2" t="s">
        <v>626</v>
      </c>
      <c r="H3977" s="2" t="str">
        <f aca="false">IFERROR(__xludf.dummyfunction("IF(I4018="""", """", REGEXEXTRACT(I4018, ""Padrao/([^/]+)""))"),"Jardim Paulista")</f>
        <v>Jardim Paulista</v>
      </c>
    </row>
    <row r="3978" customFormat="false" ht="15.75" hidden="false" customHeight="false" outlineLevel="0" collapsed="false">
      <c r="A3978" s="2" t="n">
        <v>89894</v>
      </c>
      <c r="B3978" s="2" t="s">
        <v>3210</v>
      </c>
      <c r="C3978" s="2" t="n">
        <v>4</v>
      </c>
      <c r="D3978" s="2" t="n">
        <v>2</v>
      </c>
      <c r="E3978" s="2" t="n">
        <v>1</v>
      </c>
      <c r="F3978" s="2" t="n">
        <v>161</v>
      </c>
      <c r="G3978" s="2" t="s">
        <v>626</v>
      </c>
      <c r="H3978" s="2" t="str">
        <f aca="false">IFERROR(__xludf.dummyfunction("IF(I4019="""", """", REGEXEXTRACT(I4019, ""Padrao/([^/]+)""))"),"Centro")</f>
        <v>Centro</v>
      </c>
    </row>
    <row r="3979" customFormat="false" ht="15.75" hidden="false" customHeight="false" outlineLevel="0" collapsed="false">
      <c r="A3979" s="2" t="n">
        <v>88238</v>
      </c>
      <c r="B3979" s="2" t="s">
        <v>3211</v>
      </c>
      <c r="C3979" s="2" t="n">
        <v>3</v>
      </c>
      <c r="D3979" s="2" t="n">
        <v>1</v>
      </c>
      <c r="E3979" s="2" t="n">
        <v>1</v>
      </c>
      <c r="F3979" s="2" t="n">
        <v>90</v>
      </c>
      <c r="G3979" s="2" t="s">
        <v>626</v>
      </c>
      <c r="H3979" s="2" t="str">
        <f aca="false">IFERROR(__xludf.dummyfunction("IF(I4020="""", """", REGEXEXTRACT(I4020, ""Padrao/([^/]+)""))"),"Jardim Iraja")</f>
        <v>Jardim Iraja</v>
      </c>
    </row>
    <row r="3980" customFormat="false" ht="15.75" hidden="false" customHeight="false" outlineLevel="0" collapsed="false">
      <c r="A3980" s="2" t="n">
        <v>86978</v>
      </c>
      <c r="B3980" s="2" t="s">
        <v>3212</v>
      </c>
      <c r="C3980" s="2" t="n">
        <v>1</v>
      </c>
      <c r="D3980" s="2" t="n">
        <v>2</v>
      </c>
      <c r="E3980" s="2" t="n">
        <v>1</v>
      </c>
      <c r="F3980" s="2" t="n">
        <v>49</v>
      </c>
      <c r="G3980" s="2" t="s">
        <v>626</v>
      </c>
      <c r="H3980" s="2" t="str">
        <f aca="false">IFERROR(__xludf.dummyfunction("IF(I4021="""", """", REGEXEXTRACT(I4021, ""Padrao/([^/]+)""))"),"Jardim Nova Alianca Sul")</f>
        <v>Jardim Nova Alianca Sul</v>
      </c>
    </row>
    <row r="3981" customFormat="false" ht="15.75" hidden="false" customHeight="false" outlineLevel="0" collapsed="false">
      <c r="A3981" s="2" t="n">
        <v>82877</v>
      </c>
      <c r="B3981" s="2" t="s">
        <v>3174</v>
      </c>
      <c r="C3981" s="2" t="n">
        <v>1</v>
      </c>
      <c r="D3981" s="2" t="n">
        <v>1</v>
      </c>
      <c r="E3981" s="2" t="n">
        <v>1</v>
      </c>
      <c r="F3981" s="2" t="n">
        <v>44</v>
      </c>
      <c r="G3981" s="2" t="s">
        <v>626</v>
      </c>
      <c r="H3981" s="2" t="str">
        <f aca="false">IFERROR(__xludf.dummyfunction("IF(I4022="""", """", REGEXEXTRACT(I4022, ""Padrao/([^/]+)""))"),"Nova Alianca")</f>
        <v>Nova Alianca</v>
      </c>
    </row>
    <row r="3982" customFormat="false" ht="15.75" hidden="false" customHeight="false" outlineLevel="0" collapsed="false">
      <c r="A3982" s="2" t="n">
        <v>81932</v>
      </c>
      <c r="B3982" s="2" t="s">
        <v>3213</v>
      </c>
      <c r="C3982" s="2" t="n">
        <v>1</v>
      </c>
      <c r="D3982" s="2" t="n">
        <v>1</v>
      </c>
      <c r="E3982" s="2" t="n">
        <v>1</v>
      </c>
      <c r="F3982" s="2" t="n">
        <v>40</v>
      </c>
      <c r="G3982" s="2" t="s">
        <v>626</v>
      </c>
      <c r="H3982" s="2" t="str">
        <f aca="false">IFERROR(__xludf.dummyfunction("IF(I4023="""", """", REGEXEXTRACT(I4023, ""Padrao/([^/]+)""))"),"Bosque das Juritis")</f>
        <v>Bosque das Juritis</v>
      </c>
    </row>
    <row r="3983" customFormat="false" ht="15.75" hidden="false" customHeight="false" outlineLevel="0" collapsed="false">
      <c r="A3983" s="2" t="n">
        <v>77759</v>
      </c>
      <c r="B3983" s="2" t="s">
        <v>1429</v>
      </c>
      <c r="C3983" s="2" t="n">
        <v>3</v>
      </c>
      <c r="D3983" s="2" t="n">
        <v>3</v>
      </c>
      <c r="E3983" s="2" t="n">
        <v>1</v>
      </c>
      <c r="F3983" s="2" t="n">
        <v>92</v>
      </c>
      <c r="G3983" s="2" t="s">
        <v>626</v>
      </c>
      <c r="H3983" s="2" t="str">
        <f aca="false">IFERROR(__xludf.dummyfunction("IF(I4024="""", """", REGEXEXTRACT(I4024, ""Padrao/([^/]+)""))"),"Jardim Sao Luiz")</f>
        <v>Jardim Sao Luiz</v>
      </c>
    </row>
    <row r="3984" customFormat="false" ht="15.75" hidden="false" customHeight="false" outlineLevel="0" collapsed="false">
      <c r="A3984" s="2" t="n">
        <v>76412</v>
      </c>
      <c r="B3984" s="2" t="s">
        <v>2344</v>
      </c>
      <c r="C3984" s="2" t="n">
        <v>1</v>
      </c>
      <c r="D3984" s="2" t="n">
        <v>1</v>
      </c>
      <c r="E3984" s="2" t="n">
        <v>1</v>
      </c>
      <c r="F3984" s="2" t="n">
        <v>46</v>
      </c>
      <c r="G3984" s="2" t="s">
        <v>626</v>
      </c>
      <c r="H3984" s="2" t="str">
        <f aca="false">IFERROR(__xludf.dummyfunction("IF(I4025="""", """", REGEXEXTRACT(I4025, ""Padrao/([^/]+)""))"),"Nova Alianca")</f>
        <v>Nova Alianca</v>
      </c>
    </row>
    <row r="3985" customFormat="false" ht="15.75" hidden="false" customHeight="false" outlineLevel="0" collapsed="false">
      <c r="A3985" s="2" t="n">
        <v>75527</v>
      </c>
      <c r="B3985" s="2" t="s">
        <v>3214</v>
      </c>
      <c r="C3985" s="2" t="n">
        <v>3</v>
      </c>
      <c r="D3985" s="2" t="n">
        <v>2</v>
      </c>
      <c r="E3985" s="2" t="n">
        <v>1</v>
      </c>
      <c r="F3985" s="2" t="n">
        <v>83</v>
      </c>
      <c r="G3985" s="2" t="s">
        <v>626</v>
      </c>
      <c r="H3985" s="2" t="str">
        <f aca="false">IFERROR(__xludf.dummyfunction("IF(I4026="""", """", REGEXEXTRACT(I4026, ""Padrao/([^/]+)""))"),"Jardim Sao Luiz")</f>
        <v>Jardim Sao Luiz</v>
      </c>
    </row>
    <row r="3986" customFormat="false" ht="15.75" hidden="false" customHeight="false" outlineLevel="0" collapsed="false">
      <c r="A3986" s="2" t="n">
        <v>71105</v>
      </c>
      <c r="B3986" s="2" t="s">
        <v>3215</v>
      </c>
      <c r="C3986" s="2" t="n">
        <v>2</v>
      </c>
      <c r="D3986" s="2" t="n">
        <v>1</v>
      </c>
      <c r="E3986" s="2" t="n">
        <v>1</v>
      </c>
      <c r="F3986" s="2" t="n">
        <v>55</v>
      </c>
      <c r="G3986" s="2" t="s">
        <v>626</v>
      </c>
      <c r="H3986" s="2" t="str">
        <f aca="false">IFERROR(__xludf.dummyfunction("IF(I4028="""", """", REGEXEXTRACT(I4028, ""Padrao/([^/]+)""))"),"Iguatemi")</f>
        <v>Iguatemi</v>
      </c>
    </row>
    <row r="3987" customFormat="false" ht="15.75" hidden="false" customHeight="false" outlineLevel="0" collapsed="false">
      <c r="A3987" s="2" t="n">
        <v>69665</v>
      </c>
      <c r="B3987" s="2" t="s">
        <v>3141</v>
      </c>
      <c r="C3987" s="2" t="n">
        <v>2</v>
      </c>
      <c r="D3987" s="2" t="n">
        <v>3</v>
      </c>
      <c r="E3987" s="2" t="n">
        <v>1</v>
      </c>
      <c r="F3987" s="2" t="n">
        <v>73</v>
      </c>
      <c r="G3987" s="2" t="s">
        <v>626</v>
      </c>
      <c r="H3987" s="2" t="str">
        <f aca="false">IFERROR(__xludf.dummyfunction("IF(I4029="""", """", REGEXEXTRACT(I4029, ""Padrao/([^/]+)""))"),"Jardim Paulista")</f>
        <v>Jardim Paulista</v>
      </c>
    </row>
    <row r="3988" customFormat="false" ht="15.75" hidden="false" customHeight="false" outlineLevel="0" collapsed="false">
      <c r="A3988" s="2" t="n">
        <v>58118</v>
      </c>
      <c r="B3988" s="2" t="s">
        <v>3216</v>
      </c>
      <c r="C3988" s="2" t="n">
        <v>3</v>
      </c>
      <c r="D3988" s="2" t="n">
        <v>2</v>
      </c>
      <c r="E3988" s="2" t="n">
        <v>1</v>
      </c>
      <c r="F3988" s="2" t="n">
        <v>105</v>
      </c>
      <c r="G3988" s="2" t="s">
        <v>626</v>
      </c>
      <c r="H3988" s="2" t="str">
        <f aca="false">IFERROR(__xludf.dummyfunction("IF(I4030="""", """", REGEXEXTRACT(I4030, ""Padrao/([^/]+)""))"),"Jardim Palma Travassos")</f>
        <v>Jardim Palma Travassos</v>
      </c>
    </row>
    <row r="3989" customFormat="false" ht="15.75" hidden="false" customHeight="false" outlineLevel="0" collapsed="false">
      <c r="A3989" s="2" t="n">
        <v>36620</v>
      </c>
      <c r="B3989" s="2" t="s">
        <v>3217</v>
      </c>
      <c r="C3989" s="2" t="n">
        <v>3</v>
      </c>
      <c r="D3989" s="2" t="n">
        <v>3</v>
      </c>
      <c r="E3989" s="2" t="n">
        <v>1</v>
      </c>
      <c r="F3989" s="2" t="n">
        <v>92</v>
      </c>
      <c r="G3989" s="2" t="s">
        <v>626</v>
      </c>
      <c r="H3989" s="2" t="str">
        <f aca="false">IFERROR(__xludf.dummyfunction("IF(I4031="""", """", REGEXEXTRACT(I4031, ""Padrao/([^/]+)""))"),"Vila Tiberio")</f>
        <v>Vila Tiberio</v>
      </c>
    </row>
    <row r="3990" customFormat="false" ht="15.75" hidden="false" customHeight="false" outlineLevel="0" collapsed="false">
      <c r="A3990" s="2" t="n">
        <v>14453</v>
      </c>
      <c r="B3990" s="2" t="s">
        <v>3218</v>
      </c>
      <c r="C3990" s="2" t="n">
        <v>3</v>
      </c>
      <c r="D3990" s="2" t="n">
        <v>2</v>
      </c>
      <c r="E3990" s="2" t="n">
        <v>1</v>
      </c>
      <c r="F3990" s="2" t="n">
        <v>97</v>
      </c>
      <c r="G3990" s="2" t="s">
        <v>626</v>
      </c>
      <c r="H3990" s="2" t="str">
        <f aca="false">IFERROR(__xludf.dummyfunction("IF(I4032="""", """", REGEXEXTRACT(I4032, ""Padrao/([^/]+)""))"),"Centro")</f>
        <v>Centro</v>
      </c>
    </row>
    <row r="3991" customFormat="false" ht="15.75" hidden="false" customHeight="false" outlineLevel="0" collapsed="false">
      <c r="A3991" s="2" t="n">
        <v>215849</v>
      </c>
      <c r="B3991" s="2" t="s">
        <v>3219</v>
      </c>
      <c r="C3991" s="2" t="n">
        <v>1</v>
      </c>
      <c r="D3991" s="2" t="n">
        <v>1</v>
      </c>
      <c r="E3991" s="2" t="n">
        <v>1</v>
      </c>
      <c r="F3991" s="2" t="n">
        <v>42</v>
      </c>
      <c r="G3991" s="2" t="s">
        <v>3220</v>
      </c>
      <c r="H3991" s="2" t="str">
        <f aca="false">IFERROR(__xludf.dummyfunction("IF(I4033="""", """", REGEXEXTRACT(I4033, ""Padrao/([^/]+)""))"),"Vila Tiberio")</f>
        <v>Vila Tiberio</v>
      </c>
    </row>
    <row r="3992" customFormat="false" ht="15.75" hidden="false" customHeight="false" outlineLevel="0" collapsed="false">
      <c r="A3992" s="2" t="n">
        <v>204722</v>
      </c>
      <c r="B3992" s="2" t="s">
        <v>3221</v>
      </c>
      <c r="C3992" s="2" t="n">
        <v>2</v>
      </c>
      <c r="D3992" s="2" t="n">
        <v>2</v>
      </c>
      <c r="E3992" s="2" t="n">
        <v>1</v>
      </c>
      <c r="F3992" s="2" t="n">
        <v>74</v>
      </c>
      <c r="G3992" s="2" t="s">
        <v>3222</v>
      </c>
      <c r="H3992" s="2" t="str">
        <f aca="false">IFERROR(__xludf.dummyfunction("IF(I4034="""", """", REGEXEXTRACT(I4034, ""Padrao/([^/]+)""))"),"Alto da Boa Vista")</f>
        <v>Alto da Boa Vista</v>
      </c>
    </row>
    <row r="3993" customFormat="false" ht="15.75" hidden="false" customHeight="false" outlineLevel="0" collapsed="false">
      <c r="A3993" s="2" t="n">
        <v>82880</v>
      </c>
      <c r="B3993" s="2" t="s">
        <v>3174</v>
      </c>
      <c r="C3993" s="2" t="n">
        <v>1</v>
      </c>
      <c r="D3993" s="2" t="n">
        <v>1</v>
      </c>
      <c r="E3993" s="2" t="n">
        <v>1</v>
      </c>
      <c r="F3993" s="2" t="n">
        <v>44</v>
      </c>
      <c r="G3993" s="2" t="s">
        <v>3223</v>
      </c>
      <c r="H3993" s="2" t="str">
        <f aca="false">IFERROR(__xludf.dummyfunction("IF(I4035="""", """", REGEXEXTRACT(I4035, ""Padrao/([^/]+)""))"),"Nova Alianca")</f>
        <v>Nova Alianca</v>
      </c>
    </row>
    <row r="3994" customFormat="false" ht="15.75" hidden="false" customHeight="false" outlineLevel="0" collapsed="false">
      <c r="A3994" s="2" t="n">
        <v>232607</v>
      </c>
      <c r="B3994" s="2" t="s">
        <v>3224</v>
      </c>
      <c r="C3994" s="2" t="n">
        <v>2</v>
      </c>
      <c r="D3994" s="2" t="n">
        <v>1</v>
      </c>
      <c r="E3994" s="2" t="n">
        <v>1</v>
      </c>
      <c r="F3994" s="2" t="n">
        <v>97</v>
      </c>
      <c r="G3994" s="2" t="s">
        <v>614</v>
      </c>
      <c r="H3994" s="2" t="str">
        <f aca="false">IFERROR(__xludf.dummyfunction("IF(I4036="""", """", REGEXEXTRACT(I4036, ""Padrao/([^/]+)""))"),"Santa Cruz do Jose Jacques")</f>
        <v>Santa Cruz do Jose Jacques</v>
      </c>
    </row>
    <row r="3995" customFormat="false" ht="15.75" hidden="false" customHeight="false" outlineLevel="0" collapsed="false">
      <c r="A3995" s="2" t="n">
        <v>202871</v>
      </c>
      <c r="B3995" s="2" t="s">
        <v>602</v>
      </c>
      <c r="C3995" s="2" t="n">
        <v>3</v>
      </c>
      <c r="D3995" s="2" t="n">
        <v>1</v>
      </c>
      <c r="E3995" s="2" t="n">
        <v>1</v>
      </c>
      <c r="F3995" s="2" t="n">
        <v>114</v>
      </c>
      <c r="G3995" s="2" t="s">
        <v>618</v>
      </c>
      <c r="H3995" s="2" t="str">
        <f aca="false">IFERROR(__xludf.dummyfunction("IF(I4037="""", """", REGEXEXTRACT(I4037, ""Padrao/([^/]+)""))"),"Centro")</f>
        <v>Centro</v>
      </c>
    </row>
    <row r="3996" customFormat="false" ht="15.75" hidden="false" customHeight="false" outlineLevel="0" collapsed="false">
      <c r="A3996" s="2" t="n">
        <v>201074</v>
      </c>
      <c r="B3996" s="2" t="s">
        <v>3225</v>
      </c>
      <c r="C3996" s="2" t="n">
        <v>2</v>
      </c>
      <c r="D3996" s="2" t="n">
        <v>4</v>
      </c>
      <c r="E3996" s="2" t="n">
        <v>2</v>
      </c>
      <c r="F3996" s="2" t="n">
        <v>86</v>
      </c>
      <c r="G3996" s="2" t="s">
        <v>618</v>
      </c>
      <c r="H3996" s="2" t="str">
        <f aca="false">IFERROR(__xludf.dummyfunction("IF(I4038="""", """", REGEXEXTRACT(I4038, ""Padrao/([^/]+)""))"),"Centro")</f>
        <v>Centro</v>
      </c>
    </row>
    <row r="3997" customFormat="false" ht="15.75" hidden="false" customHeight="false" outlineLevel="0" collapsed="false">
      <c r="A3997" s="2" t="n">
        <v>190865</v>
      </c>
      <c r="B3997" s="2" t="s">
        <v>3226</v>
      </c>
      <c r="C3997" s="2" t="n">
        <v>3</v>
      </c>
      <c r="D3997" s="2" t="n">
        <v>2</v>
      </c>
      <c r="E3997" s="2" t="n">
        <v>1</v>
      </c>
      <c r="F3997" s="2" t="n">
        <v>102</v>
      </c>
      <c r="G3997" s="2" t="s">
        <v>626</v>
      </c>
      <c r="H3997" s="2" t="str">
        <f aca="false">IFERROR(__xludf.dummyfunction("IF(I4039="""", """", REGEXEXTRACT(I4039, ""Padrao/([^/]+)""))"),"Jardim Macedo")</f>
        <v>Jardim Macedo</v>
      </c>
    </row>
    <row r="3998" customFormat="false" ht="15.75" hidden="false" customHeight="false" outlineLevel="0" collapsed="false">
      <c r="A3998" s="2" t="n">
        <v>180701</v>
      </c>
      <c r="B3998" s="2" t="s">
        <v>3227</v>
      </c>
      <c r="C3998" s="2" t="n">
        <v>3</v>
      </c>
      <c r="D3998" s="2" t="n">
        <v>2</v>
      </c>
      <c r="E3998" s="2" t="n">
        <v>1</v>
      </c>
      <c r="F3998" s="2" t="n">
        <v>80</v>
      </c>
      <c r="G3998" s="2" t="s">
        <v>626</v>
      </c>
      <c r="H3998" s="2" t="str">
        <f aca="false">IFERROR(__xludf.dummyfunction("IF(I4040="""", """", REGEXEXTRACT(I4040, ""Padrao/([^/]+)""))"),"Vila Mariana")</f>
        <v>Vila Mariana</v>
      </c>
    </row>
    <row r="3999" customFormat="false" ht="15.75" hidden="false" customHeight="false" outlineLevel="0" collapsed="false">
      <c r="A3999" s="2" t="n">
        <v>142502</v>
      </c>
      <c r="B3999" s="2" t="s">
        <v>3228</v>
      </c>
      <c r="C3999" s="2" t="n">
        <v>2</v>
      </c>
      <c r="D3999" s="2" t="n">
        <v>2</v>
      </c>
      <c r="E3999" s="2" t="n">
        <v>1</v>
      </c>
      <c r="F3999" s="2" t="n">
        <v>57</v>
      </c>
      <c r="G3999" s="2" t="s">
        <v>3229</v>
      </c>
      <c r="H3999" s="2" t="str">
        <f aca="false">IFERROR(__xludf.dummyfunction("IF(I4041="""", """", REGEXEXTRACT(I4041, ""Padrao/([^/]+)""))"),"Jardim Interlagos")</f>
        <v>Jardim Interlagos</v>
      </c>
    </row>
    <row r="4000" customFormat="false" ht="15.75" hidden="false" customHeight="false" outlineLevel="0" collapsed="false">
      <c r="A4000" s="2" t="n">
        <v>120458</v>
      </c>
      <c r="B4000" s="2" t="s">
        <v>1066</v>
      </c>
      <c r="C4000" s="2" t="n">
        <v>3</v>
      </c>
      <c r="D4000" s="2" t="n">
        <v>2</v>
      </c>
      <c r="E4000" s="2" t="n">
        <v>1</v>
      </c>
      <c r="F4000" s="2" t="n">
        <v>117</v>
      </c>
      <c r="G4000" s="2" t="s">
        <v>3229</v>
      </c>
      <c r="H4000" s="2" t="str">
        <f aca="false">IFERROR(__xludf.dummyfunction("IF(I4042="""", """", REGEXEXTRACT(I4042, ""Padrao/([^/]+)""))"),"Parque dos Bandeirantes")</f>
        <v>Parque dos Bandeirantes</v>
      </c>
    </row>
    <row r="4001" customFormat="false" ht="15.75" hidden="false" customHeight="false" outlineLevel="0" collapsed="false">
      <c r="A4001" s="2" t="n">
        <v>178529</v>
      </c>
      <c r="B4001" s="2" t="s">
        <v>3230</v>
      </c>
      <c r="C4001" s="2" t="n">
        <v>3</v>
      </c>
      <c r="D4001" s="2" t="n">
        <v>2</v>
      </c>
      <c r="E4001" s="2" t="n">
        <v>1</v>
      </c>
      <c r="F4001" s="2" t="n">
        <v>68</v>
      </c>
      <c r="G4001" s="2" t="s">
        <v>621</v>
      </c>
      <c r="H4001" s="2" t="str">
        <f aca="false">IFERROR(__xludf.dummyfunction("IF(I4043="""", """", REGEXEXTRACT(I4043, ""Padrao/([^/]+)""))"),"Alto da Boa Vista")</f>
        <v>Alto da Boa Vista</v>
      </c>
    </row>
    <row r="4002" customFormat="false" ht="15.75" hidden="false" customHeight="false" outlineLevel="0" collapsed="false">
      <c r="A4002" s="2" t="n">
        <v>212516</v>
      </c>
      <c r="B4002" s="2" t="s">
        <v>3231</v>
      </c>
      <c r="C4002" s="2" t="n">
        <v>3</v>
      </c>
      <c r="D4002" s="2" t="n">
        <v>2</v>
      </c>
      <c r="E4002" s="2" t="n">
        <v>2</v>
      </c>
      <c r="F4002" s="2" t="n">
        <v>87</v>
      </c>
      <c r="G4002" s="2" t="s">
        <v>3005</v>
      </c>
      <c r="H4002" s="2" t="str">
        <f aca="false">IFERROR(__xludf.dummyfunction("IF(I4045="""", """", REGEXEXTRACT(I4045, ""Padrao/([^/]+)""))"),"Vila Tiberio")</f>
        <v>Vila Tiberio</v>
      </c>
    </row>
    <row r="4003" customFormat="false" ht="15.75" hidden="false" customHeight="false" outlineLevel="0" collapsed="false">
      <c r="A4003" s="2" t="n">
        <v>219509</v>
      </c>
      <c r="B4003" s="2" t="s">
        <v>2041</v>
      </c>
      <c r="C4003" s="2" t="n">
        <v>2</v>
      </c>
      <c r="D4003" s="2" t="n">
        <v>1</v>
      </c>
      <c r="E4003" s="2" t="n">
        <v>1</v>
      </c>
      <c r="F4003" s="2" t="n">
        <v>48</v>
      </c>
      <c r="G4003" s="2" t="s">
        <v>621</v>
      </c>
      <c r="H4003" s="2" t="str">
        <f aca="false">IFERROR(__xludf.dummyfunction("IF(I4046="""", """", REGEXEXTRACT(I4046, ""Padrao/([^/]+)""))"),"Condominio Mirante Sul")</f>
        <v>Condominio Mirante Sul</v>
      </c>
    </row>
    <row r="4004" customFormat="false" ht="15.75" hidden="false" customHeight="false" outlineLevel="0" collapsed="false">
      <c r="A4004" s="2" t="n">
        <v>186335</v>
      </c>
      <c r="B4004" s="2" t="s">
        <v>3232</v>
      </c>
      <c r="C4004" s="2" t="n">
        <v>3</v>
      </c>
      <c r="D4004" s="2" t="n">
        <v>2</v>
      </c>
      <c r="E4004" s="2" t="n">
        <v>1</v>
      </c>
      <c r="F4004" s="2" t="n">
        <v>118</v>
      </c>
      <c r="G4004" s="2" t="s">
        <v>621</v>
      </c>
      <c r="H4004" s="2" t="str">
        <f aca="false">IFERROR(__xludf.dummyfunction("IF(I4047="""", """", REGEXEXTRACT(I4047, ""Padrao/([^/]+)""))"),"Vila Monte Alegre")</f>
        <v>Vila Monte Alegre</v>
      </c>
    </row>
    <row r="4005" customFormat="false" ht="15.75" hidden="false" customHeight="false" outlineLevel="0" collapsed="false">
      <c r="A4005" s="2" t="n">
        <v>158402</v>
      </c>
      <c r="B4005" s="2" t="s">
        <v>3233</v>
      </c>
      <c r="C4005" s="2" t="n">
        <v>3</v>
      </c>
      <c r="D4005" s="2" t="n">
        <v>1</v>
      </c>
      <c r="E4005" s="2" t="n">
        <v>1</v>
      </c>
      <c r="F4005" s="2" t="n">
        <v>85</v>
      </c>
      <c r="G4005" s="2" t="s">
        <v>621</v>
      </c>
      <c r="H4005" s="2" t="str">
        <f aca="false">IFERROR(__xludf.dummyfunction("IF(I4048="""", """", REGEXEXTRACT(I4048, ""Padrao/([^/]+)""))"),"Presidente Medici")</f>
        <v>Presidente Medici</v>
      </c>
    </row>
    <row r="4006" customFormat="false" ht="15.75" hidden="false" customHeight="false" outlineLevel="0" collapsed="false">
      <c r="A4006" s="2" t="n">
        <v>82820</v>
      </c>
      <c r="B4006" s="2" t="s">
        <v>3234</v>
      </c>
      <c r="C4006" s="2" t="n">
        <v>2</v>
      </c>
      <c r="D4006" s="2" t="n">
        <v>3</v>
      </c>
      <c r="E4006" s="2" t="n">
        <v>2</v>
      </c>
      <c r="F4006" s="2" t="n">
        <v>57</v>
      </c>
      <c r="G4006" s="2" t="s">
        <v>626</v>
      </c>
      <c r="H4006" s="2" t="str">
        <f aca="false">IFERROR(__xludf.dummyfunction("IF(I4049="""", """", REGEXEXTRACT(I4049, ""Padrao/([^/]+)""))"),"Jardim Botanico")</f>
        <v>Jardim Botanico</v>
      </c>
    </row>
    <row r="4007" customFormat="false" ht="15.75" hidden="false" customHeight="false" outlineLevel="0" collapsed="false">
      <c r="A4007" s="2" t="n">
        <v>243941</v>
      </c>
      <c r="B4007" s="2" t="s">
        <v>3235</v>
      </c>
      <c r="C4007" s="2" t="n">
        <v>2</v>
      </c>
      <c r="D4007" s="2" t="n">
        <v>1</v>
      </c>
      <c r="E4007" s="2" t="n">
        <v>1</v>
      </c>
      <c r="F4007" s="2" t="n">
        <v>47</v>
      </c>
      <c r="G4007" s="2" t="s">
        <v>631</v>
      </c>
      <c r="H4007" s="2" t="str">
        <f aca="false">IFERROR(__xludf.dummyfunction("IF(I4050="""", """", REGEXEXTRACT(I4050, ""Padrao/([^/]+)""))"),"Vila Virginia")</f>
        <v>Vila Virginia</v>
      </c>
    </row>
    <row r="4008" customFormat="false" ht="15.75" hidden="false" customHeight="false" outlineLevel="0" collapsed="false">
      <c r="A4008" s="2" t="n">
        <v>238865</v>
      </c>
      <c r="B4008" s="2" t="s">
        <v>3236</v>
      </c>
      <c r="C4008" s="2" t="n">
        <v>2</v>
      </c>
      <c r="D4008" s="2" t="n">
        <v>2</v>
      </c>
      <c r="E4008" s="2" t="n">
        <v>1</v>
      </c>
      <c r="F4008" s="2" t="n">
        <v>62</v>
      </c>
      <c r="G4008" s="2" t="s">
        <v>631</v>
      </c>
      <c r="H4008" s="2" t="str">
        <f aca="false">IFERROR(__xludf.dummyfunction("IF(I4051="""", """", REGEXEXTRACT(I4051, ""Padrao/([^/]+)""))"),"Campos Eliseos")</f>
        <v>Campos Eliseos</v>
      </c>
    </row>
    <row r="4009" customFormat="false" ht="15.75" hidden="false" customHeight="false" outlineLevel="0" collapsed="false">
      <c r="A4009" s="2" t="n">
        <v>234038</v>
      </c>
      <c r="B4009" s="2" t="s">
        <v>1671</v>
      </c>
      <c r="C4009" s="2" t="n">
        <v>3</v>
      </c>
      <c r="D4009" s="2" t="n">
        <v>3</v>
      </c>
      <c r="E4009" s="2" t="n">
        <v>1</v>
      </c>
      <c r="F4009" s="2" t="n">
        <v>123</v>
      </c>
      <c r="G4009" s="2" t="s">
        <v>631</v>
      </c>
      <c r="H4009" s="2" t="str">
        <f aca="false">IFERROR(__xludf.dummyfunction("IF(I4052="""", """", REGEXEXTRACT(I4052, ""Padrao/([^/]+)""))"),"Centro")</f>
        <v>Centro</v>
      </c>
    </row>
    <row r="4010" customFormat="false" ht="15.75" hidden="false" customHeight="false" outlineLevel="0" collapsed="false">
      <c r="A4010" s="2" t="n">
        <v>233357</v>
      </c>
      <c r="B4010" s="2" t="s">
        <v>3237</v>
      </c>
      <c r="C4010" s="2" t="n">
        <v>3</v>
      </c>
      <c r="D4010" s="2" t="n">
        <v>1</v>
      </c>
      <c r="E4010" s="2" t="n">
        <v>1</v>
      </c>
      <c r="F4010" s="2" t="n">
        <v>75</v>
      </c>
      <c r="G4010" s="2" t="s">
        <v>631</v>
      </c>
      <c r="H4010" s="2" t="str">
        <f aca="false">IFERROR(__xludf.dummyfunction("IF(I4053="""", """", REGEXEXTRACT(I4053, ""Padrao/([^/]+)""))"),"Presidente Medici")</f>
        <v>Presidente Medici</v>
      </c>
    </row>
    <row r="4011" customFormat="false" ht="15.75" hidden="false" customHeight="false" outlineLevel="0" collapsed="false">
      <c r="A4011" s="2" t="n">
        <v>233303</v>
      </c>
      <c r="B4011" s="2" t="s">
        <v>3238</v>
      </c>
      <c r="C4011" s="2" t="n">
        <v>3</v>
      </c>
      <c r="D4011" s="2" t="n">
        <v>2</v>
      </c>
      <c r="E4011" s="2" t="n">
        <v>1</v>
      </c>
      <c r="F4011" s="2" t="n">
        <v>78</v>
      </c>
      <c r="G4011" s="2" t="s">
        <v>631</v>
      </c>
      <c r="H4011" s="2" t="str">
        <f aca="false">IFERROR(__xludf.dummyfunction("IF(I4054="""", """", REGEXEXTRACT(I4054, ""Padrao/([^/]+)""))"),"Parque dos Lagos")</f>
        <v>Parque dos Lagos</v>
      </c>
    </row>
    <row r="4012" customFormat="false" ht="15.75" hidden="false" customHeight="false" outlineLevel="0" collapsed="false">
      <c r="A4012" s="2" t="n">
        <v>212246</v>
      </c>
      <c r="B4012" s="2" t="s">
        <v>3239</v>
      </c>
      <c r="C4012" s="2" t="n">
        <v>3</v>
      </c>
      <c r="D4012" s="2" t="n">
        <v>3</v>
      </c>
      <c r="E4012" s="2" t="n">
        <v>1</v>
      </c>
      <c r="F4012" s="2" t="n">
        <v>94</v>
      </c>
      <c r="G4012" s="2" t="s">
        <v>631</v>
      </c>
      <c r="H4012" s="2" t="str">
        <f aca="false">IFERROR(__xludf.dummyfunction("IF(I4055="""", """", REGEXEXTRACT(I4055, ""Padrao/([^/]+)""))"),"Parque Industrial Lagoinha")</f>
        <v>Parque Industrial Lagoinha</v>
      </c>
    </row>
    <row r="4013" customFormat="false" ht="15.75" hidden="false" customHeight="false" outlineLevel="0" collapsed="false">
      <c r="A4013" s="2" t="n">
        <v>204941</v>
      </c>
      <c r="B4013" s="2" t="s">
        <v>3240</v>
      </c>
      <c r="C4013" s="2" t="n">
        <v>2</v>
      </c>
      <c r="D4013" s="2" t="n">
        <v>2</v>
      </c>
      <c r="E4013" s="2" t="n">
        <v>1</v>
      </c>
      <c r="F4013" s="2" t="n">
        <v>94</v>
      </c>
      <c r="G4013" s="2" t="s">
        <v>631</v>
      </c>
      <c r="H4013" s="2" t="str">
        <f aca="false">IFERROR(__xludf.dummyfunction("IF(I4056="""", """", REGEXEXTRACT(I4056, ""Padrao/([^/]+)""))"),"Jardim Iraja")</f>
        <v>Jardim Iraja</v>
      </c>
    </row>
    <row r="4014" customFormat="false" ht="15.75" hidden="false" customHeight="false" outlineLevel="0" collapsed="false">
      <c r="A4014" s="2" t="n">
        <v>202430</v>
      </c>
      <c r="B4014" s="2" t="s">
        <v>602</v>
      </c>
      <c r="C4014" s="2" t="n">
        <v>2</v>
      </c>
      <c r="D4014" s="2" t="n">
        <v>1</v>
      </c>
      <c r="E4014" s="2" t="n">
        <v>1</v>
      </c>
      <c r="F4014" s="2" t="n">
        <v>85</v>
      </c>
      <c r="G4014" s="2" t="s">
        <v>631</v>
      </c>
      <c r="H4014" s="2" t="str">
        <f aca="false">IFERROR(__xludf.dummyfunction("IF(I4057="""", """", REGEXEXTRACT(I4057, ""Padrao/([^/]+)""))"),"Centro")</f>
        <v>Centro</v>
      </c>
    </row>
    <row r="4015" customFormat="false" ht="15.75" hidden="false" customHeight="false" outlineLevel="0" collapsed="false">
      <c r="A4015" s="2" t="n">
        <v>199124</v>
      </c>
      <c r="B4015" s="2" t="s">
        <v>3241</v>
      </c>
      <c r="C4015" s="2" t="n">
        <v>3</v>
      </c>
      <c r="D4015" s="2" t="n">
        <v>3</v>
      </c>
      <c r="E4015" s="2" t="n">
        <v>1</v>
      </c>
      <c r="F4015" s="2" t="n">
        <v>77</v>
      </c>
      <c r="G4015" s="2" t="s">
        <v>631</v>
      </c>
      <c r="H4015" s="2" t="str">
        <f aca="false">IFERROR(__xludf.dummyfunction("IF(I4058="""", """", REGEXEXTRACT(I4058, ""Padrao/([^/]+)""))"),"Parque dos Bandeirantes")</f>
        <v>Parque dos Bandeirantes</v>
      </c>
    </row>
    <row r="4016" customFormat="false" ht="15.75" hidden="false" customHeight="false" outlineLevel="0" collapsed="false">
      <c r="A4016" s="2" t="n">
        <v>195623</v>
      </c>
      <c r="B4016" s="2" t="s">
        <v>3242</v>
      </c>
      <c r="C4016" s="2" t="n">
        <v>2</v>
      </c>
      <c r="D4016" s="2" t="n">
        <v>1</v>
      </c>
      <c r="E4016" s="2" t="n">
        <v>1</v>
      </c>
      <c r="F4016" s="2" t="n">
        <v>50</v>
      </c>
      <c r="G4016" s="2" t="s">
        <v>631</v>
      </c>
      <c r="H4016" s="2" t="str">
        <f aca="false">IFERROR(__xludf.dummyfunction("IF(I4059="""", """", REGEXEXTRACT(I4059, ""Padrao/([^/]+)""))"),"Residencial Monterrey")</f>
        <v>Residencial Monterrey</v>
      </c>
    </row>
    <row r="4017" customFormat="false" ht="15.75" hidden="false" customHeight="false" outlineLevel="0" collapsed="false">
      <c r="A4017" s="2" t="n">
        <v>192371</v>
      </c>
      <c r="B4017" s="2" t="s">
        <v>3243</v>
      </c>
      <c r="C4017" s="2" t="n">
        <v>1</v>
      </c>
      <c r="D4017" s="2" t="n">
        <v>1</v>
      </c>
      <c r="E4017" s="2" t="n">
        <v>1</v>
      </c>
      <c r="F4017" s="2" t="n">
        <v>43</v>
      </c>
      <c r="G4017" s="2" t="s">
        <v>631</v>
      </c>
      <c r="H4017" s="2" t="str">
        <f aca="false">IFERROR(__xludf.dummyfunction("IF(I4060="""", """", REGEXEXTRACT(I4060, ""Padrao/([^/]+)""))"),"Nova Alianca")</f>
        <v>Nova Alianca</v>
      </c>
    </row>
    <row r="4018" customFormat="false" ht="15.75" hidden="false" customHeight="false" outlineLevel="0" collapsed="false">
      <c r="A4018" s="2" t="n">
        <v>188744</v>
      </c>
      <c r="B4018" s="2" t="s">
        <v>847</v>
      </c>
      <c r="C4018" s="2" t="n">
        <v>3</v>
      </c>
      <c r="D4018" s="2" t="n">
        <v>2</v>
      </c>
      <c r="E4018" s="2" t="n">
        <v>1</v>
      </c>
      <c r="F4018" s="2" t="n">
        <v>92</v>
      </c>
      <c r="G4018" s="2" t="s">
        <v>631</v>
      </c>
      <c r="H4018" s="2" t="str">
        <f aca="false">IFERROR(__xludf.dummyfunction("IF(I4061="""", """", REGEXEXTRACT(I4061, ""Padrao/([^/]+)""))"),"Jardim Paulistano")</f>
        <v>Jardim Paulistano</v>
      </c>
    </row>
    <row r="4019" customFormat="false" ht="15.75" hidden="false" customHeight="false" outlineLevel="0" collapsed="false">
      <c r="A4019" s="2" t="n">
        <v>180179</v>
      </c>
      <c r="B4019" s="2" t="s">
        <v>3244</v>
      </c>
      <c r="C4019" s="2" t="n">
        <v>2</v>
      </c>
      <c r="D4019" s="2" t="n">
        <v>1</v>
      </c>
      <c r="E4019" s="2" t="n">
        <v>1</v>
      </c>
      <c r="F4019" s="2" t="n">
        <v>53</v>
      </c>
      <c r="G4019" s="2" t="s">
        <v>631</v>
      </c>
      <c r="H4019" s="2" t="str">
        <f aca="false">IFERROR(__xludf.dummyfunction("IF(I4062="""", """", REGEXEXTRACT(I4062, ""Padrao/([^/]+)""))"),"Nova Alianca")</f>
        <v>Nova Alianca</v>
      </c>
    </row>
    <row r="4020" customFormat="false" ht="15.75" hidden="false" customHeight="false" outlineLevel="0" collapsed="false">
      <c r="A4020" s="2" t="n">
        <v>176957</v>
      </c>
      <c r="B4020" s="2" t="s">
        <v>3245</v>
      </c>
      <c r="C4020" s="2" t="n">
        <v>3</v>
      </c>
      <c r="D4020" s="2" t="n">
        <v>1</v>
      </c>
      <c r="E4020" s="2" t="n">
        <v>1</v>
      </c>
      <c r="F4020" s="2" t="n">
        <v>75</v>
      </c>
      <c r="G4020" s="2" t="s">
        <v>631</v>
      </c>
      <c r="H4020" s="2" t="str">
        <f aca="false">IFERROR(__xludf.dummyfunction("IF(I4063="""", """", REGEXEXTRACT(I4063, ""Padrao/([^/]+)""))"),"Presidente Medici")</f>
        <v>Presidente Medici</v>
      </c>
    </row>
    <row r="4021" customFormat="false" ht="15.75" hidden="false" customHeight="false" outlineLevel="0" collapsed="false">
      <c r="A4021" s="2" t="n">
        <v>171650</v>
      </c>
      <c r="B4021" s="2" t="s">
        <v>2446</v>
      </c>
      <c r="C4021" s="2" t="n">
        <v>2</v>
      </c>
      <c r="D4021" s="2" t="n">
        <v>2</v>
      </c>
      <c r="E4021" s="2" t="n">
        <v>2</v>
      </c>
      <c r="F4021" s="2" t="n">
        <v>80</v>
      </c>
      <c r="G4021" s="2" t="s">
        <v>631</v>
      </c>
      <c r="H4021" s="2" t="str">
        <f aca="false">IFERROR(__xludf.dummyfunction("IF(I4064="""", """", REGEXEXTRACT(I4064, ""Padrao/([^/]+)""))"),"Vila Tiberio")</f>
        <v>Vila Tiberio</v>
      </c>
    </row>
    <row r="4022" customFormat="false" ht="15.75" hidden="false" customHeight="false" outlineLevel="0" collapsed="false">
      <c r="A4022" s="2" t="n">
        <v>169436</v>
      </c>
      <c r="B4022" s="2" t="s">
        <v>2395</v>
      </c>
      <c r="C4022" s="2" t="n">
        <v>3</v>
      </c>
      <c r="D4022" s="2" t="n">
        <v>3</v>
      </c>
      <c r="E4022" s="2" t="n">
        <v>1</v>
      </c>
      <c r="F4022" s="2" t="n">
        <v>88</v>
      </c>
      <c r="G4022" s="2" t="s">
        <v>631</v>
      </c>
      <c r="H4022" s="2" t="str">
        <f aca="false">IFERROR(__xludf.dummyfunction("IF(I4065="""", """", REGEXEXTRACT(I4065, ""Padrao/([^/]+)""))"),"Jardim Palma Travassos")</f>
        <v>Jardim Palma Travassos</v>
      </c>
    </row>
    <row r="4023" customFormat="false" ht="15.75" hidden="false" customHeight="false" outlineLevel="0" collapsed="false">
      <c r="A4023" s="2" t="n">
        <v>167627</v>
      </c>
      <c r="B4023" s="2" t="s">
        <v>3246</v>
      </c>
      <c r="C4023" s="2" t="n">
        <v>3</v>
      </c>
      <c r="D4023" s="2" t="n">
        <v>2</v>
      </c>
      <c r="E4023" s="2" t="n">
        <v>1</v>
      </c>
      <c r="F4023" s="2" t="n">
        <v>96</v>
      </c>
      <c r="G4023" s="2" t="s">
        <v>631</v>
      </c>
      <c r="H4023" s="2" t="str">
        <f aca="false">IFERROR(__xludf.dummyfunction("IF(I4066="""", """", REGEXEXTRACT(I4066, ""Padrao/([^/]+)""))"),"Condominio Itamaraty")</f>
        <v>Condominio Itamaraty</v>
      </c>
    </row>
    <row r="4024" customFormat="false" ht="15.75" hidden="false" customHeight="false" outlineLevel="0" collapsed="false">
      <c r="A4024" s="2" t="n">
        <v>158648</v>
      </c>
      <c r="B4024" s="2" t="s">
        <v>3247</v>
      </c>
      <c r="C4024" s="2" t="n">
        <v>3</v>
      </c>
      <c r="D4024" s="2" t="n">
        <v>2</v>
      </c>
      <c r="E4024" s="2" t="n">
        <v>2</v>
      </c>
      <c r="F4024" s="2" t="n">
        <v>106</v>
      </c>
      <c r="G4024" s="2" t="s">
        <v>631</v>
      </c>
      <c r="H4024" s="2" t="str">
        <f aca="false">IFERROR(__xludf.dummyfunction("IF(I4067="""", """", REGEXEXTRACT(I4067, ""Padrao/([^/]+)""))"),"City Ribeirao")</f>
        <v>City Ribeirao</v>
      </c>
    </row>
    <row r="4025" customFormat="false" ht="15.75" hidden="false" customHeight="false" outlineLevel="0" collapsed="false">
      <c r="A4025" s="2" t="n">
        <v>149609</v>
      </c>
      <c r="B4025" s="2" t="s">
        <v>3248</v>
      </c>
      <c r="C4025" s="2" t="n">
        <v>3</v>
      </c>
      <c r="D4025" s="2" t="n">
        <v>3</v>
      </c>
      <c r="E4025" s="2" t="n">
        <v>1</v>
      </c>
      <c r="F4025" s="2" t="n">
        <v>81</v>
      </c>
      <c r="G4025" s="2" t="s">
        <v>631</v>
      </c>
      <c r="H4025" s="2" t="str">
        <f aca="false">IFERROR(__xludf.dummyfunction("IF(I4068="""", """", REGEXEXTRACT(I4068, ""Padrao/([^/]+)""))"),"Sumarezinho")</f>
        <v>Sumarezinho</v>
      </c>
    </row>
    <row r="4026" customFormat="false" ht="15.75" hidden="false" customHeight="false" outlineLevel="0" collapsed="false">
      <c r="A4026" s="2" t="n">
        <v>143372</v>
      </c>
      <c r="B4026" s="2" t="s">
        <v>3105</v>
      </c>
      <c r="C4026" s="2" t="n">
        <v>3</v>
      </c>
      <c r="D4026" s="2" t="n">
        <v>3</v>
      </c>
      <c r="E4026" s="2" t="n">
        <v>1</v>
      </c>
      <c r="F4026" s="2" t="n">
        <v>141</v>
      </c>
      <c r="G4026" s="2" t="s">
        <v>631</v>
      </c>
      <c r="H4026" s="2" t="str">
        <f aca="false">IFERROR(__xludf.dummyfunction("IF(I4069="""", """", REGEXEXTRACT(I4069, ""Padrao/([^/]+)""))"),"Centro")</f>
        <v>Centro</v>
      </c>
    </row>
    <row r="4027" customFormat="false" ht="15.75" hidden="false" customHeight="false" outlineLevel="0" collapsed="false">
      <c r="A4027" s="2" t="n">
        <v>135893</v>
      </c>
      <c r="B4027" s="2" t="s">
        <v>602</v>
      </c>
      <c r="C4027" s="2" t="n">
        <v>3</v>
      </c>
      <c r="D4027" s="2" t="n">
        <v>2</v>
      </c>
      <c r="E4027" s="2" t="n">
        <v>1</v>
      </c>
      <c r="F4027" s="2" t="n">
        <v>107</v>
      </c>
      <c r="G4027" s="2" t="s">
        <v>631</v>
      </c>
      <c r="H4027" s="2" t="str">
        <f aca="false">IFERROR(__xludf.dummyfunction("IF(I4070="""", """", REGEXEXTRACT(I4070, ""Padrao/([^/]+)""))"),"Alto da Boa Vista")</f>
        <v>Alto da Boa Vista</v>
      </c>
    </row>
    <row r="4028" customFormat="false" ht="15.75" hidden="false" customHeight="false" outlineLevel="0" collapsed="false">
      <c r="A4028" s="2" t="n">
        <v>124787</v>
      </c>
      <c r="B4028" s="2" t="s">
        <v>3249</v>
      </c>
      <c r="C4028" s="2" t="n">
        <v>2</v>
      </c>
      <c r="D4028" s="2" t="n">
        <v>2</v>
      </c>
      <c r="E4028" s="2" t="n">
        <v>1</v>
      </c>
      <c r="F4028" s="2" t="n">
        <v>54</v>
      </c>
      <c r="G4028" s="2" t="s">
        <v>631</v>
      </c>
      <c r="H4028" s="2" t="str">
        <f aca="false">IFERROR(__xludf.dummyfunction("IF(I4071="""", """", REGEXEXTRACT(I4071, ""Padrao/([^/]+)""))"),"Jardim Palma Travassos")</f>
        <v>Jardim Palma Travassos</v>
      </c>
    </row>
    <row r="4029" customFormat="false" ht="15.75" hidden="false" customHeight="false" outlineLevel="0" collapsed="false">
      <c r="A4029" s="2" t="n">
        <v>121277</v>
      </c>
      <c r="B4029" s="2" t="s">
        <v>3250</v>
      </c>
      <c r="C4029" s="2" t="n">
        <v>2</v>
      </c>
      <c r="D4029" s="2" t="n">
        <v>2</v>
      </c>
      <c r="E4029" s="2" t="n">
        <v>1</v>
      </c>
      <c r="F4029" s="2" t="n">
        <v>67</v>
      </c>
      <c r="G4029" s="2" t="s">
        <v>631</v>
      </c>
      <c r="H4029" s="2" t="str">
        <f aca="false">IFERROR(__xludf.dummyfunction("IF(I4072="""", """", REGEXEXTRACT(I4072, ""Padrao/([^/]+)""))"),"Jardim Antartica")</f>
        <v>Jardim Antartica</v>
      </c>
    </row>
    <row r="4030" customFormat="false" ht="15.75" hidden="false" customHeight="false" outlineLevel="0" collapsed="false">
      <c r="A4030" s="2" t="n">
        <v>115295</v>
      </c>
      <c r="B4030" s="2" t="s">
        <v>1671</v>
      </c>
      <c r="C4030" s="2" t="n">
        <v>3</v>
      </c>
      <c r="D4030" s="2" t="n">
        <v>3</v>
      </c>
      <c r="E4030" s="2" t="n">
        <v>1</v>
      </c>
      <c r="F4030" s="2" t="n">
        <v>30</v>
      </c>
      <c r="G4030" s="2" t="s">
        <v>631</v>
      </c>
      <c r="H4030" s="2" t="str">
        <f aca="false">IFERROR(__xludf.dummyfunction("IF(I4073="""", """", REGEXEXTRACT(I4073, ""Padrao/([^/]+)""))"),"Centro")</f>
        <v>Centro</v>
      </c>
    </row>
    <row r="4031" customFormat="false" ht="15.75" hidden="false" customHeight="false" outlineLevel="0" collapsed="false">
      <c r="A4031" s="2" t="n">
        <v>113675</v>
      </c>
      <c r="B4031" s="2" t="s">
        <v>3251</v>
      </c>
      <c r="C4031" s="2" t="n">
        <v>2</v>
      </c>
      <c r="D4031" s="2" t="n">
        <v>2</v>
      </c>
      <c r="E4031" s="2" t="n">
        <v>1</v>
      </c>
      <c r="F4031" s="2" t="n">
        <v>68</v>
      </c>
      <c r="G4031" s="2" t="s">
        <v>631</v>
      </c>
      <c r="H4031" s="2" t="str">
        <f aca="false">IFERROR(__xludf.dummyfunction("IF(I4074="""", """", REGEXEXTRACT(I4074, ""Padrao/([^/]+)""))"),"Jardim Botanico")</f>
        <v>Jardim Botanico</v>
      </c>
    </row>
    <row r="4032" customFormat="false" ht="15.75" hidden="false" customHeight="false" outlineLevel="0" collapsed="false">
      <c r="A4032" s="2" t="n">
        <v>105257</v>
      </c>
      <c r="B4032" s="2" t="s">
        <v>3252</v>
      </c>
      <c r="C4032" s="2" t="n">
        <v>2</v>
      </c>
      <c r="D4032" s="2" t="n">
        <v>2</v>
      </c>
      <c r="E4032" s="2" t="n">
        <v>2</v>
      </c>
      <c r="F4032" s="2" t="n">
        <v>63</v>
      </c>
      <c r="G4032" s="2" t="s">
        <v>631</v>
      </c>
      <c r="H4032" s="2" t="str">
        <f aca="false">IFERROR(__xludf.dummyfunction("IF(I4075="""", """", REGEXEXTRACT(I4075, ""Padrao/([^/]+)""))"),"Jardim Botanico")</f>
        <v>Jardim Botanico</v>
      </c>
    </row>
    <row r="4033" customFormat="false" ht="15.75" hidden="false" customHeight="false" outlineLevel="0" collapsed="false">
      <c r="A4033" s="2" t="n">
        <v>103922</v>
      </c>
      <c r="B4033" s="2" t="s">
        <v>2970</v>
      </c>
      <c r="C4033" s="2" t="n">
        <v>3</v>
      </c>
      <c r="D4033" s="2" t="n">
        <v>3</v>
      </c>
      <c r="E4033" s="2" t="n">
        <v>1</v>
      </c>
      <c r="F4033" s="2" t="n">
        <v>141</v>
      </c>
      <c r="G4033" s="2" t="s">
        <v>631</v>
      </c>
      <c r="H4033" s="2" t="str">
        <f aca="false">IFERROR(__xludf.dummyfunction("IF(I4076="""", """", REGEXEXTRACT(I4076, ""Padrao/([^/]+)""))"),"Centro")</f>
        <v>Centro</v>
      </c>
    </row>
    <row r="4034" customFormat="false" ht="15.75" hidden="false" customHeight="false" outlineLevel="0" collapsed="false">
      <c r="A4034" s="2" t="n">
        <v>102077</v>
      </c>
      <c r="B4034" s="2" t="s">
        <v>3253</v>
      </c>
      <c r="C4034" s="2" t="n">
        <v>2</v>
      </c>
      <c r="D4034" s="2" t="n">
        <v>2</v>
      </c>
      <c r="E4034" s="2" t="n">
        <v>2</v>
      </c>
      <c r="F4034" s="2" t="n">
        <v>65</v>
      </c>
      <c r="G4034" s="2" t="s">
        <v>631</v>
      </c>
      <c r="H4034" s="2" t="str">
        <f aca="false">IFERROR(__xludf.dummyfunction("IF(I4077="""", """", REGEXEXTRACT(I4077, ""Padrao/([^/]+)""))"),"Jardim Botanico")</f>
        <v>Jardim Botanico</v>
      </c>
    </row>
    <row r="4035" customFormat="false" ht="15.75" hidden="false" customHeight="false" outlineLevel="0" collapsed="false">
      <c r="A4035" s="2" t="n">
        <v>100592</v>
      </c>
      <c r="B4035" s="2" t="s">
        <v>602</v>
      </c>
      <c r="C4035" s="2" t="n">
        <v>3</v>
      </c>
      <c r="D4035" s="2" t="n">
        <v>3</v>
      </c>
      <c r="E4035" s="2" t="n">
        <v>1</v>
      </c>
      <c r="F4035" s="2" t="n">
        <v>85</v>
      </c>
      <c r="G4035" s="2" t="s">
        <v>631</v>
      </c>
      <c r="H4035" s="2" t="str">
        <f aca="false">IFERROR(__xludf.dummyfunction("IF(I4078="""", """", REGEXEXTRACT(I4078, ""Padrao/([^/]+)""))"),"Centro")</f>
        <v>Centro</v>
      </c>
    </row>
    <row r="4036" customFormat="false" ht="15.75" hidden="false" customHeight="false" outlineLevel="0" collapsed="false">
      <c r="A4036" s="2" t="n">
        <v>92693</v>
      </c>
      <c r="B4036" s="2" t="s">
        <v>3254</v>
      </c>
      <c r="C4036" s="2" t="n">
        <v>2</v>
      </c>
      <c r="D4036" s="2" t="n">
        <v>2</v>
      </c>
      <c r="E4036" s="2" t="n">
        <v>1</v>
      </c>
      <c r="F4036" s="2" t="n">
        <v>67</v>
      </c>
      <c r="G4036" s="2" t="s">
        <v>631</v>
      </c>
      <c r="H4036" s="2" t="str">
        <f aca="false">IFERROR(__xludf.dummyfunction("IF(I4079="""", """", REGEXEXTRACT(I4079, ""Padrao/([^/]+)""))"),"Santa Cruz do Jose Jacques")</f>
        <v>Santa Cruz do Jose Jacques</v>
      </c>
    </row>
    <row r="4037" customFormat="false" ht="15.75" hidden="false" customHeight="false" outlineLevel="0" collapsed="false">
      <c r="A4037" s="2" t="n">
        <v>89543</v>
      </c>
      <c r="B4037" s="2" t="s">
        <v>3255</v>
      </c>
      <c r="C4037" s="2" t="n">
        <v>1</v>
      </c>
      <c r="D4037" s="2" t="n">
        <v>1</v>
      </c>
      <c r="E4037" s="2" t="n">
        <v>1</v>
      </c>
      <c r="F4037" s="2" t="n">
        <v>45</v>
      </c>
      <c r="G4037" s="2" t="s">
        <v>631</v>
      </c>
      <c r="H4037" s="2" t="str">
        <f aca="false">IFERROR(__xludf.dummyfunction("IF(I4080="""", """", REGEXEXTRACT(I4080, ""Padrao/([^/]+)""))"),"Nova Alianca")</f>
        <v>Nova Alianca</v>
      </c>
    </row>
    <row r="4038" customFormat="false" ht="15.75" hidden="false" customHeight="false" outlineLevel="0" collapsed="false">
      <c r="A4038" s="2" t="n">
        <v>69215</v>
      </c>
      <c r="B4038" s="2" t="s">
        <v>3256</v>
      </c>
      <c r="C4038" s="2" t="n">
        <v>3</v>
      </c>
      <c r="D4038" s="2" t="n">
        <v>3</v>
      </c>
      <c r="E4038" s="2" t="n">
        <v>2</v>
      </c>
      <c r="F4038" s="2" t="n">
        <v>86</v>
      </c>
      <c r="G4038" s="2" t="s">
        <v>631</v>
      </c>
      <c r="H4038" s="2" t="str">
        <f aca="false">IFERROR(__xludf.dummyfunction("IF(I4081="""", """", REGEXEXTRACT(I4081, ""Padrao/([^/]+)""))"),"Jardim Botanico")</f>
        <v>Jardim Botanico</v>
      </c>
    </row>
    <row r="4039" customFormat="false" ht="15.75" hidden="false" customHeight="false" outlineLevel="0" collapsed="false">
      <c r="A4039" s="2" t="n">
        <v>20411</v>
      </c>
      <c r="B4039" s="2" t="s">
        <v>3257</v>
      </c>
      <c r="C4039" s="2" t="n">
        <v>3</v>
      </c>
      <c r="D4039" s="2" t="n">
        <v>1</v>
      </c>
      <c r="E4039" s="2" t="n">
        <v>1</v>
      </c>
      <c r="F4039" s="2" t="n">
        <v>80</v>
      </c>
      <c r="G4039" s="2" t="s">
        <v>631</v>
      </c>
      <c r="H4039" s="2" t="str">
        <f aca="false">IFERROR(__xludf.dummyfunction("IF(I4082="""", """", REGEXEXTRACT(I4082, ""Padrao/([^/]+)""))"),"Independencia")</f>
        <v>Independencia</v>
      </c>
    </row>
    <row r="4040" customFormat="false" ht="15.75" hidden="false" customHeight="false" outlineLevel="0" collapsed="false">
      <c r="A4040" s="2" t="n">
        <v>173861</v>
      </c>
      <c r="B4040" s="2" t="s">
        <v>3258</v>
      </c>
      <c r="C4040" s="2" t="n">
        <v>2</v>
      </c>
      <c r="D4040" s="2" t="n">
        <v>2</v>
      </c>
      <c r="E4040" s="2" t="n">
        <v>1</v>
      </c>
      <c r="F4040" s="2" t="n">
        <v>52</v>
      </c>
      <c r="G4040" s="2" t="s">
        <v>3259</v>
      </c>
      <c r="H4040" s="2" t="str">
        <f aca="false">IFERROR(__xludf.dummyfunction("IF(I4083="""", """", REGEXEXTRACT(I4083, ""Padrao/([^/]+)""))"),"Loteamento Santa Marta")</f>
        <v>Loteamento Santa Marta</v>
      </c>
    </row>
    <row r="4041" customFormat="false" ht="15.75" hidden="false" customHeight="false" outlineLevel="0" collapsed="false">
      <c r="A4041" s="2" t="n">
        <v>155354</v>
      </c>
      <c r="B4041" s="2" t="s">
        <v>1283</v>
      </c>
      <c r="C4041" s="2" t="n">
        <v>2</v>
      </c>
      <c r="D4041" s="2" t="n">
        <v>1</v>
      </c>
      <c r="E4041" s="2" t="n">
        <v>1</v>
      </c>
      <c r="F4041" s="2" t="n">
        <v>61</v>
      </c>
      <c r="G4041" s="2" t="s">
        <v>3259</v>
      </c>
      <c r="H4041" s="2" t="str">
        <f aca="false">IFERROR(__xludf.dummyfunction("IF(I4084="""", """", REGEXEXTRACT(I4084, ""Padrao/([^/]+)""))"),"Jardim Botanico")</f>
        <v>Jardim Botanico</v>
      </c>
    </row>
    <row r="4042" customFormat="false" ht="15.75" hidden="false" customHeight="false" outlineLevel="0" collapsed="false">
      <c r="A4042" s="2" t="n">
        <v>69902</v>
      </c>
      <c r="B4042" s="2" t="s">
        <v>3260</v>
      </c>
      <c r="C4042" s="2" t="n">
        <v>2</v>
      </c>
      <c r="D4042" s="2" t="n">
        <v>2</v>
      </c>
      <c r="E4042" s="2" t="n">
        <v>2</v>
      </c>
      <c r="F4042" s="2" t="n">
        <v>74</v>
      </c>
      <c r="G4042" s="2" t="s">
        <v>3259</v>
      </c>
      <c r="H4042" s="2" t="str">
        <f aca="false">IFERROR(__xludf.dummyfunction("IF(I4085="""", """", REGEXEXTRACT(I4085, ""Padrao/([^/]+)""))"),"Centro")</f>
        <v>Centro</v>
      </c>
    </row>
    <row r="4043" customFormat="false" ht="15.75" hidden="false" customHeight="false" outlineLevel="0" collapsed="false">
      <c r="A4043" s="2" t="n">
        <v>213557</v>
      </c>
      <c r="B4043" s="2" t="s">
        <v>3261</v>
      </c>
      <c r="C4043" s="2" t="n">
        <v>2</v>
      </c>
      <c r="D4043" s="2" t="n">
        <v>1</v>
      </c>
      <c r="E4043" s="2" t="n">
        <v>1</v>
      </c>
      <c r="F4043" s="2" t="n">
        <v>54</v>
      </c>
      <c r="G4043" s="2" t="s">
        <v>621</v>
      </c>
      <c r="H4043" s="2" t="str">
        <f aca="false">IFERROR(__xludf.dummyfunction("IF(I4086="""", """", REGEXEXTRACT(I4086, ""Padrao/([^/]+)""))"),"Vila Amelia")</f>
        <v>Vila Amelia</v>
      </c>
    </row>
    <row r="4044" customFormat="false" ht="15.75" hidden="false" customHeight="false" outlineLevel="0" collapsed="false">
      <c r="A4044" s="2" t="n">
        <v>243800</v>
      </c>
      <c r="B4044" s="2" t="s">
        <v>3262</v>
      </c>
      <c r="C4044" s="2" t="n">
        <v>3</v>
      </c>
      <c r="D4044" s="2" t="n">
        <v>2</v>
      </c>
      <c r="E4044" s="2" t="n">
        <v>2</v>
      </c>
      <c r="F4044" s="2" t="n">
        <v>136</v>
      </c>
      <c r="G4044" s="2" t="s">
        <v>3263</v>
      </c>
      <c r="H4044" s="2" t="str">
        <f aca="false">IFERROR(__xludf.dummyfunction("IF(I4087="""", """", REGEXEXTRACT(I4087, ""Padrao/([^/]+)""))"),"Jardim Macedo")</f>
        <v>Jardim Macedo</v>
      </c>
    </row>
    <row r="4045" customFormat="false" ht="15.75" hidden="false" customHeight="false" outlineLevel="0" collapsed="false">
      <c r="A4045" s="2" t="n">
        <v>217916</v>
      </c>
      <c r="B4045" s="2" t="s">
        <v>3264</v>
      </c>
      <c r="C4045" s="2" t="n">
        <v>2</v>
      </c>
      <c r="D4045" s="2" t="n">
        <v>2</v>
      </c>
      <c r="E4045" s="2" t="n">
        <v>2</v>
      </c>
      <c r="F4045" s="2" t="n">
        <v>62</v>
      </c>
      <c r="G4045" s="2" t="s">
        <v>3263</v>
      </c>
      <c r="H4045" s="2" t="str">
        <f aca="false">IFERROR(__xludf.dummyfunction("IF(I4088="""", """", REGEXEXTRACT(I4088, ""Padrao/([^/]+)""))"),"Jardim Botanico")</f>
        <v>Jardim Botanico</v>
      </c>
    </row>
    <row r="4046" customFormat="false" ht="15.75" hidden="false" customHeight="false" outlineLevel="0" collapsed="false">
      <c r="A4046" s="2" t="n">
        <v>242663</v>
      </c>
      <c r="B4046" s="2" t="s">
        <v>3265</v>
      </c>
      <c r="C4046" s="2" t="n">
        <v>3</v>
      </c>
      <c r="D4046" s="2" t="n">
        <v>2</v>
      </c>
      <c r="E4046" s="2" t="n">
        <v>1</v>
      </c>
      <c r="F4046" s="2" t="n">
        <v>75</v>
      </c>
      <c r="G4046" s="2" t="s">
        <v>3266</v>
      </c>
      <c r="H4046" s="2" t="str">
        <f aca="false">IFERROR(__xludf.dummyfunction("IF(I4089="""", """", REGEXEXTRACT(I4089, ""Padrao/([^/]+)""))"),"Presidente Medici")</f>
        <v>Presidente Medici</v>
      </c>
    </row>
    <row r="4047" customFormat="false" ht="15.75" hidden="false" customHeight="false" outlineLevel="0" collapsed="false">
      <c r="A4047" s="2" t="n">
        <v>237494</v>
      </c>
      <c r="B4047" s="2" t="s">
        <v>3037</v>
      </c>
      <c r="C4047" s="2" t="n">
        <v>1</v>
      </c>
      <c r="D4047" s="2" t="n">
        <v>2</v>
      </c>
      <c r="E4047" s="2" t="n">
        <v>1</v>
      </c>
      <c r="F4047" s="2" t="n">
        <v>48</v>
      </c>
      <c r="G4047" s="2" t="s">
        <v>3266</v>
      </c>
      <c r="H4047" s="2" t="str">
        <f aca="false">IFERROR(__xludf.dummyfunction("IF(I4090="""", """", REGEXEXTRACT(I4090, ""Padrao/([^/]+)""))"),"Nova Alianca")</f>
        <v>Nova Alianca</v>
      </c>
    </row>
    <row r="4048" customFormat="false" ht="15.75" hidden="false" customHeight="false" outlineLevel="0" collapsed="false">
      <c r="A4048" s="2" t="n">
        <v>231437</v>
      </c>
      <c r="B4048" s="2" t="s">
        <v>3267</v>
      </c>
      <c r="C4048" s="2" t="n">
        <v>2</v>
      </c>
      <c r="D4048" s="2" t="n">
        <v>1</v>
      </c>
      <c r="E4048" s="2" t="n">
        <v>1</v>
      </c>
      <c r="F4048" s="2" t="n">
        <v>80</v>
      </c>
      <c r="G4048" s="2" t="s">
        <v>3266</v>
      </c>
      <c r="H4048" s="2" t="str">
        <f aca="false">IFERROR(__xludf.dummyfunction("IF(I4091="""", """", REGEXEXTRACT(I4091, ""Padrao/([^/]+)""))"),"Independencia")</f>
        <v>Independencia</v>
      </c>
    </row>
    <row r="4049" customFormat="false" ht="15.75" hidden="false" customHeight="false" outlineLevel="0" collapsed="false">
      <c r="A4049" s="2" t="n">
        <v>183980</v>
      </c>
      <c r="B4049" s="2" t="s">
        <v>3268</v>
      </c>
      <c r="C4049" s="2" t="n">
        <v>2</v>
      </c>
      <c r="D4049" s="2" t="n">
        <v>1</v>
      </c>
      <c r="E4049" s="2" t="n">
        <v>2</v>
      </c>
      <c r="F4049" s="2" t="n">
        <v>63</v>
      </c>
      <c r="G4049" s="2" t="s">
        <v>3266</v>
      </c>
      <c r="H4049" s="2" t="str">
        <f aca="false">IFERROR(__xludf.dummyfunction("IF(I4092="""", """", REGEXEXTRACT(I4092, ""Padrao/([^/]+)""))"),"Jardim Sao Jose")</f>
        <v>Jardim Sao Jose</v>
      </c>
    </row>
    <row r="4050" customFormat="false" ht="15.75" hidden="false" customHeight="false" outlineLevel="0" collapsed="false">
      <c r="A4050" s="2" t="n">
        <v>175250</v>
      </c>
      <c r="B4050" s="2" t="s">
        <v>3269</v>
      </c>
      <c r="C4050" s="2" t="n">
        <v>3</v>
      </c>
      <c r="D4050" s="2" t="n">
        <v>2</v>
      </c>
      <c r="E4050" s="2" t="n">
        <v>2</v>
      </c>
      <c r="F4050" s="2" t="n">
        <v>90</v>
      </c>
      <c r="G4050" s="2" t="s">
        <v>3266</v>
      </c>
      <c r="H4050" s="2" t="str">
        <f aca="false">IFERROR(__xludf.dummyfunction("IF(I4093="""", """", REGEXEXTRACT(I4093, ""Padrao/([^/]+)""))"),"Residencial e Comercial Palmares")</f>
        <v>Residencial e Comercial Palmares</v>
      </c>
    </row>
    <row r="4051" customFormat="false" ht="15.75" hidden="false" customHeight="false" outlineLevel="0" collapsed="false">
      <c r="A4051" s="2" t="n">
        <v>136604</v>
      </c>
      <c r="B4051" s="2" t="s">
        <v>3270</v>
      </c>
      <c r="C4051" s="2" t="n">
        <v>2</v>
      </c>
      <c r="D4051" s="2" t="n">
        <v>2</v>
      </c>
      <c r="E4051" s="2" t="n">
        <v>1</v>
      </c>
      <c r="F4051" s="2" t="n">
        <v>80</v>
      </c>
      <c r="G4051" s="2" t="s">
        <v>3266</v>
      </c>
      <c r="H4051" s="2" t="str">
        <f aca="false">IFERROR(__xludf.dummyfunction("IF(I4094="""", """", REGEXEXTRACT(I4094, ""Padrao/([^/]+)""))"),"Jardim Botanico")</f>
        <v>Jardim Botanico</v>
      </c>
    </row>
    <row r="4052" customFormat="false" ht="15.75" hidden="false" customHeight="false" outlineLevel="0" collapsed="false">
      <c r="A4052" s="2" t="n">
        <v>132497</v>
      </c>
      <c r="B4052" s="2" t="s">
        <v>3271</v>
      </c>
      <c r="C4052" s="2" t="n">
        <v>3</v>
      </c>
      <c r="D4052" s="2" t="n">
        <v>2</v>
      </c>
      <c r="E4052" s="2" t="n">
        <v>1</v>
      </c>
      <c r="F4052" s="2" t="n">
        <v>80</v>
      </c>
      <c r="G4052" s="2" t="s">
        <v>3266</v>
      </c>
      <c r="H4052" s="2" t="str">
        <f aca="false">IFERROR(__xludf.dummyfunction("IF(I4095="""", """", REGEXEXTRACT(I4095, ""Padrao/([^/]+)""))"),"Alto da Boa Vista")</f>
        <v>Alto da Boa Vista</v>
      </c>
    </row>
    <row r="4053" customFormat="false" ht="15.75" hidden="false" customHeight="false" outlineLevel="0" collapsed="false">
      <c r="A4053" s="2" t="n">
        <v>131147</v>
      </c>
      <c r="B4053" s="2" t="s">
        <v>3272</v>
      </c>
      <c r="C4053" s="2" t="n">
        <v>2</v>
      </c>
      <c r="D4053" s="2" t="n">
        <v>3</v>
      </c>
      <c r="E4053" s="2" t="n">
        <v>1</v>
      </c>
      <c r="F4053" s="2" t="n">
        <v>80</v>
      </c>
      <c r="G4053" s="2" t="s">
        <v>3266</v>
      </c>
      <c r="H4053" s="2" t="str">
        <f aca="false">IFERROR(__xludf.dummyfunction("IF(I4096="""", """", REGEXEXTRACT(I4096, ""Padrao/([^/]+)""))"),"Centro")</f>
        <v>Centro</v>
      </c>
    </row>
    <row r="4054" customFormat="false" ht="15.75" hidden="false" customHeight="false" outlineLevel="0" collapsed="false">
      <c r="A4054" s="2" t="n">
        <v>118856</v>
      </c>
      <c r="B4054" s="2" t="s">
        <v>3273</v>
      </c>
      <c r="C4054" s="2" t="n">
        <v>1</v>
      </c>
      <c r="D4054" s="2" t="n">
        <v>1</v>
      </c>
      <c r="E4054" s="2" t="n">
        <v>1</v>
      </c>
      <c r="F4054" s="2" t="n">
        <v>45</v>
      </c>
      <c r="G4054" s="2" t="s">
        <v>3266</v>
      </c>
      <c r="H4054" s="2" t="str">
        <f aca="false">IFERROR(__xludf.dummyfunction("IF(I4097="""", """", REGEXEXTRACT(I4097, ""Padrao/([^/]+)""))"),"Nova Alianca")</f>
        <v>Nova Alianca</v>
      </c>
    </row>
    <row r="4055" customFormat="false" ht="15.75" hidden="false" customHeight="false" outlineLevel="0" collapsed="false">
      <c r="A4055" s="2" t="n">
        <v>215060</v>
      </c>
      <c r="B4055" s="2" t="s">
        <v>3274</v>
      </c>
      <c r="C4055" s="2" t="n">
        <v>2</v>
      </c>
      <c r="D4055" s="2" t="n">
        <v>2</v>
      </c>
      <c r="E4055" s="2" t="n">
        <v>1</v>
      </c>
      <c r="F4055" s="2" t="n">
        <v>61</v>
      </c>
      <c r="G4055" s="2" t="s">
        <v>3275</v>
      </c>
      <c r="H4055" s="2" t="str">
        <f aca="false">IFERROR(__xludf.dummyfunction("IF(I4098="""", """", REGEXEXTRACT(I4098, ""Padrao/([^/]+)""))"),"Loteamento Santa Marta")</f>
        <v>Loteamento Santa Marta</v>
      </c>
    </row>
    <row r="4056" customFormat="false" ht="15.75" hidden="false" customHeight="false" outlineLevel="0" collapsed="false">
      <c r="A4056" s="2" t="n">
        <v>192698</v>
      </c>
      <c r="B4056" s="2" t="s">
        <v>3276</v>
      </c>
      <c r="C4056" s="2" t="n">
        <v>2</v>
      </c>
      <c r="D4056" s="2" t="n">
        <v>1</v>
      </c>
      <c r="E4056" s="2" t="n">
        <v>1</v>
      </c>
      <c r="F4056" s="2" t="n">
        <v>50</v>
      </c>
      <c r="G4056" s="2" t="s">
        <v>3277</v>
      </c>
      <c r="H4056" s="2" t="str">
        <f aca="false">IFERROR(__xludf.dummyfunction("IF(I4099="""", """", REGEXEXTRACT(I4099, ""Padrao/([^/]+)""))"),"Residencial Monterrey")</f>
        <v>Residencial Monterrey</v>
      </c>
    </row>
    <row r="4057" customFormat="false" ht="15.75" hidden="false" customHeight="false" outlineLevel="0" collapsed="false">
      <c r="A4057" s="2" t="n">
        <v>192683</v>
      </c>
      <c r="B4057" s="2" t="s">
        <v>3276</v>
      </c>
      <c r="C4057" s="2" t="n">
        <v>2</v>
      </c>
      <c r="D4057" s="2" t="n">
        <v>1</v>
      </c>
      <c r="E4057" s="2" t="n">
        <v>1</v>
      </c>
      <c r="F4057" s="2" t="n">
        <v>49</v>
      </c>
      <c r="G4057" s="2" t="s">
        <v>3278</v>
      </c>
      <c r="H4057" s="2" t="str">
        <f aca="false">IFERROR(__xludf.dummyfunction("IF(I4100="""", """", REGEXEXTRACT(I4100, ""Padrao/([^/]+)""))"),"Residencial Monterrey")</f>
        <v>Residencial Monterrey</v>
      </c>
    </row>
    <row r="4058" customFormat="false" ht="15.75" hidden="false" customHeight="false" outlineLevel="0" collapsed="false">
      <c r="A4058" s="2" t="n">
        <v>242291</v>
      </c>
      <c r="B4058" s="2" t="s">
        <v>3141</v>
      </c>
      <c r="C4058" s="2" t="n">
        <v>2</v>
      </c>
      <c r="D4058" s="2" t="n">
        <v>2</v>
      </c>
      <c r="E4058" s="2" t="n">
        <v>2</v>
      </c>
      <c r="F4058" s="2" t="n">
        <v>73</v>
      </c>
      <c r="G4058" s="2" t="s">
        <v>3279</v>
      </c>
      <c r="H4058" s="2" t="str">
        <f aca="false">IFERROR(__xludf.dummyfunction("IF(I4101="""", """", REGEXEXTRACT(I4101, ""Padrao/([^/]+)""))"),"Jardim Paulista")</f>
        <v>Jardim Paulista</v>
      </c>
    </row>
    <row r="4059" customFormat="false" ht="15.75" hidden="false" customHeight="false" outlineLevel="0" collapsed="false">
      <c r="A4059" s="2" t="n">
        <v>233126</v>
      </c>
      <c r="B4059" s="2" t="s">
        <v>3280</v>
      </c>
      <c r="C4059" s="2" t="n">
        <v>2</v>
      </c>
      <c r="D4059" s="2" t="n">
        <v>3</v>
      </c>
      <c r="E4059" s="2" t="n">
        <v>1</v>
      </c>
      <c r="F4059" s="2" t="n">
        <v>140</v>
      </c>
      <c r="G4059" s="2" t="s">
        <v>3279</v>
      </c>
      <c r="H4059" s="2" t="str">
        <f aca="false">IFERROR(__xludf.dummyfunction("IF(I4102="""", """", REGEXEXTRACT(I4102, ""Padrao/([^/]+)""))"),"Centro")</f>
        <v>Centro</v>
      </c>
    </row>
    <row r="4060" customFormat="false" ht="15.75" hidden="false" customHeight="false" outlineLevel="0" collapsed="false">
      <c r="A4060" s="2" t="n">
        <v>161237</v>
      </c>
      <c r="B4060" s="2" t="s">
        <v>3281</v>
      </c>
      <c r="C4060" s="2" t="n">
        <v>3</v>
      </c>
      <c r="D4060" s="2" t="n">
        <v>3</v>
      </c>
      <c r="E4060" s="2" t="n">
        <v>1</v>
      </c>
      <c r="F4060" s="2" t="n">
        <v>160</v>
      </c>
      <c r="G4060" s="2" t="s">
        <v>621</v>
      </c>
      <c r="H4060" s="2" t="str">
        <f aca="false">IFERROR(__xludf.dummyfunction("IF(I4103="""", """", REGEXEXTRACT(I4103, ""Padrao/([^/]+)""))"),"Centro")</f>
        <v>Centro</v>
      </c>
    </row>
    <row r="4061" customFormat="false" ht="15.75" hidden="false" customHeight="false" outlineLevel="0" collapsed="false">
      <c r="A4061" s="2" t="n">
        <v>112187</v>
      </c>
      <c r="B4061" s="2" t="s">
        <v>3282</v>
      </c>
      <c r="C4061" s="2" t="n">
        <v>3</v>
      </c>
      <c r="D4061" s="2" t="n">
        <v>3</v>
      </c>
      <c r="E4061" s="2" t="n">
        <v>1</v>
      </c>
      <c r="F4061" s="2" t="n">
        <v>125</v>
      </c>
      <c r="G4061" s="2" t="s">
        <v>621</v>
      </c>
      <c r="H4061" s="2" t="str">
        <f aca="false">IFERROR(__xludf.dummyfunction("IF(I4104="""", """", REGEXEXTRACT(I4104, ""Padrao/([^/]+)""))"),"Campos Eliseos")</f>
        <v>Campos Eliseos</v>
      </c>
    </row>
    <row r="4062" customFormat="false" ht="15.75" hidden="false" customHeight="false" outlineLevel="0" collapsed="false">
      <c r="A4062" s="2" t="n">
        <v>168383</v>
      </c>
      <c r="B4062" s="2" t="s">
        <v>3283</v>
      </c>
      <c r="C4062" s="2" t="n">
        <v>3</v>
      </c>
      <c r="D4062" s="2" t="n">
        <v>2</v>
      </c>
      <c r="E4062" s="2" t="n">
        <v>1</v>
      </c>
      <c r="F4062" s="2" t="n">
        <v>86</v>
      </c>
      <c r="G4062" s="2" t="s">
        <v>626</v>
      </c>
      <c r="H4062" s="2" t="str">
        <f aca="false">IFERROR(__xludf.dummyfunction("IF(I4105="""", """", REGEXEXTRACT(I4105, ""Padrao/([^/]+)""))"),"Parque dos Bandeirantes")</f>
        <v>Parque dos Bandeirantes</v>
      </c>
    </row>
    <row r="4063" customFormat="false" ht="15.75" hidden="false" customHeight="false" outlineLevel="0" collapsed="false">
      <c r="A4063" s="2" t="n">
        <v>143792</v>
      </c>
      <c r="B4063" s="2" t="s">
        <v>3284</v>
      </c>
      <c r="C4063" s="2" t="n">
        <v>3</v>
      </c>
      <c r="D4063" s="2" t="n">
        <v>3</v>
      </c>
      <c r="E4063" s="2" t="n">
        <v>1</v>
      </c>
      <c r="F4063" s="2" t="n">
        <v>81</v>
      </c>
      <c r="G4063" s="2" t="s">
        <v>626</v>
      </c>
      <c r="H4063" s="2" t="str">
        <f aca="false">IFERROR(__xludf.dummyfunction("IF(I4106="""", """", REGEXEXTRACT(I4106, ""Padrao/([^/]+)""))"),"Sumarezinho")</f>
        <v>Sumarezinho</v>
      </c>
    </row>
    <row r="4064" customFormat="false" ht="15.75" hidden="false" customHeight="false" outlineLevel="0" collapsed="false">
      <c r="A4064" s="2" t="n">
        <v>128138</v>
      </c>
      <c r="B4064" s="2" t="s">
        <v>3285</v>
      </c>
      <c r="C4064" s="2" t="n">
        <v>1</v>
      </c>
      <c r="D4064" s="2" t="n">
        <v>1</v>
      </c>
      <c r="E4064" s="2" t="n">
        <v>1</v>
      </c>
      <c r="F4064" s="2" t="n">
        <v>27</v>
      </c>
      <c r="G4064" s="2" t="s">
        <v>626</v>
      </c>
      <c r="H4064" s="2" t="str">
        <f aca="false">IFERROR(__xludf.dummyfunction("IF(I4107="""", """", REGEXEXTRACT(I4107, ""Padrao/([^/]+)""))"),"Jardim California")</f>
        <v>Jardim California</v>
      </c>
    </row>
    <row r="4065" customFormat="false" ht="15.75" hidden="false" customHeight="false" outlineLevel="0" collapsed="false">
      <c r="A4065" s="2" t="n">
        <v>128132</v>
      </c>
      <c r="B4065" s="2" t="s">
        <v>162</v>
      </c>
      <c r="C4065" s="2" t="n">
        <v>1</v>
      </c>
      <c r="D4065" s="2" t="n">
        <v>1</v>
      </c>
      <c r="E4065" s="2" t="n">
        <v>1</v>
      </c>
      <c r="F4065" s="2" t="n">
        <v>27</v>
      </c>
      <c r="G4065" s="2" t="s">
        <v>626</v>
      </c>
      <c r="H4065" s="2" t="str">
        <f aca="false">IFERROR(__xludf.dummyfunction("IF(I4108="""", """", REGEXEXTRACT(I4108, ""Padrao/([^/]+)""))"),"Jardim California")</f>
        <v>Jardim California</v>
      </c>
    </row>
    <row r="4066" customFormat="false" ht="15.75" hidden="false" customHeight="false" outlineLevel="0" collapsed="false">
      <c r="A4066" s="2" t="n">
        <v>45326</v>
      </c>
      <c r="B4066" s="2" t="s">
        <v>162</v>
      </c>
      <c r="C4066" s="2" t="n">
        <v>3</v>
      </c>
      <c r="D4066" s="2" t="n">
        <v>3</v>
      </c>
      <c r="E4066" s="2" t="n">
        <v>1</v>
      </c>
      <c r="F4066" s="2" t="n">
        <v>97</v>
      </c>
      <c r="G4066" s="2" t="s">
        <v>626</v>
      </c>
      <c r="H4066" s="2" t="str">
        <f aca="false">IFERROR(__xludf.dummyfunction("IF(I4109="""", """", REGEXEXTRACT(I4109, ""Padrao/([^/]+)""))"),"Campos Eliseos")</f>
        <v>Campos Eliseos</v>
      </c>
    </row>
    <row r="4067" customFormat="false" ht="15.75" hidden="false" customHeight="false" outlineLevel="0" collapsed="false">
      <c r="A4067" s="2" t="n">
        <v>244034</v>
      </c>
      <c r="B4067" s="2" t="s">
        <v>3286</v>
      </c>
      <c r="C4067" s="2" t="n">
        <v>3</v>
      </c>
      <c r="D4067" s="2" t="n">
        <v>2</v>
      </c>
      <c r="E4067" s="2" t="n">
        <v>1</v>
      </c>
      <c r="F4067" s="2" t="n">
        <v>99</v>
      </c>
      <c r="G4067" s="2" t="s">
        <v>1466</v>
      </c>
      <c r="H4067" s="2" t="str">
        <f aca="false">IFERROR(__xludf.dummyfunction("IF(I4110="""", """", REGEXEXTRACT(I4110, ""Padrao/([^/]+)""))"),"Jardim Paulistano")</f>
        <v>Jardim Paulistano</v>
      </c>
    </row>
    <row r="4068" customFormat="false" ht="15.75" hidden="false" customHeight="false" outlineLevel="0" collapsed="false">
      <c r="A4068" s="2" t="n">
        <v>243353</v>
      </c>
      <c r="B4068" s="2" t="s">
        <v>3287</v>
      </c>
      <c r="C4068" s="2" t="n">
        <v>3</v>
      </c>
      <c r="D4068" s="2" t="n">
        <v>2</v>
      </c>
      <c r="E4068" s="2" t="n">
        <v>2</v>
      </c>
      <c r="F4068" s="2" t="n">
        <v>86</v>
      </c>
      <c r="G4068" s="2" t="s">
        <v>1466</v>
      </c>
      <c r="H4068" s="2" t="str">
        <f aca="false">IFERROR(__xludf.dummyfunction("IF(I4111="""", """", REGEXEXTRACT(I4111, ""Padrao/([^/]+)""))"),"Jardim Iraja")</f>
        <v>Jardim Iraja</v>
      </c>
    </row>
    <row r="4069" customFormat="false" ht="15.75" hidden="false" customHeight="false" outlineLevel="0" collapsed="false">
      <c r="A4069" s="2" t="n">
        <v>238415</v>
      </c>
      <c r="B4069" s="2" t="s">
        <v>3288</v>
      </c>
      <c r="C4069" s="2" t="n">
        <v>2</v>
      </c>
      <c r="D4069" s="2" t="n">
        <v>2</v>
      </c>
      <c r="E4069" s="2" t="n">
        <v>1</v>
      </c>
      <c r="F4069" s="2" t="n">
        <v>72</v>
      </c>
      <c r="G4069" s="2" t="s">
        <v>1466</v>
      </c>
      <c r="H4069" s="2" t="str">
        <f aca="false">IFERROR(__xludf.dummyfunction("IF(I4112="""", """", REGEXEXTRACT(I4112, ""Padrao/([^/]+)""))"),"Jardim Macedo")</f>
        <v>Jardim Macedo</v>
      </c>
    </row>
    <row r="4070" customFormat="false" ht="15.75" hidden="false" customHeight="false" outlineLevel="0" collapsed="false">
      <c r="A4070" s="2" t="n">
        <v>237749</v>
      </c>
      <c r="B4070" s="2" t="s">
        <v>3289</v>
      </c>
      <c r="C4070" s="2" t="n">
        <v>3</v>
      </c>
      <c r="D4070" s="2" t="n">
        <v>2</v>
      </c>
      <c r="E4070" s="2" t="n">
        <v>1</v>
      </c>
      <c r="F4070" s="2" t="n">
        <v>97</v>
      </c>
      <c r="G4070" s="2" t="s">
        <v>1466</v>
      </c>
      <c r="H4070" s="2" t="str">
        <f aca="false">IFERROR(__xludf.dummyfunction("IF(I4113="""", """", REGEXEXTRACT(I4113, ""Padrao/([^/]+)""))"),"Centro")</f>
        <v>Centro</v>
      </c>
    </row>
    <row r="4071" customFormat="false" ht="15.75" hidden="false" customHeight="false" outlineLevel="0" collapsed="false">
      <c r="A4071" s="2" t="n">
        <v>233459</v>
      </c>
      <c r="B4071" s="2" t="s">
        <v>3290</v>
      </c>
      <c r="C4071" s="2" t="n">
        <v>3</v>
      </c>
      <c r="D4071" s="2" t="n">
        <v>3</v>
      </c>
      <c r="E4071" s="2" t="n">
        <v>1</v>
      </c>
      <c r="F4071" s="2" t="n">
        <v>199</v>
      </c>
      <c r="G4071" s="2" t="s">
        <v>1466</v>
      </c>
      <c r="H4071" s="2" t="str">
        <f aca="false">IFERROR(__xludf.dummyfunction("IF(I4114="""", """", REGEXEXTRACT(I4114, ""Padrao/([^/]+)""))"),"Centro")</f>
        <v>Centro</v>
      </c>
    </row>
    <row r="4072" customFormat="false" ht="15.75" hidden="false" customHeight="false" outlineLevel="0" collapsed="false">
      <c r="A4072" s="2" t="n">
        <v>217439</v>
      </c>
      <c r="B4072" s="2" t="s">
        <v>3291</v>
      </c>
      <c r="C4072" s="2" t="n">
        <v>3</v>
      </c>
      <c r="D4072" s="2" t="n">
        <v>2</v>
      </c>
      <c r="E4072" s="2" t="n">
        <v>1</v>
      </c>
      <c r="F4072" s="2" t="n">
        <v>86</v>
      </c>
      <c r="G4072" s="2" t="s">
        <v>1466</v>
      </c>
      <c r="H4072" s="2" t="str">
        <f aca="false">IFERROR(__xludf.dummyfunction("IF(I4115="""", """", REGEXEXTRACT(I4115, ""Padrao/([^/]+)""))"),"Jardim Iraja")</f>
        <v>Jardim Iraja</v>
      </c>
    </row>
    <row r="4073" customFormat="false" ht="15.75" hidden="false" customHeight="false" outlineLevel="0" collapsed="false">
      <c r="A4073" s="2" t="n">
        <v>210731</v>
      </c>
      <c r="B4073" s="2" t="s">
        <v>3292</v>
      </c>
      <c r="C4073" s="2" t="n">
        <v>3</v>
      </c>
      <c r="D4073" s="2" t="n">
        <v>2</v>
      </c>
      <c r="E4073" s="2" t="n">
        <v>1</v>
      </c>
      <c r="F4073" s="2" t="n">
        <v>100</v>
      </c>
      <c r="G4073" s="2" t="s">
        <v>1466</v>
      </c>
      <c r="H4073" s="2" t="str">
        <f aca="false">IFERROR(__xludf.dummyfunction("IF(I4116="""", """", REGEXEXTRACT(I4116, ""Padrao/([^/]+)""))"),"Centro")</f>
        <v>Centro</v>
      </c>
    </row>
    <row r="4074" customFormat="false" ht="15.75" hidden="false" customHeight="false" outlineLevel="0" collapsed="false">
      <c r="A4074" s="2" t="n">
        <v>206378</v>
      </c>
      <c r="B4074" s="2" t="s">
        <v>3282</v>
      </c>
      <c r="C4074" s="2" t="n">
        <v>3</v>
      </c>
      <c r="D4074" s="2" t="n">
        <v>2</v>
      </c>
      <c r="E4074" s="2" t="n">
        <v>1</v>
      </c>
      <c r="F4074" s="2" t="n">
        <v>125</v>
      </c>
      <c r="G4074" s="2" t="s">
        <v>1466</v>
      </c>
      <c r="H4074" s="2" t="str">
        <f aca="false">IFERROR(__xludf.dummyfunction("IF(I4117="""", """", REGEXEXTRACT(I4117, ""Padrao/([^/]+)""))"),"Campos Eliseos")</f>
        <v>Campos Eliseos</v>
      </c>
    </row>
    <row r="4075" customFormat="false" ht="15.75" hidden="false" customHeight="false" outlineLevel="0" collapsed="false">
      <c r="A4075" s="2" t="n">
        <v>206276</v>
      </c>
      <c r="B4075" s="2" t="s">
        <v>3293</v>
      </c>
      <c r="C4075" s="2" t="n">
        <v>3</v>
      </c>
      <c r="D4075" s="2" t="n">
        <v>2</v>
      </c>
      <c r="E4075" s="2" t="n">
        <v>1</v>
      </c>
      <c r="F4075" s="2" t="n">
        <v>115</v>
      </c>
      <c r="G4075" s="2" t="s">
        <v>1466</v>
      </c>
      <c r="H4075" s="2" t="str">
        <f aca="false">IFERROR(__xludf.dummyfunction("IF(I4118="""", """", REGEXEXTRACT(I4118, ""Padrao/([^/]+)""))"),"Centro")</f>
        <v>Centro</v>
      </c>
    </row>
    <row r="4076" customFormat="false" ht="15.75" hidden="false" customHeight="false" outlineLevel="0" collapsed="false">
      <c r="A4076" s="2" t="n">
        <v>193784</v>
      </c>
      <c r="B4076" s="2" t="s">
        <v>3294</v>
      </c>
      <c r="C4076" s="2" t="n">
        <v>2</v>
      </c>
      <c r="D4076" s="2" t="n">
        <v>3</v>
      </c>
      <c r="E4076" s="2" t="n">
        <v>1</v>
      </c>
      <c r="F4076" s="2" t="n">
        <v>71</v>
      </c>
      <c r="G4076" s="2" t="s">
        <v>1466</v>
      </c>
      <c r="H4076" s="2" t="str">
        <f aca="false">IFERROR(__xludf.dummyfunction("IF(I4119="""", """", REGEXEXTRACT(I4119, ""Padrao/([^/]+)""))"),"City Ribeirao")</f>
        <v>City Ribeirao</v>
      </c>
    </row>
    <row r="4077" customFormat="false" ht="15.75" hidden="false" customHeight="false" outlineLevel="0" collapsed="false">
      <c r="A4077" s="2" t="n">
        <v>188390</v>
      </c>
      <c r="B4077" s="2" t="s">
        <v>3295</v>
      </c>
      <c r="C4077" s="2" t="n">
        <v>3</v>
      </c>
      <c r="D4077" s="2" t="n">
        <v>3</v>
      </c>
      <c r="E4077" s="2" t="n">
        <v>1</v>
      </c>
      <c r="F4077" s="2" t="n">
        <v>141</v>
      </c>
      <c r="G4077" s="2" t="s">
        <v>1466</v>
      </c>
      <c r="H4077" s="2" t="str">
        <f aca="false">IFERROR(__xludf.dummyfunction("IF(I4120="""", """", REGEXEXTRACT(I4120, ""Padrao/([^/]+)""))"),"Centro")</f>
        <v>Centro</v>
      </c>
    </row>
    <row r="4078" customFormat="false" ht="15.75" hidden="false" customHeight="false" outlineLevel="0" collapsed="false">
      <c r="A4078" s="2" t="n">
        <v>187607</v>
      </c>
      <c r="B4078" s="2" t="s">
        <v>3296</v>
      </c>
      <c r="C4078" s="2" t="n">
        <v>2</v>
      </c>
      <c r="D4078" s="2" t="n">
        <v>2</v>
      </c>
      <c r="E4078" s="2" t="n">
        <v>1</v>
      </c>
      <c r="F4078" s="2" t="n">
        <v>68</v>
      </c>
      <c r="G4078" s="2" t="s">
        <v>1466</v>
      </c>
      <c r="H4078" s="2" t="str">
        <f aca="false">IFERROR(__xludf.dummyfunction("IF(I4121="""", """", REGEXEXTRACT(I4121, ""Padrao/([^/]+)""))"),"Santa Cruz do Jose Jacques")</f>
        <v>Santa Cruz do Jose Jacques</v>
      </c>
    </row>
    <row r="4079" customFormat="false" ht="15.75" hidden="false" customHeight="false" outlineLevel="0" collapsed="false">
      <c r="A4079" s="2" t="n">
        <v>187409</v>
      </c>
      <c r="B4079" s="2" t="s">
        <v>3297</v>
      </c>
      <c r="C4079" s="2" t="n">
        <v>3</v>
      </c>
      <c r="D4079" s="2" t="n">
        <v>3</v>
      </c>
      <c r="E4079" s="2" t="n">
        <v>1</v>
      </c>
      <c r="F4079" s="2" t="n">
        <v>95</v>
      </c>
      <c r="G4079" s="2" t="s">
        <v>1466</v>
      </c>
      <c r="H4079" s="2" t="str">
        <f aca="false">IFERROR(__xludf.dummyfunction("IF(I4122="""", """", REGEXEXTRACT(I4122, ""Padrao/([^/]+)""))"),"Sumarezinho")</f>
        <v>Sumarezinho</v>
      </c>
    </row>
    <row r="4080" customFormat="false" ht="15.75" hidden="false" customHeight="false" outlineLevel="0" collapsed="false">
      <c r="A4080" s="2" t="n">
        <v>186281</v>
      </c>
      <c r="B4080" s="2" t="s">
        <v>3296</v>
      </c>
      <c r="C4080" s="2" t="n">
        <v>2</v>
      </c>
      <c r="D4080" s="2" t="n">
        <v>1</v>
      </c>
      <c r="E4080" s="2" t="n">
        <v>1</v>
      </c>
      <c r="F4080" s="2" t="n">
        <v>68</v>
      </c>
      <c r="G4080" s="2" t="s">
        <v>1466</v>
      </c>
      <c r="H4080" s="2" t="str">
        <f aca="false">IFERROR(__xludf.dummyfunction("IF(I4123="""", """", REGEXEXTRACT(I4123, ""Padrao/([^/]+)""))"),"Santa Cruz do Jose Jacques")</f>
        <v>Santa Cruz do Jose Jacques</v>
      </c>
    </row>
    <row r="4081" customFormat="false" ht="15.75" hidden="false" customHeight="false" outlineLevel="0" collapsed="false">
      <c r="A4081" s="2" t="n">
        <v>186269</v>
      </c>
      <c r="B4081" s="2" t="s">
        <v>3298</v>
      </c>
      <c r="C4081" s="2" t="n">
        <v>2</v>
      </c>
      <c r="D4081" s="2" t="n">
        <v>2</v>
      </c>
      <c r="E4081" s="2" t="n">
        <v>1</v>
      </c>
      <c r="F4081" s="2" t="n">
        <v>67</v>
      </c>
      <c r="G4081" s="2" t="s">
        <v>1466</v>
      </c>
      <c r="H4081" s="2" t="str">
        <f aca="false">IFERROR(__xludf.dummyfunction("IF(I4124="""", """", REGEXEXTRACT(I4124, ""Padrao/([^/]+)""))"),"Santa Cruz do Jose Jacques")</f>
        <v>Santa Cruz do Jose Jacques</v>
      </c>
    </row>
    <row r="4082" customFormat="false" ht="15.75" hidden="false" customHeight="false" outlineLevel="0" collapsed="false">
      <c r="A4082" s="2" t="n">
        <v>180176</v>
      </c>
      <c r="B4082" s="2" t="s">
        <v>3299</v>
      </c>
      <c r="C4082" s="2" t="n">
        <v>2</v>
      </c>
      <c r="D4082" s="2" t="n">
        <v>2</v>
      </c>
      <c r="E4082" s="2" t="n">
        <v>1</v>
      </c>
      <c r="F4082" s="2" t="n">
        <v>62</v>
      </c>
      <c r="G4082" s="2" t="s">
        <v>1466</v>
      </c>
      <c r="H4082" s="2" t="str">
        <f aca="false">IFERROR(__xludf.dummyfunction("IF(I4125="""", """", REGEXEXTRACT(I4125, ""Padrao/([^/]+)""))"),"Jardim Botanico")</f>
        <v>Jardim Botanico</v>
      </c>
    </row>
    <row r="4083" customFormat="false" ht="15.75" hidden="false" customHeight="false" outlineLevel="0" collapsed="false">
      <c r="A4083" s="2" t="n">
        <v>176132</v>
      </c>
      <c r="B4083" s="2" t="s">
        <v>3300</v>
      </c>
      <c r="C4083" s="2" t="n">
        <v>2</v>
      </c>
      <c r="D4083" s="2" t="n">
        <v>2</v>
      </c>
      <c r="E4083" s="2" t="n">
        <v>1</v>
      </c>
      <c r="F4083" s="2" t="n">
        <v>67</v>
      </c>
      <c r="G4083" s="2" t="s">
        <v>1466</v>
      </c>
      <c r="H4083" s="2" t="str">
        <f aca="false">IFERROR(__xludf.dummyfunction("IF(I4126="""", """", REGEXEXTRACT(I4126, ""Padrao/([^/]+)""))"),"Santa Cruz do Jose Jacques")</f>
        <v>Santa Cruz do Jose Jacques</v>
      </c>
    </row>
    <row r="4084" customFormat="false" ht="15.75" hidden="false" customHeight="false" outlineLevel="0" collapsed="false">
      <c r="A4084" s="2" t="n">
        <v>176129</v>
      </c>
      <c r="B4084" s="2" t="s">
        <v>3301</v>
      </c>
      <c r="C4084" s="2" t="n">
        <v>2</v>
      </c>
      <c r="D4084" s="2" t="n">
        <v>2</v>
      </c>
      <c r="E4084" s="2" t="n">
        <v>1</v>
      </c>
      <c r="F4084" s="2" t="n">
        <v>71</v>
      </c>
      <c r="G4084" s="2" t="s">
        <v>1466</v>
      </c>
      <c r="H4084" s="2" t="str">
        <f aca="false">IFERROR(__xludf.dummyfunction("IF(I4127="""", """", REGEXEXTRACT(I4127, ""Padrao/([^/]+)""))"),"Santa Cruz do Jose Jacques")</f>
        <v>Santa Cruz do Jose Jacques</v>
      </c>
    </row>
    <row r="4085" customFormat="false" ht="15.75" hidden="false" customHeight="false" outlineLevel="0" collapsed="false">
      <c r="A4085" s="2" t="n">
        <v>173567</v>
      </c>
      <c r="B4085" s="2" t="s">
        <v>2867</v>
      </c>
      <c r="C4085" s="2" t="n">
        <v>2</v>
      </c>
      <c r="D4085" s="2" t="n">
        <v>2</v>
      </c>
      <c r="E4085" s="2" t="n">
        <v>1</v>
      </c>
      <c r="F4085" s="2" t="n">
        <v>63</v>
      </c>
      <c r="G4085" s="2" t="s">
        <v>1466</v>
      </c>
      <c r="H4085" s="2" t="str">
        <f aca="false">IFERROR(__xludf.dummyfunction("IF(I4128="""", """", REGEXEXTRACT(I4128, ""Padrao/([^/]+)""))"),"Jardim Botanico")</f>
        <v>Jardim Botanico</v>
      </c>
    </row>
    <row r="4086" customFormat="false" ht="15.75" hidden="false" customHeight="false" outlineLevel="0" collapsed="false">
      <c r="A4086" s="2" t="n">
        <v>170231</v>
      </c>
      <c r="B4086" s="2" t="s">
        <v>3302</v>
      </c>
      <c r="C4086" s="2" t="n">
        <v>3</v>
      </c>
      <c r="D4086" s="2" t="n">
        <v>2</v>
      </c>
      <c r="E4086" s="2" t="n">
        <v>1</v>
      </c>
      <c r="F4086" s="2" t="n">
        <v>80</v>
      </c>
      <c r="G4086" s="2" t="s">
        <v>1466</v>
      </c>
      <c r="H4086" s="2" t="str">
        <f aca="false">IFERROR(__xludf.dummyfunction("IF(I4129="""", """", REGEXEXTRACT(I4129, ""Padrao/([^/]+)""))"),"Alto da Boa Vista")</f>
        <v>Alto da Boa Vista</v>
      </c>
    </row>
    <row r="4087" customFormat="false" ht="15.75" hidden="false" customHeight="false" outlineLevel="0" collapsed="false">
      <c r="A4087" s="2" t="n">
        <v>167729</v>
      </c>
      <c r="B4087" s="2" t="s">
        <v>602</v>
      </c>
      <c r="C4087" s="2" t="n">
        <v>4</v>
      </c>
      <c r="D4087" s="2" t="n">
        <v>3</v>
      </c>
      <c r="E4087" s="2" t="n">
        <v>1</v>
      </c>
      <c r="F4087" s="2" t="n">
        <v>119</v>
      </c>
      <c r="G4087" s="2" t="s">
        <v>1466</v>
      </c>
      <c r="H4087" s="2" t="str">
        <f aca="false">IFERROR(__xludf.dummyfunction("IF(I4130="""", """", REGEXEXTRACT(I4130, ""Padrao/([^/]+)""))"),"Centro")</f>
        <v>Centro</v>
      </c>
    </row>
    <row r="4088" customFormat="false" ht="15.75" hidden="false" customHeight="false" outlineLevel="0" collapsed="false">
      <c r="A4088" s="2" t="n">
        <v>162038</v>
      </c>
      <c r="B4088" s="2" t="s">
        <v>3303</v>
      </c>
      <c r="C4088" s="2" t="n">
        <v>2</v>
      </c>
      <c r="D4088" s="2" t="n">
        <v>2</v>
      </c>
      <c r="E4088" s="2" t="n">
        <v>1</v>
      </c>
      <c r="F4088" s="2" t="n">
        <v>50</v>
      </c>
      <c r="G4088" s="2" t="s">
        <v>1466</v>
      </c>
      <c r="H4088" s="2" t="str">
        <f aca="false">IFERROR(__xludf.dummyfunction("IF(I4131="""", """", REGEXEXTRACT(I4131, ""Padrao/([^/]+)""))"),"Jardim Botanico")</f>
        <v>Jardim Botanico</v>
      </c>
    </row>
    <row r="4089" customFormat="false" ht="15.75" hidden="false" customHeight="false" outlineLevel="0" collapsed="false">
      <c r="A4089" s="2" t="n">
        <v>156752</v>
      </c>
      <c r="B4089" s="2" t="s">
        <v>3304</v>
      </c>
      <c r="C4089" s="2" t="n">
        <v>3</v>
      </c>
      <c r="D4089" s="2" t="n">
        <v>3</v>
      </c>
      <c r="E4089" s="2" t="n">
        <v>2</v>
      </c>
      <c r="F4089" s="2" t="n">
        <v>116</v>
      </c>
      <c r="G4089" s="2" t="s">
        <v>1466</v>
      </c>
      <c r="H4089" s="2" t="str">
        <f aca="false">IFERROR(__xludf.dummyfunction("IF(I4132="""", """", REGEXEXTRACT(I4132, ""Padrao/([^/]+)""))"),"Vila Seixas")</f>
        <v>Vila Seixas</v>
      </c>
    </row>
    <row r="4090" customFormat="false" ht="15.75" hidden="false" customHeight="false" outlineLevel="0" collapsed="false">
      <c r="A4090" s="2" t="n">
        <v>147458</v>
      </c>
      <c r="B4090" s="2" t="s">
        <v>3305</v>
      </c>
      <c r="C4090" s="2" t="n">
        <v>2</v>
      </c>
      <c r="D4090" s="2" t="n">
        <v>1</v>
      </c>
      <c r="E4090" s="2" t="n">
        <v>2</v>
      </c>
      <c r="F4090" s="2" t="n">
        <v>71</v>
      </c>
      <c r="G4090" s="2" t="s">
        <v>1466</v>
      </c>
      <c r="H4090" s="2" t="str">
        <f aca="false">IFERROR(__xludf.dummyfunction("IF(I4133="""", """", REGEXEXTRACT(I4133, ""Padrao/([^/]+)""))"),"Jardim Botanico")</f>
        <v>Jardim Botanico</v>
      </c>
    </row>
    <row r="4091" customFormat="false" ht="15.75" hidden="false" customHeight="false" outlineLevel="0" collapsed="false">
      <c r="A4091" s="2" t="n">
        <v>137939</v>
      </c>
      <c r="B4091" s="2" t="s">
        <v>3306</v>
      </c>
      <c r="C4091" s="2" t="n">
        <v>3</v>
      </c>
      <c r="D4091" s="2" t="n">
        <v>2</v>
      </c>
      <c r="E4091" s="2" t="n">
        <v>1</v>
      </c>
      <c r="F4091" s="2" t="n">
        <v>82</v>
      </c>
      <c r="G4091" s="2" t="s">
        <v>1466</v>
      </c>
      <c r="H4091" s="2" t="str">
        <f aca="false">IFERROR(__xludf.dummyfunction("IF(I4134="""", """", REGEXEXTRACT(I4134, ""Padrao/([^/]+)""))"),"Jardim Castelo Branco")</f>
        <v>Jardim Castelo Branco</v>
      </c>
    </row>
    <row r="4092" customFormat="false" ht="15.75" hidden="false" customHeight="false" outlineLevel="0" collapsed="false">
      <c r="A4092" s="2" t="n">
        <v>128075</v>
      </c>
      <c r="B4092" s="2" t="s">
        <v>3307</v>
      </c>
      <c r="C4092" s="2" t="n">
        <v>3</v>
      </c>
      <c r="D4092" s="2" t="n">
        <v>3</v>
      </c>
      <c r="E4092" s="2" t="n">
        <v>1</v>
      </c>
      <c r="F4092" s="2" t="n">
        <v>97</v>
      </c>
      <c r="G4092" s="2" t="s">
        <v>1466</v>
      </c>
      <c r="H4092" s="2" t="str">
        <f aca="false">IFERROR(__xludf.dummyfunction("IF(I4135="""", """", REGEXEXTRACT(I4135, ""Padrao/([^/]+)""))"),"Campos Eliseos")</f>
        <v>Campos Eliseos</v>
      </c>
    </row>
    <row r="4093" customFormat="false" ht="15.75" hidden="false" customHeight="false" outlineLevel="0" collapsed="false">
      <c r="A4093" s="2" t="n">
        <v>109523</v>
      </c>
      <c r="B4093" s="2" t="s">
        <v>3308</v>
      </c>
      <c r="C4093" s="2" t="n">
        <v>2</v>
      </c>
      <c r="D4093" s="2" t="n">
        <v>2</v>
      </c>
      <c r="E4093" s="2" t="n">
        <v>1</v>
      </c>
      <c r="F4093" s="2" t="n">
        <v>107</v>
      </c>
      <c r="G4093" s="2" t="s">
        <v>1466</v>
      </c>
      <c r="H4093" s="2" t="str">
        <f aca="false">IFERROR(__xludf.dummyfunction("IF(I4136="""", """", REGEXEXTRACT(I4136, ""Padrao/([^/]+)""))"),"Centro")</f>
        <v>Centro</v>
      </c>
    </row>
    <row r="4094" customFormat="false" ht="15.75" hidden="false" customHeight="false" outlineLevel="0" collapsed="false">
      <c r="A4094" s="2" t="n">
        <v>106712</v>
      </c>
      <c r="B4094" s="2" t="s">
        <v>3252</v>
      </c>
      <c r="C4094" s="2" t="n">
        <v>3</v>
      </c>
      <c r="D4094" s="2" t="n">
        <v>2</v>
      </c>
      <c r="E4094" s="2" t="n">
        <v>1</v>
      </c>
      <c r="F4094" s="2" t="n">
        <v>72</v>
      </c>
      <c r="G4094" s="2" t="s">
        <v>1466</v>
      </c>
      <c r="H4094" s="2" t="str">
        <f aca="false">IFERROR(__xludf.dummyfunction("IF(I4137="""", """", REGEXEXTRACT(I4137, ""Padrao/([^/]+)""))"),"Jardim Iraja")</f>
        <v>Jardim Iraja</v>
      </c>
    </row>
    <row r="4095" customFormat="false" ht="15.75" hidden="false" customHeight="false" outlineLevel="0" collapsed="false">
      <c r="A4095" s="2" t="n">
        <v>99494</v>
      </c>
      <c r="B4095" s="2" t="s">
        <v>1312</v>
      </c>
      <c r="C4095" s="2" t="n">
        <v>3</v>
      </c>
      <c r="D4095" s="2" t="n">
        <v>2</v>
      </c>
      <c r="E4095" s="2" t="n">
        <v>1</v>
      </c>
      <c r="F4095" s="2" t="n">
        <v>87</v>
      </c>
      <c r="G4095" s="2" t="s">
        <v>1466</v>
      </c>
      <c r="H4095" s="2" t="str">
        <f aca="false">IFERROR(__xludf.dummyfunction("IF(I4138="""", """", REGEXEXTRACT(I4138, ""Padrao/([^/]+)""))"),"Jardim Iraja")</f>
        <v>Jardim Iraja</v>
      </c>
    </row>
    <row r="4096" customFormat="false" ht="15.75" hidden="false" customHeight="false" outlineLevel="0" collapsed="false">
      <c r="A4096" s="2" t="n">
        <v>91475</v>
      </c>
      <c r="B4096" s="2" t="s">
        <v>162</v>
      </c>
      <c r="C4096" s="2" t="n">
        <v>3</v>
      </c>
      <c r="D4096" s="2" t="n">
        <v>2</v>
      </c>
      <c r="E4096" s="2" t="n">
        <v>2</v>
      </c>
      <c r="F4096" s="2" t="n">
        <v>80</v>
      </c>
      <c r="G4096" s="2" t="s">
        <v>1466</v>
      </c>
      <c r="H4096" s="2" t="str">
        <f aca="false">IFERROR(__xludf.dummyfunction("IF(I4139="""", """", REGEXEXTRACT(I4139, ""Padrao/([^/]+)""))"),"Alto da Boa Vista")</f>
        <v>Alto da Boa Vista</v>
      </c>
    </row>
    <row r="4097" customFormat="false" ht="15.75" hidden="false" customHeight="false" outlineLevel="0" collapsed="false">
      <c r="A4097" s="2" t="n">
        <v>90662</v>
      </c>
      <c r="B4097" s="2" t="s">
        <v>3309</v>
      </c>
      <c r="C4097" s="2" t="n">
        <v>2</v>
      </c>
      <c r="D4097" s="2" t="n">
        <v>2</v>
      </c>
      <c r="E4097" s="2" t="n">
        <v>1</v>
      </c>
      <c r="F4097" s="2" t="n">
        <v>63</v>
      </c>
      <c r="G4097" s="2" t="s">
        <v>1466</v>
      </c>
      <c r="H4097" s="2" t="str">
        <f aca="false">IFERROR(__xludf.dummyfunction("IF(I4140="""", """", REGEXEXTRACT(I4140, ""Padrao/([^/]+)""))"),"Nova Alianca")</f>
        <v>Nova Alianca</v>
      </c>
    </row>
    <row r="4098" customFormat="false" ht="15.75" hidden="false" customHeight="false" outlineLevel="0" collapsed="false">
      <c r="A4098" s="2" t="n">
        <v>89939</v>
      </c>
      <c r="B4098" s="2" t="s">
        <v>3310</v>
      </c>
      <c r="C4098" s="2" t="n">
        <v>2</v>
      </c>
      <c r="D4098" s="2" t="n">
        <v>2</v>
      </c>
      <c r="E4098" s="2" t="n">
        <v>1</v>
      </c>
      <c r="F4098" s="2" t="n">
        <v>69</v>
      </c>
      <c r="G4098" s="2" t="s">
        <v>1466</v>
      </c>
      <c r="H4098" s="2" t="str">
        <f aca="false">IFERROR(__xludf.dummyfunction("IF(I4141="""", """", REGEXEXTRACT(I4141, ""Padrao/([^/]+)""))"),"Nova Alianca")</f>
        <v>Nova Alianca</v>
      </c>
    </row>
    <row r="4099" customFormat="false" ht="15.75" hidden="false" customHeight="false" outlineLevel="0" collapsed="false">
      <c r="A4099" s="2" t="n">
        <v>86282</v>
      </c>
      <c r="B4099" s="2" t="s">
        <v>3311</v>
      </c>
      <c r="C4099" s="2" t="n">
        <v>1</v>
      </c>
      <c r="D4099" s="2" t="n">
        <v>1</v>
      </c>
      <c r="E4099" s="2" t="n">
        <v>1</v>
      </c>
      <c r="F4099" s="2" t="n">
        <v>45</v>
      </c>
      <c r="G4099" s="2" t="s">
        <v>1466</v>
      </c>
      <c r="H4099" s="2" t="str">
        <f aca="false">IFERROR(__xludf.dummyfunction("IF(I4142="""", """", REGEXEXTRACT(I4142, ""Padrao/([^/]+)""))"),"Santa Cruz do Jose Jacques")</f>
        <v>Santa Cruz do Jose Jacques</v>
      </c>
    </row>
    <row r="4100" customFormat="false" ht="15.75" hidden="false" customHeight="false" outlineLevel="0" collapsed="false">
      <c r="A4100" s="2" t="n">
        <v>80393</v>
      </c>
      <c r="B4100" s="2" t="s">
        <v>3312</v>
      </c>
      <c r="C4100" s="2" t="n">
        <v>2</v>
      </c>
      <c r="D4100" s="2" t="n">
        <v>1</v>
      </c>
      <c r="E4100" s="2" t="n">
        <v>1</v>
      </c>
      <c r="F4100" s="2" t="n">
        <v>54</v>
      </c>
      <c r="G4100" s="2" t="s">
        <v>1466</v>
      </c>
      <c r="H4100" s="2" t="str">
        <f aca="false">IFERROR(__xludf.dummyfunction("IF(I4143="""", """", REGEXEXTRACT(I4143, ""Padrao/([^/]+)""))"),"Vila Amelia")</f>
        <v>Vila Amelia</v>
      </c>
    </row>
    <row r="4101" customFormat="false" ht="15.75" hidden="false" customHeight="false" outlineLevel="0" collapsed="false">
      <c r="A4101" s="2" t="n">
        <v>57497</v>
      </c>
      <c r="B4101" s="2" t="s">
        <v>162</v>
      </c>
      <c r="C4101" s="2" t="n">
        <v>3</v>
      </c>
      <c r="D4101" s="2" t="n">
        <v>1</v>
      </c>
      <c r="E4101" s="2" t="n">
        <v>2</v>
      </c>
      <c r="F4101" s="2" t="n">
        <v>83</v>
      </c>
      <c r="G4101" s="2" t="s">
        <v>1466</v>
      </c>
      <c r="H4101" s="2" t="str">
        <f aca="false">IFERROR(__xludf.dummyfunction("IF(I4144="""", """", REGEXEXTRACT(I4144, ""Padrao/([^/]+)""))"),"Nova Alianca")</f>
        <v>Nova Alianca</v>
      </c>
    </row>
    <row r="4102" customFormat="false" ht="15.75" hidden="false" customHeight="false" outlineLevel="0" collapsed="false">
      <c r="A4102" s="2" t="n">
        <v>198269</v>
      </c>
      <c r="B4102" s="2" t="s">
        <v>3313</v>
      </c>
      <c r="C4102" s="2" t="n">
        <v>3</v>
      </c>
      <c r="D4102" s="2" t="n">
        <v>2</v>
      </c>
      <c r="E4102" s="2" t="n">
        <v>1</v>
      </c>
      <c r="F4102" s="2" t="n">
        <v>146</v>
      </c>
      <c r="G4102" s="2" t="s">
        <v>614</v>
      </c>
      <c r="H4102" s="2" t="str">
        <f aca="false">IFERROR(__xludf.dummyfunction("IF(I4145="""", """", REGEXEXTRACT(I4145, ""Padrao/([^/]+)""))"),"Centro")</f>
        <v>Centro</v>
      </c>
    </row>
    <row r="4103" customFormat="false" ht="15.75" hidden="false" customHeight="false" outlineLevel="0" collapsed="false">
      <c r="A4103" s="2" t="n">
        <v>182717</v>
      </c>
      <c r="B4103" s="2" t="s">
        <v>3314</v>
      </c>
      <c r="C4103" s="2" t="n">
        <v>3</v>
      </c>
      <c r="D4103" s="2" t="n">
        <v>3</v>
      </c>
      <c r="E4103" s="2" t="n">
        <v>1</v>
      </c>
      <c r="F4103" s="2" t="n">
        <v>139</v>
      </c>
      <c r="G4103" s="2" t="s">
        <v>618</v>
      </c>
      <c r="H4103" s="2" t="str">
        <f aca="false">IFERROR(__xludf.dummyfunction("IF(I4146="""", """", REGEXEXTRACT(I4146, ""Padrao/([^/]+)""))"),"Centro")</f>
        <v>Centro</v>
      </c>
    </row>
    <row r="4104" customFormat="false" ht="15.75" hidden="false" customHeight="false" outlineLevel="0" collapsed="false">
      <c r="A4104" s="2" t="n">
        <v>162938</v>
      </c>
      <c r="B4104" s="2" t="s">
        <v>615</v>
      </c>
      <c r="C4104" s="2" t="n">
        <v>2</v>
      </c>
      <c r="D4104" s="2" t="n">
        <v>2</v>
      </c>
      <c r="E4104" s="2" t="n">
        <v>1</v>
      </c>
      <c r="F4104" s="2" t="n">
        <v>68</v>
      </c>
      <c r="G4104" s="2" t="s">
        <v>618</v>
      </c>
      <c r="H4104" s="2" t="str">
        <f aca="false">IFERROR(__xludf.dummyfunction("IF(I4147="""", """", REGEXEXTRACT(I4147, ""Padrao/([^/]+)""))"),"Centro")</f>
        <v>Centro</v>
      </c>
    </row>
    <row r="4105" customFormat="false" ht="15.75" hidden="false" customHeight="false" outlineLevel="0" collapsed="false">
      <c r="A4105" s="2" t="n">
        <v>154922</v>
      </c>
      <c r="B4105" s="2" t="s">
        <v>3315</v>
      </c>
      <c r="C4105" s="2" t="n">
        <v>3</v>
      </c>
      <c r="D4105" s="2" t="n">
        <v>2</v>
      </c>
      <c r="E4105" s="2" t="n">
        <v>1</v>
      </c>
      <c r="F4105" s="2" t="n">
        <v>121</v>
      </c>
      <c r="G4105" s="2" t="s">
        <v>618</v>
      </c>
      <c r="H4105" s="2" t="str">
        <f aca="false">IFERROR(__xludf.dummyfunction("IF(I4148="""", """", REGEXEXTRACT(I4148, ""Padrao/([^/]+)""))"),"Campos Eliseos")</f>
        <v>Campos Eliseos</v>
      </c>
    </row>
    <row r="4106" customFormat="false" ht="15.75" hidden="false" customHeight="false" outlineLevel="0" collapsed="false">
      <c r="A4106" s="2" t="n">
        <v>211046</v>
      </c>
      <c r="B4106" s="2" t="s">
        <v>3099</v>
      </c>
      <c r="C4106" s="2" t="n">
        <v>1</v>
      </c>
      <c r="D4106" s="2" t="n">
        <v>1</v>
      </c>
      <c r="E4106" s="2" t="n">
        <v>1</v>
      </c>
      <c r="F4106" s="2" t="n">
        <v>38</v>
      </c>
      <c r="G4106" s="2" t="s">
        <v>626</v>
      </c>
      <c r="H4106" s="2" t="str">
        <f aca="false">IFERROR(__xludf.dummyfunction("IF(I4149="""", """", REGEXEXTRACT(I4149, ""Padrao/([^/]+)""))"),"Jardim Palma Travassos")</f>
        <v>Jardim Palma Travassos</v>
      </c>
    </row>
    <row r="4107" customFormat="false" ht="15.75" hidden="false" customHeight="false" outlineLevel="0" collapsed="false">
      <c r="A4107" s="2" t="n">
        <v>183731</v>
      </c>
      <c r="B4107" s="2" t="s">
        <v>3316</v>
      </c>
      <c r="C4107" s="2" t="n">
        <v>2</v>
      </c>
      <c r="D4107" s="2" t="n">
        <v>3</v>
      </c>
      <c r="E4107" s="2" t="n">
        <v>1</v>
      </c>
      <c r="F4107" s="2" t="n">
        <v>108</v>
      </c>
      <c r="G4107" s="2" t="s">
        <v>626</v>
      </c>
      <c r="H4107" s="2" t="str">
        <f aca="false">IFERROR(__xludf.dummyfunction("IF(I4150="""", """", REGEXEXTRACT(I4150, ""Padrao/([^/]+)""))"),"Condominio Itamaraty")</f>
        <v>Condominio Itamaraty</v>
      </c>
    </row>
    <row r="4108" customFormat="false" ht="15.75" hidden="false" customHeight="false" outlineLevel="0" collapsed="false">
      <c r="A4108" s="2" t="n">
        <v>149570</v>
      </c>
      <c r="B4108" s="2" t="s">
        <v>3317</v>
      </c>
      <c r="C4108" s="2" t="n">
        <v>1</v>
      </c>
      <c r="D4108" s="2" t="n">
        <v>2</v>
      </c>
      <c r="E4108" s="2" t="n">
        <v>1</v>
      </c>
      <c r="F4108" s="2" t="n">
        <v>45</v>
      </c>
      <c r="G4108" s="2" t="s">
        <v>3229</v>
      </c>
      <c r="H4108" s="2" t="str">
        <f aca="false">IFERROR(__xludf.dummyfunction("IF(I4151="""", """", REGEXEXTRACT(I4151, ""Padrao/([^/]+)""))"),"Nova Alianca")</f>
        <v>Nova Alianca</v>
      </c>
    </row>
    <row r="4109" customFormat="false" ht="15.75" hidden="false" customHeight="false" outlineLevel="0" collapsed="false">
      <c r="A4109" s="2" t="n">
        <v>63803</v>
      </c>
      <c r="B4109" s="2" t="s">
        <v>3318</v>
      </c>
      <c r="C4109" s="2" t="n">
        <v>3</v>
      </c>
      <c r="D4109" s="2" t="n">
        <v>2</v>
      </c>
      <c r="E4109" s="2" t="n">
        <v>2</v>
      </c>
      <c r="F4109" s="2" t="n">
        <v>105</v>
      </c>
      <c r="G4109" s="2" t="s">
        <v>631</v>
      </c>
      <c r="H4109" s="2" t="str">
        <f aca="false">IFERROR(__xludf.dummyfunction("IF(I4152="""", """", REGEXEXTRACT(I4152, ""Padrao/([^/]+)""))"),"Jardim Sao Luiz")</f>
        <v>Jardim Sao Luiz</v>
      </c>
    </row>
    <row r="4110" customFormat="false" ht="15.75" hidden="false" customHeight="false" outlineLevel="0" collapsed="false">
      <c r="A4110" s="2" t="n">
        <v>244967</v>
      </c>
      <c r="B4110" s="2" t="s">
        <v>3319</v>
      </c>
      <c r="C4110" s="2" t="n">
        <v>3</v>
      </c>
      <c r="D4110" s="2" t="n">
        <v>3</v>
      </c>
      <c r="E4110" s="2" t="n">
        <v>1</v>
      </c>
      <c r="F4110" s="2" t="n">
        <v>90</v>
      </c>
      <c r="G4110" s="2" t="s">
        <v>636</v>
      </c>
      <c r="H4110" s="2" t="str">
        <f aca="false">IFERROR(__xludf.dummyfunction("IF(I4153="""", """", REGEXEXTRACT(I4153, ""Padrao/([^/]+)""))"),"Centro")</f>
        <v>Centro</v>
      </c>
    </row>
    <row r="4111" customFormat="false" ht="15.75" hidden="false" customHeight="false" outlineLevel="0" collapsed="false">
      <c r="A4111" s="2" t="n">
        <v>229286</v>
      </c>
      <c r="B4111" s="2" t="s">
        <v>3320</v>
      </c>
      <c r="C4111" s="2" t="n">
        <v>2</v>
      </c>
      <c r="D4111" s="2" t="n">
        <v>2</v>
      </c>
      <c r="E4111" s="2" t="n">
        <v>1</v>
      </c>
      <c r="F4111" s="2" t="n">
        <v>40</v>
      </c>
      <c r="G4111" s="2" t="s">
        <v>636</v>
      </c>
      <c r="H4111" s="2" t="str">
        <f aca="false">IFERROR(__xludf.dummyfunction("IF(I4154="""", """", REGEXEXTRACT(I4154, ""Padrao/([^/]+)""))"),"Jardim Iraja")</f>
        <v>Jardim Iraja</v>
      </c>
    </row>
    <row r="4112" customFormat="false" ht="15.75" hidden="false" customHeight="false" outlineLevel="0" collapsed="false">
      <c r="A4112" s="2" t="n">
        <v>208352</v>
      </c>
      <c r="B4112" s="2" t="s">
        <v>3321</v>
      </c>
      <c r="C4112" s="2" t="n">
        <v>2</v>
      </c>
      <c r="D4112" s="2" t="n">
        <v>2</v>
      </c>
      <c r="E4112" s="2" t="n">
        <v>1</v>
      </c>
      <c r="F4112" s="2" t="n">
        <v>54</v>
      </c>
      <c r="G4112" s="2" t="s">
        <v>636</v>
      </c>
      <c r="H4112" s="2" t="str">
        <f aca="false">IFERROR(__xludf.dummyfunction("IF(I4155="""", """", REGEXEXTRACT(I4155, ""Padrao/([^/]+)""))"),"Vila Monte Alegre")</f>
        <v>Vila Monte Alegre</v>
      </c>
    </row>
    <row r="4113" customFormat="false" ht="15.75" hidden="false" customHeight="false" outlineLevel="0" collapsed="false">
      <c r="A4113" s="2" t="n">
        <v>199817</v>
      </c>
      <c r="B4113" s="2" t="s">
        <v>1312</v>
      </c>
      <c r="C4113" s="2" t="n">
        <v>3</v>
      </c>
      <c r="D4113" s="2" t="n">
        <v>2</v>
      </c>
      <c r="E4113" s="2" t="n">
        <v>1</v>
      </c>
      <c r="F4113" s="2" t="n">
        <v>85</v>
      </c>
      <c r="G4113" s="2" t="s">
        <v>636</v>
      </c>
      <c r="H4113" s="2" t="str">
        <f aca="false">IFERROR(__xludf.dummyfunction("IF(I4156="""", """", REGEXEXTRACT(I4156, ""Padrao/([^/]+)""))"),"Jardim Iraja")</f>
        <v>Jardim Iraja</v>
      </c>
    </row>
    <row r="4114" customFormat="false" ht="15.75" hidden="false" customHeight="false" outlineLevel="0" collapsed="false">
      <c r="A4114" s="2" t="n">
        <v>198275</v>
      </c>
      <c r="B4114" s="2" t="s">
        <v>3322</v>
      </c>
      <c r="C4114" s="2" t="n">
        <v>1</v>
      </c>
      <c r="D4114" s="2" t="n">
        <v>1</v>
      </c>
      <c r="E4114" s="2" t="n">
        <v>1</v>
      </c>
      <c r="F4114" s="2" t="n">
        <v>32</v>
      </c>
      <c r="G4114" s="2" t="s">
        <v>636</v>
      </c>
      <c r="H4114" s="2" t="str">
        <f aca="false">IFERROR(__xludf.dummyfunction("IF(I4157="""", """", REGEXEXTRACT(I4157, ""Padrao/([^/]+)""))"),"Jardim Iraja")</f>
        <v>Jardim Iraja</v>
      </c>
    </row>
    <row r="4115" customFormat="false" ht="15.75" hidden="false" customHeight="false" outlineLevel="0" collapsed="false">
      <c r="A4115" s="2" t="n">
        <v>193550</v>
      </c>
      <c r="B4115" s="2" t="s">
        <v>3323</v>
      </c>
      <c r="C4115" s="2" t="n">
        <v>1</v>
      </c>
      <c r="D4115" s="2" t="n">
        <v>1</v>
      </c>
      <c r="E4115" s="2" t="n">
        <v>1</v>
      </c>
      <c r="F4115" s="2" t="n">
        <v>60</v>
      </c>
      <c r="G4115" s="2" t="s">
        <v>636</v>
      </c>
      <c r="H4115" s="2" t="str">
        <f aca="false">IFERROR(__xludf.dummyfunction("IF(I4158="""", """", REGEXEXTRACT(I4158, ""Padrao/([^/]+)""))"),"Santa Cruz do Jose Jacques")</f>
        <v>Santa Cruz do Jose Jacques</v>
      </c>
    </row>
    <row r="4116" customFormat="false" ht="15.75" hidden="false" customHeight="false" outlineLevel="0" collapsed="false">
      <c r="A4116" s="2" t="n">
        <v>177740</v>
      </c>
      <c r="B4116" s="2" t="s">
        <v>3272</v>
      </c>
      <c r="C4116" s="2" t="n">
        <v>2</v>
      </c>
      <c r="D4116" s="2" t="n">
        <v>2</v>
      </c>
      <c r="E4116" s="2" t="n">
        <v>1</v>
      </c>
      <c r="F4116" s="2" t="n">
        <v>80</v>
      </c>
      <c r="G4116" s="2" t="s">
        <v>636</v>
      </c>
      <c r="H4116" s="2" t="str">
        <f aca="false">IFERROR(__xludf.dummyfunction("IF(I4159="""", """", REGEXEXTRACT(I4159, ""Padrao/([^/]+)""))"),"Centro")</f>
        <v>Centro</v>
      </c>
    </row>
    <row r="4117" customFormat="false" ht="15.75" hidden="false" customHeight="false" outlineLevel="0" collapsed="false">
      <c r="A4117" s="2" t="n">
        <v>171083</v>
      </c>
      <c r="B4117" s="2" t="s">
        <v>3324</v>
      </c>
      <c r="C4117" s="2" t="n">
        <v>3</v>
      </c>
      <c r="D4117" s="2" t="n">
        <v>3</v>
      </c>
      <c r="E4117" s="2" t="n">
        <v>1</v>
      </c>
      <c r="F4117" s="2" t="n">
        <v>114</v>
      </c>
      <c r="G4117" s="2" t="s">
        <v>636</v>
      </c>
      <c r="H4117" s="2" t="str">
        <f aca="false">IFERROR(__xludf.dummyfunction("IF(I4160="""", """", REGEXEXTRACT(I4160, ""Padrao/([^/]+)""))"),"Presidente Medici")</f>
        <v>Presidente Medici</v>
      </c>
    </row>
    <row r="4118" customFormat="false" ht="15.75" hidden="false" customHeight="false" outlineLevel="0" collapsed="false">
      <c r="A4118" s="2" t="n">
        <v>164999</v>
      </c>
      <c r="B4118" s="2" t="s">
        <v>3325</v>
      </c>
      <c r="C4118" s="2" t="n">
        <v>2</v>
      </c>
      <c r="D4118" s="2" t="n">
        <v>2</v>
      </c>
      <c r="E4118" s="2" t="n">
        <v>1</v>
      </c>
      <c r="F4118" s="2" t="n">
        <v>68</v>
      </c>
      <c r="G4118" s="2" t="s">
        <v>636</v>
      </c>
      <c r="H4118" s="2" t="str">
        <f aca="false">IFERROR(__xludf.dummyfunction("IF(I4161="""", """", REGEXEXTRACT(I4161, ""Padrao/([^/]+)""))"),"Vila Seixas")</f>
        <v>Vila Seixas</v>
      </c>
    </row>
    <row r="4119" customFormat="false" ht="15.75" hidden="false" customHeight="false" outlineLevel="0" collapsed="false">
      <c r="A4119" s="2" t="n">
        <v>150464</v>
      </c>
      <c r="B4119" s="2" t="s">
        <v>3326</v>
      </c>
      <c r="C4119" s="2" t="n">
        <v>2</v>
      </c>
      <c r="D4119" s="2" t="n">
        <v>1</v>
      </c>
      <c r="E4119" s="2" t="n">
        <v>1</v>
      </c>
      <c r="F4119" s="2" t="n">
        <v>55</v>
      </c>
      <c r="G4119" s="2" t="s">
        <v>636</v>
      </c>
      <c r="H4119" s="2" t="str">
        <f aca="false">IFERROR(__xludf.dummyfunction("IF(I4162="""", """", REGEXEXTRACT(I4162, ""Padrao/([^/]+)""))"),"Nova Alianca")</f>
        <v>Nova Alianca</v>
      </c>
    </row>
    <row r="4120" customFormat="false" ht="15.75" hidden="false" customHeight="false" outlineLevel="0" collapsed="false">
      <c r="A4120" s="2" t="n">
        <v>139562</v>
      </c>
      <c r="B4120" s="2" t="s">
        <v>3327</v>
      </c>
      <c r="C4120" s="2" t="n">
        <v>2</v>
      </c>
      <c r="D4120" s="2" t="n">
        <v>2</v>
      </c>
      <c r="E4120" s="2" t="n">
        <v>2</v>
      </c>
      <c r="F4120" s="2" t="n">
        <v>75</v>
      </c>
      <c r="G4120" s="2" t="s">
        <v>636</v>
      </c>
      <c r="H4120" s="2" t="str">
        <f aca="false">IFERROR(__xludf.dummyfunction("IF(I4163="""", """", REGEXEXTRACT(I4163, ""Padrao/([^/]+)""))"),"Jardim Novo Mundo")</f>
        <v>Jardim Novo Mundo</v>
      </c>
    </row>
    <row r="4121" customFormat="false" ht="15.75" hidden="false" customHeight="false" outlineLevel="0" collapsed="false">
      <c r="A4121" s="2" t="n">
        <v>123755</v>
      </c>
      <c r="B4121" s="2" t="s">
        <v>2206</v>
      </c>
      <c r="C4121" s="2" t="n">
        <v>3</v>
      </c>
      <c r="D4121" s="2" t="n">
        <v>3</v>
      </c>
      <c r="E4121" s="2" t="n">
        <v>2</v>
      </c>
      <c r="F4121" s="2" t="n">
        <v>146</v>
      </c>
      <c r="G4121" s="2" t="s">
        <v>636</v>
      </c>
      <c r="H4121" s="2" t="str">
        <f aca="false">IFERROR(__xludf.dummyfunction("IF(I4164="""", """", REGEXEXTRACT(I4164, ""Padrao/([^/]+)""))"),"Centro")</f>
        <v>Centro</v>
      </c>
    </row>
    <row r="4122" customFormat="false" ht="15.75" hidden="false" customHeight="false" outlineLevel="0" collapsed="false">
      <c r="A4122" s="2" t="n">
        <v>120683</v>
      </c>
      <c r="B4122" s="2" t="s">
        <v>1312</v>
      </c>
      <c r="C4122" s="2" t="n">
        <v>2</v>
      </c>
      <c r="D4122" s="2" t="n">
        <v>2</v>
      </c>
      <c r="E4122" s="2" t="n">
        <v>1</v>
      </c>
      <c r="F4122" s="2" t="n">
        <v>70</v>
      </c>
      <c r="G4122" s="2" t="s">
        <v>636</v>
      </c>
      <c r="H4122" s="2" t="str">
        <f aca="false">IFERROR(__xludf.dummyfunction("IF(I4165="""", """", REGEXEXTRACT(I4165, ""Padrao/([^/]+)""))"),"Jardim Novo Mundo")</f>
        <v>Jardim Novo Mundo</v>
      </c>
    </row>
    <row r="4123" customFormat="false" ht="15.75" hidden="false" customHeight="false" outlineLevel="0" collapsed="false">
      <c r="A4123" s="2" t="n">
        <v>114377</v>
      </c>
      <c r="B4123" s="2" t="s">
        <v>3328</v>
      </c>
      <c r="C4123" s="2" t="n">
        <v>3</v>
      </c>
      <c r="D4123" s="2" t="n">
        <v>2</v>
      </c>
      <c r="E4123" s="2" t="n">
        <v>1</v>
      </c>
      <c r="F4123" s="2" t="n">
        <v>100</v>
      </c>
      <c r="G4123" s="2" t="s">
        <v>636</v>
      </c>
      <c r="H4123" s="2" t="str">
        <f aca="false">IFERROR(__xludf.dummyfunction("IF(I4166="""", """", REGEXEXTRACT(I4166, ""Padrao/([^/]+)""))"),"Centro")</f>
        <v>Centro</v>
      </c>
    </row>
    <row r="4124" customFormat="false" ht="15.75" hidden="false" customHeight="false" outlineLevel="0" collapsed="false">
      <c r="A4124" s="2" t="n">
        <v>114251</v>
      </c>
      <c r="B4124" s="2" t="s">
        <v>3329</v>
      </c>
      <c r="C4124" s="2" t="n">
        <v>3</v>
      </c>
      <c r="D4124" s="2" t="n">
        <v>3</v>
      </c>
      <c r="E4124" s="2" t="n">
        <v>1</v>
      </c>
      <c r="F4124" s="2" t="n">
        <v>97</v>
      </c>
      <c r="G4124" s="2" t="s">
        <v>636</v>
      </c>
      <c r="H4124" s="2" t="str">
        <f aca="false">IFERROR(__xludf.dummyfunction("IF(I4167="""", """", REGEXEXTRACT(I4167, ""Padrao/([^/]+)""))"),"Jardim Iraja")</f>
        <v>Jardim Iraja</v>
      </c>
    </row>
    <row r="4125" customFormat="false" ht="15.75" hidden="false" customHeight="false" outlineLevel="0" collapsed="false">
      <c r="A4125" s="2" t="n">
        <v>113267</v>
      </c>
      <c r="B4125" s="2" t="s">
        <v>3330</v>
      </c>
      <c r="C4125" s="2" t="n">
        <v>3</v>
      </c>
      <c r="D4125" s="2" t="n">
        <v>2</v>
      </c>
      <c r="E4125" s="2" t="n">
        <v>2</v>
      </c>
      <c r="F4125" s="2" t="n">
        <v>75</v>
      </c>
      <c r="G4125" s="2" t="s">
        <v>636</v>
      </c>
      <c r="H4125" s="2" t="str">
        <f aca="false">IFERROR(__xludf.dummyfunction("IF(I4168="""", """", REGEXEXTRACT(I4168, ""Padrao/([^/]+)""))"),"Jardim Botanico")</f>
        <v>Jardim Botanico</v>
      </c>
    </row>
    <row r="4126" customFormat="false" ht="15.75" hidden="false" customHeight="false" outlineLevel="0" collapsed="false">
      <c r="A4126" s="2" t="n">
        <v>112511</v>
      </c>
      <c r="B4126" s="2" t="s">
        <v>162</v>
      </c>
      <c r="C4126" s="2" t="n">
        <v>2</v>
      </c>
      <c r="D4126" s="2" t="n">
        <v>2</v>
      </c>
      <c r="E4126" s="2" t="n">
        <v>1</v>
      </c>
      <c r="F4126" s="2" t="n">
        <v>72</v>
      </c>
      <c r="G4126" s="2" t="s">
        <v>636</v>
      </c>
      <c r="H4126" s="2" t="str">
        <f aca="false">IFERROR(__xludf.dummyfunction("IF(I4169="""", """", REGEXEXTRACT(I4169, ""Padrao/([^/]+)""))"),"Vila Amelia")</f>
        <v>Vila Amelia</v>
      </c>
    </row>
    <row r="4127" customFormat="false" ht="15.75" hidden="false" customHeight="false" outlineLevel="0" collapsed="false">
      <c r="A4127" s="2" t="n">
        <v>101606</v>
      </c>
      <c r="B4127" s="2" t="s">
        <v>3331</v>
      </c>
      <c r="C4127" s="2" t="n">
        <v>2</v>
      </c>
      <c r="D4127" s="2" t="n">
        <v>2</v>
      </c>
      <c r="E4127" s="2" t="n">
        <v>1</v>
      </c>
      <c r="F4127" s="2" t="n">
        <v>96</v>
      </c>
      <c r="G4127" s="2" t="s">
        <v>636</v>
      </c>
      <c r="H4127" s="2" t="str">
        <f aca="false">IFERROR(__xludf.dummyfunction("IF(I4170="""", """", REGEXEXTRACT(I4170, ""Padrao/([^/]+)""))"),"Centro")</f>
        <v>Centro</v>
      </c>
    </row>
    <row r="4128" customFormat="false" ht="15.75" hidden="false" customHeight="false" outlineLevel="0" collapsed="false">
      <c r="A4128" s="2" t="n">
        <v>99188</v>
      </c>
      <c r="B4128" s="2" t="s">
        <v>162</v>
      </c>
      <c r="C4128" s="2" t="n">
        <v>3</v>
      </c>
      <c r="D4128" s="2" t="n">
        <v>2</v>
      </c>
      <c r="E4128" s="2" t="n">
        <v>1</v>
      </c>
      <c r="F4128" s="2" t="n">
        <v>62</v>
      </c>
      <c r="G4128" s="2" t="s">
        <v>636</v>
      </c>
      <c r="H4128" s="2" t="str">
        <f aca="false">IFERROR(__xludf.dummyfunction("IF(I4171="""", """", REGEXEXTRACT(I4171, ""Padrao/([^/]+)""))"),"Jardim Palma Travassos")</f>
        <v>Jardim Palma Travassos</v>
      </c>
    </row>
    <row r="4129" customFormat="false" ht="15.75" hidden="false" customHeight="false" outlineLevel="0" collapsed="false">
      <c r="A4129" s="2" t="n">
        <v>94940</v>
      </c>
      <c r="B4129" s="2" t="s">
        <v>3332</v>
      </c>
      <c r="C4129" s="2" t="n">
        <v>1</v>
      </c>
      <c r="D4129" s="2" t="n">
        <v>1</v>
      </c>
      <c r="E4129" s="2" t="n">
        <v>1</v>
      </c>
      <c r="F4129" s="2" t="n">
        <v>45</v>
      </c>
      <c r="G4129" s="2" t="s">
        <v>636</v>
      </c>
      <c r="H4129" s="2" t="str">
        <f aca="false">IFERROR(__xludf.dummyfunction("IF(I4172="""", """", REGEXEXTRACT(I4172, ""Padrao/([^/]+)""))"),"Jardim Florida")</f>
        <v>Jardim Florida</v>
      </c>
    </row>
    <row r="4130" customFormat="false" ht="15.75" hidden="false" customHeight="false" outlineLevel="0" collapsed="false">
      <c r="A4130" s="2" t="n">
        <v>94415</v>
      </c>
      <c r="B4130" s="2" t="s">
        <v>3333</v>
      </c>
      <c r="C4130" s="2" t="n">
        <v>3</v>
      </c>
      <c r="D4130" s="2" t="n">
        <v>2</v>
      </c>
      <c r="E4130" s="2" t="n">
        <v>1</v>
      </c>
      <c r="F4130" s="2" t="n">
        <v>99</v>
      </c>
      <c r="G4130" s="2" t="s">
        <v>636</v>
      </c>
      <c r="H4130" s="2" t="str">
        <f aca="false">IFERROR(__xludf.dummyfunction("IF(I4173="""", """", REGEXEXTRACT(I4173, ""Padrao/([^/]+)""))"),"Parque dos Bandeirantes")</f>
        <v>Parque dos Bandeirantes</v>
      </c>
    </row>
    <row r="4131" customFormat="false" ht="15.75" hidden="false" customHeight="false" outlineLevel="0" collapsed="false">
      <c r="A4131" s="2" t="n">
        <v>84095</v>
      </c>
      <c r="B4131" s="2" t="s">
        <v>3334</v>
      </c>
      <c r="C4131" s="2" t="n">
        <v>3</v>
      </c>
      <c r="D4131" s="2" t="n">
        <v>2</v>
      </c>
      <c r="E4131" s="2" t="n">
        <v>1</v>
      </c>
      <c r="F4131" s="2" t="n">
        <v>105</v>
      </c>
      <c r="G4131" s="2" t="s">
        <v>636</v>
      </c>
      <c r="H4131" s="2" t="str">
        <f aca="false">IFERROR(__xludf.dummyfunction("IF(I4174="""", """", REGEXEXTRACT(I4174, ""Padrao/([^/]+)""))"),"Campos Eliseos")</f>
        <v>Campos Eliseos</v>
      </c>
    </row>
    <row r="4132" customFormat="false" ht="15.75" hidden="false" customHeight="false" outlineLevel="0" collapsed="false">
      <c r="A4132" s="2" t="n">
        <v>76943</v>
      </c>
      <c r="B4132" s="2" t="s">
        <v>2395</v>
      </c>
      <c r="C4132" s="2" t="n">
        <v>3</v>
      </c>
      <c r="D4132" s="2" t="n">
        <v>2</v>
      </c>
      <c r="E4132" s="2" t="n">
        <v>1</v>
      </c>
      <c r="F4132" s="2" t="n">
        <v>130</v>
      </c>
      <c r="G4132" s="2" t="s">
        <v>636</v>
      </c>
      <c r="H4132" s="2" t="str">
        <f aca="false">IFERROR(__xludf.dummyfunction("IF(I4175="""", """", REGEXEXTRACT(I4175, ""Padrao/([^/]+)""))"),"Jardim Palma Travassos")</f>
        <v>Jardim Palma Travassos</v>
      </c>
    </row>
    <row r="4133" customFormat="false" ht="15.75" hidden="false" customHeight="false" outlineLevel="0" collapsed="false">
      <c r="A4133" s="2" t="n">
        <v>68000</v>
      </c>
      <c r="B4133" s="2" t="s">
        <v>3335</v>
      </c>
      <c r="C4133" s="2" t="n">
        <v>2</v>
      </c>
      <c r="D4133" s="2" t="n">
        <v>2</v>
      </c>
      <c r="E4133" s="2" t="n">
        <v>1</v>
      </c>
      <c r="F4133" s="2" t="n">
        <v>60</v>
      </c>
      <c r="G4133" s="2" t="s">
        <v>636</v>
      </c>
      <c r="H4133" s="2" t="str">
        <f aca="false">IFERROR(__xludf.dummyfunction("IF(I4176="""", """", REGEXEXTRACT(I4176, ""Padrao/([^/]+)""))"),"Nova Alianca")</f>
        <v>Nova Alianca</v>
      </c>
    </row>
    <row r="4134" customFormat="false" ht="15.75" hidden="false" customHeight="false" outlineLevel="0" collapsed="false">
      <c r="A4134" s="2" t="n">
        <v>57818</v>
      </c>
      <c r="B4134" s="2" t="s">
        <v>3336</v>
      </c>
      <c r="C4134" s="2" t="n">
        <v>1</v>
      </c>
      <c r="D4134" s="2" t="n">
        <v>1</v>
      </c>
      <c r="E4134" s="2" t="n">
        <v>1</v>
      </c>
      <c r="F4134" s="2" t="n">
        <v>51</v>
      </c>
      <c r="G4134" s="2" t="s">
        <v>636</v>
      </c>
      <c r="H4134" s="2" t="str">
        <f aca="false">IFERROR(__xludf.dummyfunction("IF(I4177="""", """", REGEXEXTRACT(I4177, ""Padrao/([^/]+)""))"),"Centro")</f>
        <v>Centro</v>
      </c>
    </row>
    <row r="4135" customFormat="false" ht="15.75" hidden="false" customHeight="false" outlineLevel="0" collapsed="false">
      <c r="A4135" s="2" t="n">
        <v>53009</v>
      </c>
      <c r="B4135" s="2" t="s">
        <v>1066</v>
      </c>
      <c r="C4135" s="2" t="n">
        <v>3</v>
      </c>
      <c r="D4135" s="2" t="n">
        <v>2</v>
      </c>
      <c r="E4135" s="2" t="n">
        <v>2</v>
      </c>
      <c r="F4135" s="2" t="n">
        <v>104</v>
      </c>
      <c r="G4135" s="2" t="s">
        <v>636</v>
      </c>
      <c r="H4135" s="2" t="str">
        <f aca="false">IFERROR(__xludf.dummyfunction("IF(I4178="""", """", REGEXEXTRACT(I4178, ""Padrao/([^/]+)""))"),"Castelo Branco")</f>
        <v>Castelo Branco</v>
      </c>
    </row>
    <row r="4136" customFormat="false" ht="15.75" hidden="false" customHeight="false" outlineLevel="0" collapsed="false">
      <c r="A4136" s="2" t="n">
        <v>133346</v>
      </c>
      <c r="B4136" s="2" t="s">
        <v>162</v>
      </c>
      <c r="C4136" s="2" t="n">
        <v>3</v>
      </c>
      <c r="D4136" s="2" t="n">
        <v>3</v>
      </c>
      <c r="E4136" s="2" t="n">
        <v>2</v>
      </c>
      <c r="F4136" s="2" t="n">
        <v>122</v>
      </c>
      <c r="G4136" s="2" t="s">
        <v>3337</v>
      </c>
      <c r="H4136" s="2" t="str">
        <f aca="false">IFERROR(__xludf.dummyfunction("IF(I4179="""", """", REGEXEXTRACT(I4179, ""Padrao/([^/]+)""))"),"Centro")</f>
        <v>Centro</v>
      </c>
    </row>
    <row r="4137" customFormat="false" ht="15.75" hidden="false" customHeight="false" outlineLevel="0" collapsed="false">
      <c r="A4137" s="2" t="n">
        <v>119207</v>
      </c>
      <c r="B4137" s="2" t="s">
        <v>776</v>
      </c>
      <c r="C4137" s="2" t="n">
        <v>3</v>
      </c>
      <c r="D4137" s="2" t="n">
        <v>2</v>
      </c>
      <c r="E4137" s="2" t="n">
        <v>1</v>
      </c>
      <c r="F4137" s="2" t="n">
        <v>117</v>
      </c>
      <c r="G4137" s="2" t="s">
        <v>3337</v>
      </c>
      <c r="H4137" s="2" t="str">
        <f aca="false">IFERROR(__xludf.dummyfunction("IF(I4180="""", """", REGEXEXTRACT(I4180, ""Padrao/([^/]+)""))"),"Parque dos Bandeirantes")</f>
        <v>Parque dos Bandeirantes</v>
      </c>
    </row>
    <row r="4138" customFormat="false" ht="15.75" hidden="false" customHeight="false" outlineLevel="0" collapsed="false">
      <c r="A4138" s="2" t="n">
        <v>233315</v>
      </c>
      <c r="B4138" s="2" t="s">
        <v>3338</v>
      </c>
      <c r="C4138" s="2" t="n">
        <v>2</v>
      </c>
      <c r="D4138" s="2" t="n">
        <v>1</v>
      </c>
      <c r="E4138" s="2" t="n">
        <v>1</v>
      </c>
      <c r="F4138" s="2" t="n">
        <v>53</v>
      </c>
      <c r="G4138" s="2" t="s">
        <v>3339</v>
      </c>
      <c r="H4138" s="2" t="str">
        <f aca="false">IFERROR(__xludf.dummyfunction("IF(I4181="""", """", REGEXEXTRACT(I4181, ""Padrao/([^/]+)""))"),"Nova Alianca")</f>
        <v>Nova Alianca</v>
      </c>
    </row>
    <row r="4139" customFormat="false" ht="15.75" hidden="false" customHeight="false" outlineLevel="0" collapsed="false">
      <c r="A4139" s="2" t="n">
        <v>233480</v>
      </c>
      <c r="B4139" s="2" t="s">
        <v>3340</v>
      </c>
      <c r="C4139" s="2" t="n">
        <v>2</v>
      </c>
      <c r="D4139" s="2" t="n">
        <v>2</v>
      </c>
      <c r="E4139" s="2" t="n">
        <v>1</v>
      </c>
      <c r="F4139" s="2" t="n">
        <v>64</v>
      </c>
      <c r="G4139" s="2" t="s">
        <v>1499</v>
      </c>
      <c r="H4139" s="2" t="str">
        <f aca="false">IFERROR(__xludf.dummyfunction("IF(I4182="""", """", REGEXEXTRACT(I4182, ""Padrao/([^/]+)""))"),"Sumarezinho")</f>
        <v>Sumarezinho</v>
      </c>
    </row>
    <row r="4140" customFormat="false" ht="15.75" hidden="false" customHeight="false" outlineLevel="0" collapsed="false">
      <c r="A4140" s="2" t="n">
        <v>221324</v>
      </c>
      <c r="B4140" s="2" t="s">
        <v>3341</v>
      </c>
      <c r="C4140" s="2" t="n">
        <v>2</v>
      </c>
      <c r="D4140" s="2" t="n">
        <v>1</v>
      </c>
      <c r="E4140" s="2" t="n">
        <v>1</v>
      </c>
      <c r="F4140" s="2" t="n">
        <v>48</v>
      </c>
      <c r="G4140" s="2" t="s">
        <v>1499</v>
      </c>
      <c r="H4140" s="2" t="str">
        <f aca="false">IFERROR(__xludf.dummyfunction("IF(I4183="""", """", REGEXEXTRACT(I4183, ""Padrao/([^/]+)""))"),"Jardim Olhos DAgua")</f>
        <v>Jardim Olhos DAgua</v>
      </c>
    </row>
    <row r="4141" customFormat="false" ht="15.75" hidden="false" customHeight="false" outlineLevel="0" collapsed="false">
      <c r="A4141" s="2" t="n">
        <v>217664</v>
      </c>
      <c r="B4141" s="2" t="s">
        <v>3342</v>
      </c>
      <c r="C4141" s="2" t="n">
        <v>3</v>
      </c>
      <c r="D4141" s="2" t="n">
        <v>2</v>
      </c>
      <c r="E4141" s="2" t="n">
        <v>2</v>
      </c>
      <c r="F4141" s="2" t="n">
        <v>97</v>
      </c>
      <c r="G4141" s="2" t="s">
        <v>1499</v>
      </c>
      <c r="H4141" s="2" t="str">
        <f aca="false">IFERROR(__xludf.dummyfunction("IF(I4184="""", """", REGEXEXTRACT(I4184, ""Padrao/([^/]+)""))"),"Vila Tiberio")</f>
        <v>Vila Tiberio</v>
      </c>
    </row>
    <row r="4142" customFormat="false" ht="15.75" hidden="false" customHeight="false" outlineLevel="0" collapsed="false">
      <c r="A4142" s="2" t="n">
        <v>211940</v>
      </c>
      <c r="B4142" s="2" t="s">
        <v>3343</v>
      </c>
      <c r="C4142" s="2" t="n">
        <v>1</v>
      </c>
      <c r="D4142" s="2" t="n">
        <v>1</v>
      </c>
      <c r="E4142" s="2" t="n">
        <v>1</v>
      </c>
      <c r="F4142" s="2" t="n">
        <v>44</v>
      </c>
      <c r="G4142" s="2" t="s">
        <v>1499</v>
      </c>
      <c r="H4142" s="2" t="str">
        <f aca="false">IFERROR(__xludf.dummyfunction("IF(I4185="""", """", REGEXEXTRACT(I4185, ""Padrao/([^/]+)""))"),"Jardim Recreio")</f>
        <v>Jardim Recreio</v>
      </c>
    </row>
    <row r="4143" customFormat="false" ht="15.75" hidden="false" customHeight="false" outlineLevel="0" collapsed="false">
      <c r="A4143" s="2" t="n">
        <v>197003</v>
      </c>
      <c r="B4143" s="2" t="s">
        <v>605</v>
      </c>
      <c r="C4143" s="2" t="n">
        <v>3</v>
      </c>
      <c r="D4143" s="2" t="n">
        <v>3</v>
      </c>
      <c r="E4143" s="2" t="n">
        <v>2</v>
      </c>
      <c r="F4143" s="2" t="n">
        <v>49</v>
      </c>
      <c r="G4143" s="2" t="s">
        <v>1499</v>
      </c>
      <c r="H4143" s="2" t="str">
        <f aca="false">IFERROR(__xludf.dummyfunction("IF(I4186="""", """", REGEXEXTRACT(I4186, ""Padrao/([^/]+)""))"),"Campos Eliseos")</f>
        <v>Campos Eliseos</v>
      </c>
    </row>
    <row r="4144" customFormat="false" ht="15.75" hidden="false" customHeight="false" outlineLevel="0" collapsed="false">
      <c r="A4144" s="2" t="n">
        <v>188435</v>
      </c>
      <c r="B4144" s="2" t="s">
        <v>3344</v>
      </c>
      <c r="C4144" s="2" t="n">
        <v>1</v>
      </c>
      <c r="D4144" s="2" t="n">
        <v>1</v>
      </c>
      <c r="E4144" s="2" t="n">
        <v>1</v>
      </c>
      <c r="F4144" s="2" t="n">
        <v>46</v>
      </c>
      <c r="G4144" s="2" t="s">
        <v>1499</v>
      </c>
      <c r="H4144" s="2" t="str">
        <f aca="false">IFERROR(__xludf.dummyfunction("IF(I4187="""", """", REGEXEXTRACT(I4187, ""Padrao/([^/]+)""))"),"Nova Alianca")</f>
        <v>Nova Alianca</v>
      </c>
    </row>
    <row r="4145" customFormat="false" ht="15.75" hidden="false" customHeight="false" outlineLevel="0" collapsed="false">
      <c r="A4145" s="2" t="n">
        <v>186278</v>
      </c>
      <c r="B4145" s="2" t="s">
        <v>3345</v>
      </c>
      <c r="C4145" s="2" t="n">
        <v>2</v>
      </c>
      <c r="D4145" s="2" t="n">
        <v>1</v>
      </c>
      <c r="E4145" s="2" t="n">
        <v>1</v>
      </c>
      <c r="F4145" s="2" t="n">
        <v>68</v>
      </c>
      <c r="G4145" s="2" t="s">
        <v>1499</v>
      </c>
      <c r="H4145" s="2" t="str">
        <f aca="false">IFERROR(__xludf.dummyfunction("IF(I4188="""", """", REGEXEXTRACT(I4188, ""Padrao/([^/]+)""))"),"Santa Cruz do Jose Jacques")</f>
        <v>Santa Cruz do Jose Jacques</v>
      </c>
    </row>
    <row r="4146" customFormat="false" ht="15.75" hidden="false" customHeight="false" outlineLevel="0" collapsed="false">
      <c r="A4146" s="2" t="n">
        <v>183491</v>
      </c>
      <c r="B4146" s="2" t="s">
        <v>3346</v>
      </c>
      <c r="C4146" s="2" t="n">
        <v>3</v>
      </c>
      <c r="D4146" s="2" t="n">
        <v>2</v>
      </c>
      <c r="E4146" s="2" t="n">
        <v>2</v>
      </c>
      <c r="F4146" s="2" t="n">
        <v>78</v>
      </c>
      <c r="G4146" s="2" t="s">
        <v>1499</v>
      </c>
      <c r="H4146" s="2" t="str">
        <f aca="false">IFERROR(__xludf.dummyfunction("IF(I4189="""", """", REGEXEXTRACT(I4189, ""Padrao/([^/]+)""))"),"Residencial e Comercial Palmares")</f>
        <v>Residencial e Comercial Palmares</v>
      </c>
    </row>
    <row r="4147" customFormat="false" ht="15.75" hidden="false" customHeight="false" outlineLevel="0" collapsed="false">
      <c r="A4147" s="2" t="n">
        <v>143015</v>
      </c>
      <c r="B4147" s="2" t="s">
        <v>3347</v>
      </c>
      <c r="C4147" s="2" t="n">
        <v>3</v>
      </c>
      <c r="D4147" s="2" t="n">
        <v>2</v>
      </c>
      <c r="E4147" s="2" t="n">
        <v>2</v>
      </c>
      <c r="F4147" s="2" t="n">
        <v>136</v>
      </c>
      <c r="G4147" s="2" t="s">
        <v>1499</v>
      </c>
      <c r="H4147" s="2" t="str">
        <f aca="false">IFERROR(__xludf.dummyfunction("IF(I4190="""", """", REGEXEXTRACT(I4190, ""Padrao/([^/]+)""))"),"Jardim Macedo")</f>
        <v>Jardim Macedo</v>
      </c>
    </row>
    <row r="4148" customFormat="false" ht="15.75" hidden="false" customHeight="false" outlineLevel="0" collapsed="false">
      <c r="A4148" s="2" t="n">
        <v>134753</v>
      </c>
      <c r="B4148" s="2" t="s">
        <v>3348</v>
      </c>
      <c r="C4148" s="2" t="n">
        <v>1</v>
      </c>
      <c r="D4148" s="2" t="n">
        <v>1</v>
      </c>
      <c r="E4148" s="2" t="n">
        <v>1</v>
      </c>
      <c r="F4148" s="2" t="n">
        <v>32</v>
      </c>
      <c r="G4148" s="2" t="s">
        <v>1499</v>
      </c>
      <c r="H4148" s="2" t="str">
        <f aca="false">IFERROR(__xludf.dummyfunction("IF(I4191="""", """", REGEXEXTRACT(I4191, ""Padrao/([^/]+)""))"),"Vila Monte Alegre")</f>
        <v>Vila Monte Alegre</v>
      </c>
    </row>
    <row r="4149" customFormat="false" ht="15.75" hidden="false" customHeight="false" outlineLevel="0" collapsed="false">
      <c r="A4149" s="2" t="n">
        <v>115973</v>
      </c>
      <c r="B4149" s="2" t="s">
        <v>3349</v>
      </c>
      <c r="C4149" s="2" t="n">
        <v>2</v>
      </c>
      <c r="D4149" s="2" t="n">
        <v>2</v>
      </c>
      <c r="E4149" s="2" t="n">
        <v>2</v>
      </c>
      <c r="F4149" s="2" t="n">
        <v>70</v>
      </c>
      <c r="G4149" s="2" t="s">
        <v>1499</v>
      </c>
      <c r="H4149" s="2" t="str">
        <f aca="false">IFERROR(__xludf.dummyfunction("IF(I4192="""", """", REGEXEXTRACT(I4192, ""Padrao/([^/]+)""))"),"Jardim Macedo")</f>
        <v>Jardim Macedo</v>
      </c>
    </row>
    <row r="4150" customFormat="false" ht="15.75" hidden="false" customHeight="false" outlineLevel="0" collapsed="false">
      <c r="A4150" s="2" t="n">
        <v>115718</v>
      </c>
      <c r="B4150" s="2" t="s">
        <v>3350</v>
      </c>
      <c r="C4150" s="2" t="n">
        <v>3</v>
      </c>
      <c r="D4150" s="2" t="n">
        <v>2</v>
      </c>
      <c r="E4150" s="2" t="n">
        <v>2</v>
      </c>
      <c r="F4150" s="2" t="n">
        <v>84</v>
      </c>
      <c r="G4150" s="2" t="s">
        <v>1499</v>
      </c>
      <c r="H4150" s="2" t="str">
        <f aca="false">IFERROR(__xludf.dummyfunction("IF(I4193="""", """", REGEXEXTRACT(I4193, ""Padrao/([^/]+)""))"),"Jardim Sumare")</f>
        <v>Jardim Sumare</v>
      </c>
    </row>
    <row r="4151" customFormat="false" ht="15.75" hidden="false" customHeight="false" outlineLevel="0" collapsed="false">
      <c r="A4151" s="2" t="n">
        <v>99095</v>
      </c>
      <c r="B4151" s="2" t="s">
        <v>2009</v>
      </c>
      <c r="C4151" s="2" t="n">
        <v>1</v>
      </c>
      <c r="D4151" s="2" t="n">
        <v>1</v>
      </c>
      <c r="E4151" s="2" t="n">
        <v>1</v>
      </c>
      <c r="F4151" s="2" t="n">
        <v>55</v>
      </c>
      <c r="G4151" s="2" t="s">
        <v>1499</v>
      </c>
      <c r="H4151" s="2" t="str">
        <f aca="false">IFERROR(__xludf.dummyfunction("IF(I4194="""", """", REGEXEXTRACT(I4194, ""Padrao/([^/]+)""))"),"Nova Alianca")</f>
        <v>Nova Alianca</v>
      </c>
    </row>
    <row r="4152" customFormat="false" ht="15.75" hidden="false" customHeight="false" outlineLevel="0" collapsed="false">
      <c r="A4152" s="2" t="n">
        <v>92762</v>
      </c>
      <c r="B4152" s="2" t="s">
        <v>162</v>
      </c>
      <c r="C4152" s="2" t="n">
        <v>3</v>
      </c>
      <c r="D4152" s="2" t="n">
        <v>2</v>
      </c>
      <c r="E4152" s="2" t="n">
        <v>1</v>
      </c>
      <c r="F4152" s="2" t="n">
        <v>89</v>
      </c>
      <c r="G4152" s="2" t="s">
        <v>1499</v>
      </c>
      <c r="H4152" s="2" t="str">
        <f aca="false">IFERROR(__xludf.dummyfunction("IF(I4195="""", """", REGEXEXTRACT(I4195, ""Padrao/([^/]+)""))"),"Jardim Iraja")</f>
        <v>Jardim Iraja</v>
      </c>
    </row>
    <row r="4153" customFormat="false" ht="15.75" hidden="false" customHeight="false" outlineLevel="0" collapsed="false">
      <c r="A4153" s="2" t="n">
        <v>82823</v>
      </c>
      <c r="B4153" s="2" t="s">
        <v>3351</v>
      </c>
      <c r="C4153" s="2" t="n">
        <v>2</v>
      </c>
      <c r="D4153" s="2" t="n">
        <v>3</v>
      </c>
      <c r="E4153" s="2" t="n">
        <v>2</v>
      </c>
      <c r="F4153" s="2" t="n">
        <v>68</v>
      </c>
      <c r="G4153" s="2" t="s">
        <v>1499</v>
      </c>
      <c r="H4153" s="2" t="str">
        <f aca="false">IFERROR(__xludf.dummyfunction("IF(I4196="""", """", REGEXEXTRACT(I4196, ""Padrao/([^/]+)""))"),"Jardim Botanico")</f>
        <v>Jardim Botanico</v>
      </c>
    </row>
    <row r="4154" customFormat="false" ht="15.75" hidden="false" customHeight="false" outlineLevel="0" collapsed="false">
      <c r="A4154" s="2" t="n">
        <v>245579</v>
      </c>
      <c r="B4154" s="2" t="s">
        <v>3352</v>
      </c>
      <c r="C4154" s="2" t="n">
        <v>2</v>
      </c>
      <c r="D4154" s="2" t="n">
        <v>2</v>
      </c>
      <c r="E4154" s="2" t="n">
        <v>1</v>
      </c>
      <c r="F4154" s="2" t="n">
        <v>85</v>
      </c>
      <c r="G4154" s="2" t="s">
        <v>3353</v>
      </c>
      <c r="H4154" s="2" t="str">
        <f aca="false">IFERROR(__xludf.dummyfunction("IF(I4197="""", """", REGEXEXTRACT(I4197, ""Padrao/([^/]+)""))"),"Jardim Botanico")</f>
        <v>Jardim Botanico</v>
      </c>
    </row>
    <row r="4155" customFormat="false" ht="15.75" hidden="false" customHeight="false" outlineLevel="0" collapsed="false">
      <c r="A4155" s="2" t="n">
        <v>235520</v>
      </c>
      <c r="B4155" s="2" t="s">
        <v>3354</v>
      </c>
      <c r="C4155" s="2" t="n">
        <v>2</v>
      </c>
      <c r="D4155" s="2" t="n">
        <v>2</v>
      </c>
      <c r="E4155" s="2" t="n">
        <v>2</v>
      </c>
      <c r="F4155" s="2" t="n">
        <v>77</v>
      </c>
      <c r="G4155" s="2" t="s">
        <v>3353</v>
      </c>
      <c r="H4155" s="2" t="str">
        <f aca="false">IFERROR(__xludf.dummyfunction("IF(I4198="""", """", REGEXEXTRACT(I4198, ""Padrao/([^/]+)""))"),"Jardim Florestan Fernandes")</f>
        <v>Jardim Florestan Fernandes</v>
      </c>
    </row>
    <row r="4156" customFormat="false" ht="15.75" hidden="false" customHeight="false" outlineLevel="0" collapsed="false">
      <c r="A4156" s="2" t="n">
        <v>170930</v>
      </c>
      <c r="B4156" s="2" t="s">
        <v>3068</v>
      </c>
      <c r="C4156" s="2" t="n">
        <v>2</v>
      </c>
      <c r="D4156" s="2" t="n">
        <v>1</v>
      </c>
      <c r="E4156" s="2" t="n">
        <v>1</v>
      </c>
      <c r="F4156" s="2" t="n">
        <v>71</v>
      </c>
      <c r="G4156" s="2" t="s">
        <v>3355</v>
      </c>
      <c r="H4156" s="2" t="str">
        <f aca="false">IFERROR(__xludf.dummyfunction("IF(I4199="""", """", REGEXEXTRACT(I4199, ""Padrao/([^/]+)""))"),"Vila Virginia")</f>
        <v>Vila Virginia</v>
      </c>
    </row>
    <row r="4157" customFormat="false" ht="15.75" hidden="false" customHeight="false" outlineLevel="0" collapsed="false">
      <c r="A4157" s="2" t="n">
        <v>171173</v>
      </c>
      <c r="B4157" s="2" t="s">
        <v>964</v>
      </c>
      <c r="C4157" s="2" t="n">
        <v>2</v>
      </c>
      <c r="D4157" s="2" t="n">
        <v>1</v>
      </c>
      <c r="E4157" s="2" t="n">
        <v>1</v>
      </c>
      <c r="F4157" s="2" t="n">
        <v>43</v>
      </c>
      <c r="G4157" s="2" t="s">
        <v>435</v>
      </c>
      <c r="H4157" s="2" t="str">
        <f aca="false">IFERROR(__xludf.dummyfunction("IF(I4200="""", """", REGEXEXTRACT(I4200, ""Padrao/([^/]+)""))"),"Jardim Heitor Rigon")</f>
        <v>Jardim Heitor Rigon</v>
      </c>
    </row>
    <row r="4158" customFormat="false" ht="15.75" hidden="false" customHeight="false" outlineLevel="0" collapsed="false">
      <c r="A4158" s="2" t="n">
        <v>69947</v>
      </c>
      <c r="B4158" s="2" t="s">
        <v>3356</v>
      </c>
      <c r="C4158" s="2" t="n">
        <v>2</v>
      </c>
      <c r="D4158" s="2" t="n">
        <v>2</v>
      </c>
      <c r="E4158" s="2" t="n">
        <v>1</v>
      </c>
      <c r="F4158" s="2" t="n">
        <v>65</v>
      </c>
      <c r="G4158" s="2" t="s">
        <v>554</v>
      </c>
      <c r="H4158" s="2" t="str">
        <f aca="false">IFERROR(__xludf.dummyfunction("IF(I4201="""", """", REGEXEXTRACT(I4201, ""Padrao/([^/]+)""))"),"Centro")</f>
        <v>Centro</v>
      </c>
    </row>
    <row r="4159" customFormat="false" ht="15.75" hidden="false" customHeight="false" outlineLevel="0" collapsed="false">
      <c r="A4159" s="2" t="n">
        <v>190043</v>
      </c>
      <c r="B4159" s="2" t="s">
        <v>3357</v>
      </c>
      <c r="C4159" s="2" t="n">
        <v>2</v>
      </c>
      <c r="D4159" s="2" t="n">
        <v>2</v>
      </c>
      <c r="E4159" s="2" t="n">
        <v>1</v>
      </c>
      <c r="F4159" s="2" t="n">
        <v>67</v>
      </c>
      <c r="G4159" s="2" t="s">
        <v>595</v>
      </c>
      <c r="H4159" s="2" t="str">
        <f aca="false">IFERROR(__xludf.dummyfunction("IF(I4202="""", """", REGEXEXTRACT(I4202, ""Padrao/([^/]+)""))"),"Iguatemi")</f>
        <v>Iguatemi</v>
      </c>
    </row>
    <row r="4160" customFormat="false" ht="15.75" hidden="false" customHeight="false" outlineLevel="0" collapsed="false">
      <c r="A4160" s="2" t="n">
        <v>91637</v>
      </c>
      <c r="B4160" s="2" t="s">
        <v>3358</v>
      </c>
      <c r="C4160" s="2" t="n">
        <v>3</v>
      </c>
      <c r="D4160" s="2" t="n">
        <v>2</v>
      </c>
      <c r="E4160" s="2" t="n">
        <v>2</v>
      </c>
      <c r="F4160" s="2" t="n">
        <v>104</v>
      </c>
      <c r="G4160" s="2" t="s">
        <v>614</v>
      </c>
      <c r="H4160" s="2" t="str">
        <f aca="false">IFERROR(__xludf.dummyfunction("IF(I4203="""", """", REGEXEXTRACT(I4203, ""Padrao/([^/]+)""))"),"Parque Industrial Lagoinha")</f>
        <v>Parque Industrial Lagoinha</v>
      </c>
    </row>
    <row r="4161" customFormat="false" ht="15.75" hidden="false" customHeight="false" outlineLevel="0" collapsed="false">
      <c r="A4161" s="2" t="n">
        <v>13880</v>
      </c>
      <c r="B4161" s="2" t="s">
        <v>3359</v>
      </c>
      <c r="C4161" s="2" t="n">
        <v>3</v>
      </c>
      <c r="D4161" s="2" t="n">
        <v>1</v>
      </c>
      <c r="E4161" s="2" t="n">
        <v>1</v>
      </c>
      <c r="F4161" s="2" t="n">
        <v>105</v>
      </c>
      <c r="G4161" s="2" t="s">
        <v>614</v>
      </c>
      <c r="H4161" s="2" t="str">
        <f aca="false">IFERROR(__xludf.dummyfunction("IF(I4204="""", """", REGEXEXTRACT(I4204, ""Padrao/([^/]+)""))"),"Campos Eliseos")</f>
        <v>Campos Eliseos</v>
      </c>
    </row>
    <row r="4162" customFormat="false" ht="15.75" hidden="false" customHeight="false" outlineLevel="0" collapsed="false">
      <c r="A4162" s="2" t="n">
        <v>234968</v>
      </c>
      <c r="B4162" s="2" t="s">
        <v>3360</v>
      </c>
      <c r="C4162" s="2" t="n">
        <v>3</v>
      </c>
      <c r="D4162" s="2" t="n">
        <v>2</v>
      </c>
      <c r="E4162" s="2" t="n">
        <v>1</v>
      </c>
      <c r="F4162" s="2" t="n">
        <v>85</v>
      </c>
      <c r="G4162" s="2" t="s">
        <v>618</v>
      </c>
      <c r="H4162" s="2" t="str">
        <f aca="false">IFERROR(__xludf.dummyfunction("IF(I4205="""", """", REGEXEXTRACT(I4205, ""Padrao/([^/]+)""))"),"Presidente Medici")</f>
        <v>Presidente Medici</v>
      </c>
    </row>
    <row r="4163" customFormat="false" ht="15.75" hidden="false" customHeight="false" outlineLevel="0" collapsed="false">
      <c r="A4163" s="2" t="n">
        <v>84344</v>
      </c>
      <c r="B4163" s="2" t="s">
        <v>2206</v>
      </c>
      <c r="C4163" s="2" t="n">
        <v>3</v>
      </c>
      <c r="D4163" s="2" t="n">
        <v>3</v>
      </c>
      <c r="E4163" s="2" t="n">
        <v>1</v>
      </c>
      <c r="F4163" s="2" t="n">
        <v>89</v>
      </c>
      <c r="G4163" s="2" t="s">
        <v>3122</v>
      </c>
      <c r="H4163" s="2" t="str">
        <f aca="false">IFERROR(__xludf.dummyfunction("IF(I4206="""", """", REGEXEXTRACT(I4206, ""Padrao/([^/]+)""))"),"Centro")</f>
        <v>Centro</v>
      </c>
    </row>
    <row r="4164" customFormat="false" ht="15.75" hidden="false" customHeight="false" outlineLevel="0" collapsed="false">
      <c r="A4164" s="2" t="n">
        <v>207323</v>
      </c>
      <c r="B4164" s="2" t="s">
        <v>3349</v>
      </c>
      <c r="C4164" s="2" t="n">
        <v>2</v>
      </c>
      <c r="D4164" s="2" t="n">
        <v>2</v>
      </c>
      <c r="E4164" s="2" t="n">
        <v>2</v>
      </c>
      <c r="F4164" s="2" t="n">
        <v>70</v>
      </c>
      <c r="G4164" s="2" t="s">
        <v>626</v>
      </c>
      <c r="H4164" s="2" t="str">
        <f aca="false">IFERROR(__xludf.dummyfunction("IF(I4207="""", """", REGEXEXTRACT(I4207, ""Padrao/([^/]+)""))"),"Jardim Macedo")</f>
        <v>Jardim Macedo</v>
      </c>
    </row>
    <row r="4165" customFormat="false" ht="15.75" hidden="false" customHeight="false" outlineLevel="0" collapsed="false">
      <c r="A4165" s="2" t="n">
        <v>199358</v>
      </c>
      <c r="B4165" s="2" t="s">
        <v>3361</v>
      </c>
      <c r="C4165" s="2" t="n">
        <v>3</v>
      </c>
      <c r="D4165" s="2" t="n">
        <v>2</v>
      </c>
      <c r="E4165" s="2" t="n">
        <v>1</v>
      </c>
      <c r="F4165" s="2" t="n">
        <v>62</v>
      </c>
      <c r="G4165" s="2" t="s">
        <v>626</v>
      </c>
      <c r="H4165" s="2" t="str">
        <f aca="false">IFERROR(__xludf.dummyfunction("IF(I4208="""", """", REGEXEXTRACT(I4208, ""Padrao/([^/]+)""))"),"Loteamento Santa Marta")</f>
        <v>Loteamento Santa Marta</v>
      </c>
    </row>
    <row r="4166" customFormat="false" ht="15.75" hidden="false" customHeight="false" outlineLevel="0" collapsed="false">
      <c r="A4166" s="2" t="n">
        <v>97802</v>
      </c>
      <c r="B4166" s="2" t="s">
        <v>3362</v>
      </c>
      <c r="C4166" s="2" t="n">
        <v>3</v>
      </c>
      <c r="D4166" s="2" t="n">
        <v>2</v>
      </c>
      <c r="E4166" s="2" t="n">
        <v>1</v>
      </c>
      <c r="F4166" s="2" t="n">
        <v>73</v>
      </c>
      <c r="G4166" s="2" t="s">
        <v>626</v>
      </c>
      <c r="H4166" s="2" t="str">
        <f aca="false">IFERROR(__xludf.dummyfunction("IF(I4209="""", """", REGEXEXTRACT(I4209, ""Padrao/([^/]+)""))"),"Vila Ana Maria")</f>
        <v>Vila Ana Maria</v>
      </c>
    </row>
    <row r="4167" customFormat="false" ht="15.75" hidden="false" customHeight="false" outlineLevel="0" collapsed="false">
      <c r="A4167" s="2" t="n">
        <v>231044</v>
      </c>
      <c r="B4167" s="2" t="s">
        <v>3363</v>
      </c>
      <c r="C4167" s="2" t="n">
        <v>2</v>
      </c>
      <c r="D4167" s="2" t="n">
        <v>2</v>
      </c>
      <c r="E4167" s="2" t="n">
        <v>1</v>
      </c>
      <c r="F4167" s="2" t="n">
        <v>63</v>
      </c>
      <c r="G4167" s="2" t="s">
        <v>631</v>
      </c>
      <c r="H4167" s="2" t="str">
        <f aca="false">IFERROR(__xludf.dummyfunction("IF(I4210="""", """", REGEXEXTRACT(I4210, ""Padrao/([^/]+)""))"),"Jardim Botanico")</f>
        <v>Jardim Botanico</v>
      </c>
    </row>
    <row r="4168" customFormat="false" ht="15.75" hidden="false" customHeight="false" outlineLevel="0" collapsed="false">
      <c r="A4168" s="2" t="n">
        <v>213989</v>
      </c>
      <c r="B4168" s="2" t="s">
        <v>3364</v>
      </c>
      <c r="C4168" s="2" t="n">
        <v>2</v>
      </c>
      <c r="D4168" s="2" t="n">
        <v>2</v>
      </c>
      <c r="E4168" s="2" t="n">
        <v>1</v>
      </c>
      <c r="F4168" s="2" t="n">
        <v>55</v>
      </c>
      <c r="G4168" s="2" t="s">
        <v>3266</v>
      </c>
      <c r="H4168" s="2" t="str">
        <f aca="false">IFERROR(__xludf.dummyfunction("IF(I4211="""", """", REGEXEXTRACT(I4211, ""Padrao/([^/]+)""))"),"Jardim Olhos DAgua")</f>
        <v>Jardim Olhos DAgua</v>
      </c>
    </row>
    <row r="4169" customFormat="false" ht="15.75" hidden="false" customHeight="false" outlineLevel="0" collapsed="false">
      <c r="A4169" s="2" t="n">
        <v>133658</v>
      </c>
      <c r="B4169" s="2" t="s">
        <v>3365</v>
      </c>
      <c r="C4169" s="2" t="n">
        <v>2</v>
      </c>
      <c r="D4169" s="2" t="n">
        <v>2</v>
      </c>
      <c r="E4169" s="2" t="n">
        <v>1</v>
      </c>
      <c r="F4169" s="2" t="n">
        <v>63</v>
      </c>
      <c r="G4169" s="2" t="s">
        <v>3266</v>
      </c>
      <c r="H4169" s="2" t="str">
        <f aca="false">IFERROR(__xludf.dummyfunction("IF(I4212="""", """", REGEXEXTRACT(I4212, ""Padrao/([^/]+)""))"),"Jardim Botanico")</f>
        <v>Jardim Botanico</v>
      </c>
    </row>
    <row r="4170" customFormat="false" ht="15.75" hidden="false" customHeight="false" outlineLevel="0" collapsed="false">
      <c r="A4170" s="2" t="n">
        <v>202331</v>
      </c>
      <c r="B4170" s="2" t="s">
        <v>3366</v>
      </c>
      <c r="C4170" s="2" t="n">
        <v>3</v>
      </c>
      <c r="D4170" s="2" t="n">
        <v>2</v>
      </c>
      <c r="E4170" s="2" t="n">
        <v>1</v>
      </c>
      <c r="F4170" s="2" t="n">
        <v>64</v>
      </c>
      <c r="G4170" s="2" t="s">
        <v>1466</v>
      </c>
      <c r="H4170" s="2" t="str">
        <f aca="false">IFERROR(__xludf.dummyfunction("IF(I4213="""", """", REGEXEXTRACT(I4213, ""Padrao/([^/]+)""))"),"Vila Monte Alegre")</f>
        <v>Vila Monte Alegre</v>
      </c>
    </row>
    <row r="4171" customFormat="false" ht="15.75" hidden="false" customHeight="false" outlineLevel="0" collapsed="false">
      <c r="A4171" s="2" t="n">
        <v>245138</v>
      </c>
      <c r="B4171" s="2" t="s">
        <v>3367</v>
      </c>
      <c r="C4171" s="2" t="n">
        <v>3</v>
      </c>
      <c r="D4171" s="2" t="n">
        <v>4</v>
      </c>
      <c r="E4171" s="2" t="n">
        <v>1</v>
      </c>
      <c r="F4171" s="2" t="n">
        <v>123</v>
      </c>
      <c r="G4171" s="2" t="s">
        <v>639</v>
      </c>
      <c r="H4171" s="2" t="str">
        <f aca="false">IFERROR(__xludf.dummyfunction("IF(I4214="""", """", REGEXEXTRACT(I4214, ""Padrao/([^/]+)""))"),"Centro")</f>
        <v>Centro</v>
      </c>
    </row>
    <row r="4172" customFormat="false" ht="15.75" hidden="false" customHeight="false" outlineLevel="0" collapsed="false">
      <c r="A4172" s="2" t="n">
        <v>238856</v>
      </c>
      <c r="B4172" s="2" t="s">
        <v>3368</v>
      </c>
      <c r="C4172" s="2" t="n">
        <v>2</v>
      </c>
      <c r="D4172" s="2" t="n">
        <v>2</v>
      </c>
      <c r="E4172" s="2" t="n">
        <v>1</v>
      </c>
      <c r="F4172" s="2" t="n">
        <v>65</v>
      </c>
      <c r="G4172" s="2" t="s">
        <v>639</v>
      </c>
      <c r="H4172" s="2" t="str">
        <f aca="false">IFERROR(__xludf.dummyfunction("IF(I4215="""", """", REGEXEXTRACT(I4215, ""Padrao/([^/]+)""))"),"Vila Seixas")</f>
        <v>Vila Seixas</v>
      </c>
    </row>
    <row r="4173" customFormat="false" ht="15.75" hidden="false" customHeight="false" outlineLevel="0" collapsed="false">
      <c r="A4173" s="2" t="n">
        <v>238157</v>
      </c>
      <c r="B4173" s="2" t="s">
        <v>2755</v>
      </c>
      <c r="C4173" s="2" t="n">
        <v>2</v>
      </c>
      <c r="D4173" s="2" t="n">
        <v>1</v>
      </c>
      <c r="E4173" s="2" t="n">
        <v>1</v>
      </c>
      <c r="F4173" s="2" t="n">
        <v>51</v>
      </c>
      <c r="G4173" s="2" t="s">
        <v>639</v>
      </c>
      <c r="H4173" s="2" t="str">
        <f aca="false">IFERROR(__xludf.dummyfunction("IF(I4216="""", """", REGEXEXTRACT(I4216, ""Padrao/([^/]+)""))"),"Jardim Novo Mundo")</f>
        <v>Jardim Novo Mundo</v>
      </c>
    </row>
    <row r="4174" customFormat="false" ht="15.75" hidden="false" customHeight="false" outlineLevel="0" collapsed="false">
      <c r="A4174" s="2" t="n">
        <v>235994</v>
      </c>
      <c r="B4174" s="2" t="s">
        <v>613</v>
      </c>
      <c r="C4174" s="2" t="n">
        <v>3</v>
      </c>
      <c r="D4174" s="2" t="n">
        <v>2</v>
      </c>
      <c r="E4174" s="2" t="n">
        <v>1</v>
      </c>
      <c r="F4174" s="2" t="n">
        <v>97</v>
      </c>
      <c r="G4174" s="2" t="s">
        <v>639</v>
      </c>
      <c r="H4174" s="2" t="str">
        <f aca="false">IFERROR(__xludf.dummyfunction("IF(I4217="""", """", REGEXEXTRACT(I4217, ""Padrao/([^/]+)""))"),"Centro")</f>
        <v>Centro</v>
      </c>
    </row>
    <row r="4175" customFormat="false" ht="15.75" hidden="false" customHeight="false" outlineLevel="0" collapsed="false">
      <c r="A4175" s="2" t="n">
        <v>235607</v>
      </c>
      <c r="B4175" s="2" t="s">
        <v>3369</v>
      </c>
      <c r="C4175" s="2" t="n">
        <v>1</v>
      </c>
      <c r="D4175" s="2" t="n">
        <v>1</v>
      </c>
      <c r="E4175" s="2" t="n">
        <v>1</v>
      </c>
      <c r="F4175" s="2" t="n">
        <v>55</v>
      </c>
      <c r="G4175" s="2" t="s">
        <v>639</v>
      </c>
      <c r="H4175" s="2" t="str">
        <f aca="false">IFERROR(__xludf.dummyfunction("IF(I4218="""", """", REGEXEXTRACT(I4218, ""Padrao/([^/]+)""))"),"Jardim Olhos DAgua")</f>
        <v>Jardim Olhos DAgua</v>
      </c>
    </row>
    <row r="4176" customFormat="false" ht="15.75" hidden="false" customHeight="false" outlineLevel="0" collapsed="false">
      <c r="A4176" s="2" t="n">
        <v>234578</v>
      </c>
      <c r="B4176" s="2" t="s">
        <v>3070</v>
      </c>
      <c r="C4176" s="2" t="n">
        <v>2</v>
      </c>
      <c r="D4176" s="2" t="n">
        <v>1</v>
      </c>
      <c r="E4176" s="2" t="n">
        <v>1</v>
      </c>
      <c r="F4176" s="2" t="n">
        <v>45</v>
      </c>
      <c r="G4176" s="2" t="s">
        <v>639</v>
      </c>
      <c r="H4176" s="2" t="str">
        <f aca="false">IFERROR(__xludf.dummyfunction("IF(I4219="""", """", REGEXEXTRACT(I4219, ""Padrao/([^/]+)""))"),"Quinta da Primavera")</f>
        <v>Quinta da Primavera</v>
      </c>
    </row>
    <row r="4177" customFormat="false" ht="15.75" hidden="false" customHeight="false" outlineLevel="0" collapsed="false">
      <c r="A4177" s="2" t="n">
        <v>234416</v>
      </c>
      <c r="B4177" s="2" t="s">
        <v>3370</v>
      </c>
      <c r="C4177" s="2" t="n">
        <v>3</v>
      </c>
      <c r="D4177" s="2" t="n">
        <v>2</v>
      </c>
      <c r="E4177" s="2" t="n">
        <v>2</v>
      </c>
      <c r="F4177" s="2" t="n">
        <v>88</v>
      </c>
      <c r="G4177" s="2" t="s">
        <v>639</v>
      </c>
      <c r="H4177" s="2" t="str">
        <f aca="false">IFERROR(__xludf.dummyfunction("IF(I4220="""", """", REGEXEXTRACT(I4220, ""Padrao/([^/]+)""))"),"Alto da Boa Vista")</f>
        <v>Alto da Boa Vista</v>
      </c>
    </row>
    <row r="4178" customFormat="false" ht="15.75" hidden="false" customHeight="false" outlineLevel="0" collapsed="false">
      <c r="A4178" s="2" t="n">
        <v>232847</v>
      </c>
      <c r="B4178" s="2" t="s">
        <v>3371</v>
      </c>
      <c r="C4178" s="2" t="n">
        <v>2</v>
      </c>
      <c r="D4178" s="2" t="n">
        <v>2</v>
      </c>
      <c r="E4178" s="2" t="n">
        <v>1</v>
      </c>
      <c r="F4178" s="2" t="n">
        <v>62</v>
      </c>
      <c r="G4178" s="2" t="s">
        <v>639</v>
      </c>
      <c r="H4178" s="2" t="str">
        <f aca="false">IFERROR(__xludf.dummyfunction("IF(I4221="""", """", REGEXEXTRACT(I4221, ""Padrao/([^/]+)""))"),"Jardim Palma Travassos")</f>
        <v>Jardim Palma Travassos</v>
      </c>
    </row>
    <row r="4179" customFormat="false" ht="15.75" hidden="false" customHeight="false" outlineLevel="0" collapsed="false">
      <c r="A4179" s="2" t="n">
        <v>231326</v>
      </c>
      <c r="B4179" s="2" t="s">
        <v>3372</v>
      </c>
      <c r="C4179" s="2" t="n">
        <v>2</v>
      </c>
      <c r="D4179" s="2" t="n">
        <v>1</v>
      </c>
      <c r="E4179" s="2" t="n">
        <v>1</v>
      </c>
      <c r="F4179" s="2" t="n">
        <v>47</v>
      </c>
      <c r="G4179" s="2" t="s">
        <v>639</v>
      </c>
      <c r="H4179" s="2" t="str">
        <f aca="false">IFERROR(__xludf.dummyfunction("IF(I4222="""", """", REGEXEXTRACT(I4222, ""Padrao/([^/]+)""))"),"Reserva Sao Jose")</f>
        <v>Reserva Sao Jose</v>
      </c>
    </row>
    <row r="4180" customFormat="false" ht="15.75" hidden="false" customHeight="false" outlineLevel="0" collapsed="false">
      <c r="A4180" s="2" t="n">
        <v>228164</v>
      </c>
      <c r="B4180" s="2" t="s">
        <v>3373</v>
      </c>
      <c r="C4180" s="2" t="n">
        <v>3</v>
      </c>
      <c r="D4180" s="2" t="n">
        <v>3</v>
      </c>
      <c r="E4180" s="2" t="n">
        <v>1</v>
      </c>
      <c r="F4180" s="2" t="n">
        <v>88</v>
      </c>
      <c r="G4180" s="2" t="s">
        <v>639</v>
      </c>
      <c r="H4180" s="2" t="str">
        <f aca="false">IFERROR(__xludf.dummyfunction("IF(I4223="""", """", REGEXEXTRACT(I4223, ""Padrao/([^/]+)""))"),"Jardim Botanico")</f>
        <v>Jardim Botanico</v>
      </c>
    </row>
    <row r="4181" customFormat="false" ht="15.75" hidden="false" customHeight="false" outlineLevel="0" collapsed="false">
      <c r="A4181" s="2" t="n">
        <v>226616</v>
      </c>
      <c r="B4181" s="2" t="s">
        <v>3374</v>
      </c>
      <c r="C4181" s="2" t="n">
        <v>2</v>
      </c>
      <c r="D4181" s="2" t="n">
        <v>2</v>
      </c>
      <c r="E4181" s="2" t="n">
        <v>1</v>
      </c>
      <c r="F4181" s="2" t="n">
        <v>54</v>
      </c>
      <c r="G4181" s="2" t="s">
        <v>639</v>
      </c>
      <c r="H4181" s="2" t="str">
        <f aca="false">IFERROR(__xludf.dummyfunction("IF(I4224="""", """", REGEXEXTRACT(I4224, ""Padrao/([^/]+)""))"),"Sumarezinho")</f>
        <v>Sumarezinho</v>
      </c>
    </row>
    <row r="4182" customFormat="false" ht="15.75" hidden="false" customHeight="false" outlineLevel="0" collapsed="false">
      <c r="A4182" s="2" t="n">
        <v>224501</v>
      </c>
      <c r="B4182" s="2" t="s">
        <v>2264</v>
      </c>
      <c r="C4182" s="2" t="n">
        <v>2</v>
      </c>
      <c r="D4182" s="2" t="n">
        <v>2</v>
      </c>
      <c r="E4182" s="2" t="n">
        <v>1</v>
      </c>
      <c r="F4182" s="2" t="n">
        <v>58</v>
      </c>
      <c r="G4182" s="2" t="s">
        <v>639</v>
      </c>
      <c r="H4182" s="2" t="str">
        <f aca="false">IFERROR(__xludf.dummyfunction("IF(I4225="""", """", REGEXEXTRACT(I4225, ""Padrao/([^/]+)""))"),"Campos Eliseos")</f>
        <v>Campos Eliseos</v>
      </c>
    </row>
    <row r="4183" customFormat="false" ht="15.75" hidden="false" customHeight="false" outlineLevel="0" collapsed="false">
      <c r="A4183" s="2" t="n">
        <v>223316</v>
      </c>
      <c r="B4183" s="2" t="s">
        <v>3375</v>
      </c>
      <c r="C4183" s="2" t="n">
        <v>2</v>
      </c>
      <c r="D4183" s="2" t="n">
        <v>2</v>
      </c>
      <c r="E4183" s="2" t="n">
        <v>1</v>
      </c>
      <c r="F4183" s="2" t="n">
        <v>67</v>
      </c>
      <c r="G4183" s="2" t="s">
        <v>639</v>
      </c>
      <c r="H4183" s="2" t="str">
        <f aca="false">IFERROR(__xludf.dummyfunction("IF(I4226="""", """", REGEXEXTRACT(I4226, ""Padrao/([^/]+)""))"),"Jardim Botanico")</f>
        <v>Jardim Botanico</v>
      </c>
    </row>
    <row r="4184" customFormat="false" ht="15.75" hidden="false" customHeight="false" outlineLevel="0" collapsed="false">
      <c r="A4184" s="2" t="n">
        <v>215858</v>
      </c>
      <c r="B4184" s="2" t="s">
        <v>3174</v>
      </c>
      <c r="C4184" s="2" t="n">
        <v>1</v>
      </c>
      <c r="D4184" s="2" t="n">
        <v>1</v>
      </c>
      <c r="E4184" s="2" t="n">
        <v>1</v>
      </c>
      <c r="F4184" s="2" t="n">
        <v>44</v>
      </c>
      <c r="G4184" s="2" t="s">
        <v>639</v>
      </c>
      <c r="H4184" s="2" t="str">
        <f aca="false">IFERROR(__xludf.dummyfunction("IF(I4227="""", """", REGEXEXTRACT(I4227, ""Padrao/([^/]+)""))"),"Nova Alianca")</f>
        <v>Nova Alianca</v>
      </c>
    </row>
    <row r="4185" customFormat="false" ht="15.75" hidden="false" customHeight="false" outlineLevel="0" collapsed="false">
      <c r="A4185" s="2" t="n">
        <v>214460</v>
      </c>
      <c r="B4185" s="2" t="s">
        <v>3272</v>
      </c>
      <c r="C4185" s="2" t="n">
        <v>2</v>
      </c>
      <c r="D4185" s="2" t="n">
        <v>2</v>
      </c>
      <c r="E4185" s="2" t="n">
        <v>1</v>
      </c>
      <c r="F4185" s="2" t="n">
        <v>80</v>
      </c>
      <c r="G4185" s="2" t="s">
        <v>639</v>
      </c>
      <c r="H4185" s="2" t="str">
        <f aca="false">IFERROR(__xludf.dummyfunction("IF(I4228="""", """", REGEXEXTRACT(I4228, ""Padrao/([^/]+)""))"),"Centro")</f>
        <v>Centro</v>
      </c>
    </row>
    <row r="4186" customFormat="false" ht="15.75" hidden="false" customHeight="false" outlineLevel="0" collapsed="false">
      <c r="A4186" s="2" t="n">
        <v>213809</v>
      </c>
      <c r="B4186" s="2" t="s">
        <v>3334</v>
      </c>
      <c r="C4186" s="2" t="n">
        <v>3</v>
      </c>
      <c r="D4186" s="2" t="n">
        <v>3</v>
      </c>
      <c r="E4186" s="2" t="n">
        <v>1</v>
      </c>
      <c r="F4186" s="2" t="n">
        <v>105</v>
      </c>
      <c r="G4186" s="2" t="s">
        <v>639</v>
      </c>
      <c r="H4186" s="2" t="str">
        <f aca="false">IFERROR(__xludf.dummyfunction("IF(I4229="""", """", REGEXEXTRACT(I4229, ""Padrao/([^/]+)""))"),"Campos Eliseos")</f>
        <v>Campos Eliseos</v>
      </c>
    </row>
    <row r="4187" customFormat="false" ht="15.75" hidden="false" customHeight="false" outlineLevel="0" collapsed="false">
      <c r="A4187" s="2" t="n">
        <v>213098</v>
      </c>
      <c r="B4187" s="2" t="s">
        <v>3376</v>
      </c>
      <c r="C4187" s="2" t="n">
        <v>2</v>
      </c>
      <c r="D4187" s="2" t="n">
        <v>2</v>
      </c>
      <c r="E4187" s="2" t="n">
        <v>1</v>
      </c>
      <c r="F4187" s="2" t="n">
        <v>57</v>
      </c>
      <c r="G4187" s="2" t="s">
        <v>639</v>
      </c>
      <c r="H4187" s="2" t="str">
        <f aca="false">IFERROR(__xludf.dummyfunction("IF(I4230="""", """", REGEXEXTRACT(I4230, ""Padrao/([^/]+)""))"),"Jardim das Oliveiras")</f>
        <v>Jardim das Oliveiras</v>
      </c>
    </row>
    <row r="4188" customFormat="false" ht="15.75" hidden="false" customHeight="false" outlineLevel="0" collapsed="false">
      <c r="A4188" s="2" t="n">
        <v>211991</v>
      </c>
      <c r="B4188" s="2" t="s">
        <v>3377</v>
      </c>
      <c r="C4188" s="2" t="n">
        <v>2</v>
      </c>
      <c r="D4188" s="2" t="n">
        <v>2</v>
      </c>
      <c r="E4188" s="2" t="n">
        <v>1</v>
      </c>
      <c r="F4188" s="2" t="n">
        <v>52</v>
      </c>
      <c r="G4188" s="2" t="s">
        <v>639</v>
      </c>
      <c r="H4188" s="2" t="str">
        <f aca="false">IFERROR(__xludf.dummyfunction("IF(I4231="""", """", REGEXEXTRACT(I4231, ""Padrao/([^/]+)""))"),"Quintas de Sao Jose")</f>
        <v>Quintas de Sao Jose</v>
      </c>
    </row>
    <row r="4189" customFormat="false" ht="15.75" hidden="false" customHeight="false" outlineLevel="0" collapsed="false">
      <c r="A4189" s="2" t="n">
        <v>208271</v>
      </c>
      <c r="B4189" s="2" t="s">
        <v>3378</v>
      </c>
      <c r="C4189" s="2" t="n">
        <v>2</v>
      </c>
      <c r="D4189" s="2" t="n">
        <v>2</v>
      </c>
      <c r="E4189" s="2" t="n">
        <v>1</v>
      </c>
      <c r="F4189" s="2" t="n">
        <v>80</v>
      </c>
      <c r="G4189" s="2" t="s">
        <v>639</v>
      </c>
      <c r="H4189" s="2" t="str">
        <f aca="false">IFERROR(__xludf.dummyfunction("IF(I4232="""", """", REGEXEXTRACT(I4232, ""Padrao/([^/]+)""))"),"Jardim Iraja")</f>
        <v>Jardim Iraja</v>
      </c>
    </row>
    <row r="4190" customFormat="false" ht="15.75" hidden="false" customHeight="false" outlineLevel="0" collapsed="false">
      <c r="A4190" s="2" t="n">
        <v>206480</v>
      </c>
      <c r="B4190" s="2" t="s">
        <v>3379</v>
      </c>
      <c r="C4190" s="2" t="n">
        <v>3</v>
      </c>
      <c r="D4190" s="2" t="n">
        <v>2</v>
      </c>
      <c r="E4190" s="2" t="n">
        <v>1</v>
      </c>
      <c r="F4190" s="2" t="n">
        <v>99</v>
      </c>
      <c r="G4190" s="2" t="s">
        <v>639</v>
      </c>
      <c r="H4190" s="2" t="str">
        <f aca="false">IFERROR(__xludf.dummyfunction("IF(I4233="""", """", REGEXEXTRACT(I4233, ""Padrao/([^/]+)""))"),"Vila Tiberio")</f>
        <v>Vila Tiberio</v>
      </c>
    </row>
    <row r="4191" customFormat="false" ht="15.75" hidden="false" customHeight="false" outlineLevel="0" collapsed="false">
      <c r="A4191" s="2" t="n">
        <v>206177</v>
      </c>
      <c r="B4191" s="2" t="s">
        <v>3380</v>
      </c>
      <c r="C4191" s="2" t="n">
        <v>3</v>
      </c>
      <c r="D4191" s="2" t="n">
        <v>2</v>
      </c>
      <c r="E4191" s="2" t="n">
        <v>2</v>
      </c>
      <c r="F4191" s="2" t="n">
        <v>80</v>
      </c>
      <c r="G4191" s="2" t="s">
        <v>639</v>
      </c>
      <c r="H4191" s="2" t="str">
        <f aca="false">IFERROR(__xludf.dummyfunction("IF(I4234="""", """", REGEXEXTRACT(I4234, ""Padrao/([^/]+)""))"),"Independencia")</f>
        <v>Independencia</v>
      </c>
    </row>
    <row r="4192" customFormat="false" ht="15.75" hidden="false" customHeight="false" outlineLevel="0" collapsed="false">
      <c r="A4192" s="2" t="n">
        <v>206153</v>
      </c>
      <c r="B4192" s="2" t="s">
        <v>3381</v>
      </c>
      <c r="C4192" s="2" t="n">
        <v>3</v>
      </c>
      <c r="D4192" s="2" t="n">
        <v>2</v>
      </c>
      <c r="E4192" s="2" t="n">
        <v>1</v>
      </c>
      <c r="F4192" s="2" t="n">
        <v>94</v>
      </c>
      <c r="G4192" s="2" t="s">
        <v>639</v>
      </c>
      <c r="H4192" s="2" t="str">
        <f aca="false">IFERROR(__xludf.dummyfunction("IF(I4235="""", """", REGEXEXTRACT(I4235, ""Padrao/([^/]+)""))"),"Parque Industrial Lagoinha")</f>
        <v>Parque Industrial Lagoinha</v>
      </c>
    </row>
    <row r="4193" customFormat="false" ht="15.75" hidden="false" customHeight="false" outlineLevel="0" collapsed="false">
      <c r="A4193" s="2" t="n">
        <v>205661</v>
      </c>
      <c r="B4193" s="2" t="s">
        <v>3382</v>
      </c>
      <c r="C4193" s="2" t="n">
        <v>2</v>
      </c>
      <c r="D4193" s="2" t="n">
        <v>2</v>
      </c>
      <c r="E4193" s="2" t="n">
        <v>1</v>
      </c>
      <c r="F4193" s="2" t="n">
        <v>71</v>
      </c>
      <c r="G4193" s="2" t="s">
        <v>639</v>
      </c>
      <c r="H4193" s="2" t="str">
        <f aca="false">IFERROR(__xludf.dummyfunction("IF(I4236="""", """", REGEXEXTRACT(I4236, ""Padrao/([^/]+)""))"),"Nova Alianca")</f>
        <v>Nova Alianca</v>
      </c>
    </row>
    <row r="4194" customFormat="false" ht="15.75" hidden="false" customHeight="false" outlineLevel="0" collapsed="false">
      <c r="A4194" s="2" t="n">
        <v>198173</v>
      </c>
      <c r="B4194" s="2" t="s">
        <v>3383</v>
      </c>
      <c r="C4194" s="2" t="n">
        <v>1</v>
      </c>
      <c r="D4194" s="2" t="n">
        <v>1</v>
      </c>
      <c r="E4194" s="2" t="n">
        <v>1</v>
      </c>
      <c r="F4194" s="2" t="n">
        <v>51</v>
      </c>
      <c r="G4194" s="2" t="s">
        <v>639</v>
      </c>
      <c r="H4194" s="2" t="str">
        <f aca="false">IFERROR(__xludf.dummyfunction("IF(I4237="""", """", REGEXEXTRACT(I4237, ""Padrao/([^/]+)""))"),"Ribeirania")</f>
        <v>Ribeirania</v>
      </c>
    </row>
    <row r="4195" customFormat="false" ht="15.75" hidden="false" customHeight="false" outlineLevel="0" collapsed="false">
      <c r="A4195" s="2" t="n">
        <v>196370</v>
      </c>
      <c r="B4195" s="2" t="s">
        <v>847</v>
      </c>
      <c r="C4195" s="2" t="n">
        <v>2</v>
      </c>
      <c r="D4195" s="2" t="n">
        <v>2</v>
      </c>
      <c r="E4195" s="2" t="n">
        <v>1</v>
      </c>
      <c r="F4195" s="2" t="n">
        <v>72</v>
      </c>
      <c r="G4195" s="2" t="s">
        <v>639</v>
      </c>
      <c r="H4195" s="2" t="str">
        <f aca="false">IFERROR(__xludf.dummyfunction("IF(I4238="""", """", REGEXEXTRACT(I4238, ""Padrao/([^/]+)""))"),"Jardim Paulista")</f>
        <v>Jardim Paulista</v>
      </c>
    </row>
    <row r="4196" customFormat="false" ht="15.75" hidden="false" customHeight="false" outlineLevel="0" collapsed="false">
      <c r="A4196" s="2" t="n">
        <v>195419</v>
      </c>
      <c r="B4196" s="2" t="s">
        <v>3384</v>
      </c>
      <c r="C4196" s="2" t="n">
        <v>2</v>
      </c>
      <c r="D4196" s="2" t="n">
        <v>2</v>
      </c>
      <c r="E4196" s="2" t="n">
        <v>1</v>
      </c>
      <c r="F4196" s="2" t="n">
        <v>96</v>
      </c>
      <c r="G4196" s="2" t="s">
        <v>639</v>
      </c>
      <c r="H4196" s="2" t="str">
        <f aca="false">IFERROR(__xludf.dummyfunction("IF(I4239="""", """", REGEXEXTRACT(I4239, ""Padrao/([^/]+)""))"),"Centro")</f>
        <v>Centro</v>
      </c>
    </row>
    <row r="4197" customFormat="false" ht="15.75" hidden="false" customHeight="false" outlineLevel="0" collapsed="false">
      <c r="A4197" s="2" t="n">
        <v>194090</v>
      </c>
      <c r="B4197" s="2" t="s">
        <v>3385</v>
      </c>
      <c r="C4197" s="2" t="n">
        <v>2</v>
      </c>
      <c r="D4197" s="2" t="n">
        <v>2</v>
      </c>
      <c r="E4197" s="2" t="n">
        <v>1</v>
      </c>
      <c r="F4197" s="2" t="n">
        <v>68</v>
      </c>
      <c r="G4197" s="2" t="s">
        <v>639</v>
      </c>
      <c r="H4197" s="2" t="str">
        <f aca="false">IFERROR(__xludf.dummyfunction("IF(I4240="""", """", REGEXEXTRACT(I4240, ""Padrao/([^/]+)""))"),"Alto da Boa Vista")</f>
        <v>Alto da Boa Vista</v>
      </c>
    </row>
    <row r="4198" customFormat="false" ht="15.75" hidden="false" customHeight="false" outlineLevel="0" collapsed="false">
      <c r="A4198" s="2" t="n">
        <v>186446</v>
      </c>
      <c r="B4198" s="2" t="s">
        <v>1431</v>
      </c>
      <c r="C4198" s="2" t="n">
        <v>1</v>
      </c>
      <c r="D4198" s="2" t="n">
        <v>1</v>
      </c>
      <c r="E4198" s="2" t="n">
        <v>1</v>
      </c>
      <c r="F4198" s="2" t="n">
        <v>44</v>
      </c>
      <c r="G4198" s="2" t="s">
        <v>639</v>
      </c>
      <c r="H4198" s="2" t="str">
        <f aca="false">IFERROR(__xludf.dummyfunction("IF(I4241="""", """", REGEXEXTRACT(I4241, ""Padrao/([^/]+)""))"),"Nova Alianca")</f>
        <v>Nova Alianca</v>
      </c>
    </row>
    <row r="4199" customFormat="false" ht="15.75" hidden="false" customHeight="false" outlineLevel="0" collapsed="false">
      <c r="A4199" s="2" t="n">
        <v>168740</v>
      </c>
      <c r="B4199" s="2" t="s">
        <v>3386</v>
      </c>
      <c r="C4199" s="2" t="n">
        <v>1</v>
      </c>
      <c r="D4199" s="2" t="n">
        <v>2</v>
      </c>
      <c r="E4199" s="2" t="n">
        <v>1</v>
      </c>
      <c r="F4199" s="2" t="n">
        <v>54</v>
      </c>
      <c r="G4199" s="2" t="s">
        <v>639</v>
      </c>
      <c r="H4199" s="2" t="str">
        <f aca="false">IFERROR(__xludf.dummyfunction("IF(I4242="""", """", REGEXEXTRACT(I4242, ""Padrao/([^/]+)""))"),"Jardim Sao Luiz")</f>
        <v>Jardim Sao Luiz</v>
      </c>
    </row>
    <row r="4200" customFormat="false" ht="15.75" hidden="false" customHeight="false" outlineLevel="0" collapsed="false">
      <c r="A4200" s="2" t="n">
        <v>165452</v>
      </c>
      <c r="B4200" s="2" t="s">
        <v>3387</v>
      </c>
      <c r="C4200" s="2" t="n">
        <v>2</v>
      </c>
      <c r="D4200" s="2" t="n">
        <v>2</v>
      </c>
      <c r="E4200" s="2" t="n">
        <v>1</v>
      </c>
      <c r="F4200" s="2" t="n">
        <v>74</v>
      </c>
      <c r="G4200" s="2" t="s">
        <v>639</v>
      </c>
      <c r="H4200" s="2" t="str">
        <f aca="false">IFERROR(__xludf.dummyfunction("IF(I4243="""", """", REGEXEXTRACT(I4243, ""Padrao/([^/]+)""))"),"Santa Cruz do Jose Jacques")</f>
        <v>Santa Cruz do Jose Jacques</v>
      </c>
    </row>
    <row r="4201" customFormat="false" ht="15.75" hidden="false" customHeight="false" outlineLevel="0" collapsed="false">
      <c r="A4201" s="2" t="n">
        <v>160568</v>
      </c>
      <c r="B4201" s="2" t="s">
        <v>3388</v>
      </c>
      <c r="C4201" s="2" t="n">
        <v>3</v>
      </c>
      <c r="D4201" s="2" t="n">
        <v>3</v>
      </c>
      <c r="E4201" s="2" t="n">
        <v>1</v>
      </c>
      <c r="F4201" s="2" t="n">
        <v>121</v>
      </c>
      <c r="G4201" s="2" t="s">
        <v>639</v>
      </c>
      <c r="H4201" s="2" t="str">
        <f aca="false">IFERROR(__xludf.dummyfunction("IF(I4244="""", """", REGEXEXTRACT(I4244, ""Padrao/([^/]+)""))"),"Campos Eliseos")</f>
        <v>Campos Eliseos</v>
      </c>
    </row>
    <row r="4202" customFormat="false" ht="15.75" hidden="false" customHeight="false" outlineLevel="0" collapsed="false">
      <c r="A4202" s="2" t="n">
        <v>160241</v>
      </c>
      <c r="B4202" s="2" t="s">
        <v>1780</v>
      </c>
      <c r="C4202" s="2" t="n">
        <v>3</v>
      </c>
      <c r="D4202" s="2" t="n">
        <v>2</v>
      </c>
      <c r="E4202" s="2" t="n">
        <v>1</v>
      </c>
      <c r="F4202" s="2" t="n">
        <v>108</v>
      </c>
      <c r="G4202" s="2" t="s">
        <v>639</v>
      </c>
      <c r="H4202" s="2" t="str">
        <f aca="false">IFERROR(__xludf.dummyfunction("IF(I4245="""", """", REGEXEXTRACT(I4245, ""Padrao/([^/]+)""))"),"Vila Monte Alegre")</f>
        <v>Vila Monte Alegre</v>
      </c>
    </row>
    <row r="4203" customFormat="false" ht="15.75" hidden="false" customHeight="false" outlineLevel="0" collapsed="false">
      <c r="A4203" s="2" t="n">
        <v>157202</v>
      </c>
      <c r="B4203" s="2" t="s">
        <v>3389</v>
      </c>
      <c r="C4203" s="2" t="n">
        <v>2</v>
      </c>
      <c r="D4203" s="2" t="n">
        <v>2</v>
      </c>
      <c r="E4203" s="2" t="n">
        <v>1</v>
      </c>
      <c r="F4203" s="2" t="n">
        <v>73</v>
      </c>
      <c r="G4203" s="2" t="s">
        <v>639</v>
      </c>
      <c r="H4203" s="2" t="str">
        <f aca="false">IFERROR(__xludf.dummyfunction("IF(I4246="""", """", REGEXEXTRACT(I4246, ""Padrao/([^/]+)""))"),"Parque Industrial Lagoinha")</f>
        <v>Parque Industrial Lagoinha</v>
      </c>
    </row>
    <row r="4204" customFormat="false" ht="15.75" hidden="false" customHeight="false" outlineLevel="0" collapsed="false">
      <c r="A4204" s="2" t="n">
        <v>151079</v>
      </c>
      <c r="B4204" s="2" t="s">
        <v>3390</v>
      </c>
      <c r="C4204" s="2" t="n">
        <v>3</v>
      </c>
      <c r="D4204" s="2" t="n">
        <v>2</v>
      </c>
      <c r="E4204" s="2" t="n">
        <v>2</v>
      </c>
      <c r="F4204" s="2" t="n">
        <v>79</v>
      </c>
      <c r="G4204" s="2" t="s">
        <v>639</v>
      </c>
      <c r="H4204" s="2" t="str">
        <f aca="false">IFERROR(__xludf.dummyfunction("IF(I4247="""", """", REGEXEXTRACT(I4247, ""Padrao/([^/]+)""))"),"Jardim Zaneti")</f>
        <v>Jardim Zaneti</v>
      </c>
    </row>
    <row r="4205" customFormat="false" ht="15.75" hidden="false" customHeight="false" outlineLevel="0" collapsed="false">
      <c r="A4205" s="2" t="n">
        <v>132998</v>
      </c>
      <c r="B4205" s="2" t="s">
        <v>3391</v>
      </c>
      <c r="C4205" s="2" t="n">
        <v>3</v>
      </c>
      <c r="D4205" s="2" t="n">
        <v>2</v>
      </c>
      <c r="E4205" s="2" t="n">
        <v>1</v>
      </c>
      <c r="F4205" s="2" t="n">
        <v>10</v>
      </c>
      <c r="G4205" s="2" t="s">
        <v>639</v>
      </c>
      <c r="H4205" s="2" t="str">
        <f aca="false">IFERROR(__xludf.dummyfunction("IF(I4248="""", """", REGEXEXTRACT(I4248, ""Padrao/([^/]+)""))"),"Vila Tiberio")</f>
        <v>Vila Tiberio</v>
      </c>
    </row>
    <row r="4206" customFormat="false" ht="15.75" hidden="false" customHeight="false" outlineLevel="0" collapsed="false">
      <c r="A4206" s="2" t="n">
        <v>118982</v>
      </c>
      <c r="B4206" s="2" t="s">
        <v>3392</v>
      </c>
      <c r="C4206" s="2" t="n">
        <v>3</v>
      </c>
      <c r="D4206" s="2" t="n">
        <v>2</v>
      </c>
      <c r="E4206" s="2" t="n">
        <v>1</v>
      </c>
      <c r="F4206" s="2" t="n">
        <v>165</v>
      </c>
      <c r="G4206" s="2" t="s">
        <v>639</v>
      </c>
      <c r="H4206" s="2" t="str">
        <f aca="false">IFERROR(__xludf.dummyfunction("IF(I4249="""", """", REGEXEXTRACT(I4249, ""Padrao/([^/]+)""))"),"Centro")</f>
        <v>Centro</v>
      </c>
    </row>
    <row r="4207" customFormat="false" ht="15.75" hidden="false" customHeight="false" outlineLevel="0" collapsed="false">
      <c r="A4207" s="2" t="n">
        <v>114896</v>
      </c>
      <c r="B4207" s="2" t="s">
        <v>3393</v>
      </c>
      <c r="C4207" s="2" t="n">
        <v>1</v>
      </c>
      <c r="D4207" s="2" t="n">
        <v>1</v>
      </c>
      <c r="E4207" s="2" t="n">
        <v>1</v>
      </c>
      <c r="F4207" s="2" t="n">
        <v>31</v>
      </c>
      <c r="G4207" s="2" t="s">
        <v>639</v>
      </c>
      <c r="H4207" s="2" t="str">
        <f aca="false">IFERROR(__xludf.dummyfunction("IF(I4250="""", """", REGEXEXTRACT(I4250, ""Padrao/([^/]+)""))"),"Ribeirania")</f>
        <v>Ribeirania</v>
      </c>
    </row>
    <row r="4208" customFormat="false" ht="15.75" hidden="false" customHeight="false" outlineLevel="0" collapsed="false">
      <c r="A4208" s="2" t="n">
        <v>104333</v>
      </c>
      <c r="B4208" s="2" t="s">
        <v>3394</v>
      </c>
      <c r="C4208" s="2" t="n">
        <v>1</v>
      </c>
      <c r="D4208" s="2" t="n">
        <v>2</v>
      </c>
      <c r="E4208" s="2" t="n">
        <v>1</v>
      </c>
      <c r="F4208" s="2" t="n">
        <v>60</v>
      </c>
      <c r="G4208" s="2" t="s">
        <v>639</v>
      </c>
      <c r="H4208" s="2" t="str">
        <f aca="false">IFERROR(__xludf.dummyfunction("IF(I4251="""", """", REGEXEXTRACT(I4251, ""Padrao/([^/]+)""))"),"City Ribeirao")</f>
        <v>City Ribeirao</v>
      </c>
    </row>
    <row r="4209" customFormat="false" ht="15.75" hidden="false" customHeight="false" outlineLevel="0" collapsed="false">
      <c r="A4209" s="2" t="n">
        <v>103469</v>
      </c>
      <c r="B4209" s="2" t="s">
        <v>3395</v>
      </c>
      <c r="C4209" s="2" t="n">
        <v>2</v>
      </c>
      <c r="D4209" s="2" t="n">
        <v>2</v>
      </c>
      <c r="E4209" s="2" t="n">
        <v>1</v>
      </c>
      <c r="F4209" s="2" t="n">
        <v>60</v>
      </c>
      <c r="G4209" s="2" t="s">
        <v>639</v>
      </c>
      <c r="H4209" s="2" t="str">
        <f aca="false">IFERROR(__xludf.dummyfunction("IF(I4252="""", """", REGEXEXTRACT(I4252, ""Padrao/([^/]+)""))"),"Jardim Botanico")</f>
        <v>Jardim Botanico</v>
      </c>
    </row>
    <row r="4210" customFormat="false" ht="15.75" hidden="false" customHeight="false" outlineLevel="0" collapsed="false">
      <c r="A4210" s="2" t="n">
        <v>97382</v>
      </c>
      <c r="B4210" s="2" t="s">
        <v>3396</v>
      </c>
      <c r="C4210" s="2" t="n">
        <v>1</v>
      </c>
      <c r="D4210" s="2" t="n">
        <v>1</v>
      </c>
      <c r="E4210" s="2" t="n">
        <v>1</v>
      </c>
      <c r="F4210" s="2" t="n">
        <v>43</v>
      </c>
      <c r="G4210" s="2" t="s">
        <v>639</v>
      </c>
      <c r="H4210" s="2" t="str">
        <f aca="false">IFERROR(__xludf.dummyfunction("IF(I4253="""", """", REGEXEXTRACT(I4253, ""Padrao/([^/]+)""))"),"Nova Alianca")</f>
        <v>Nova Alianca</v>
      </c>
    </row>
    <row r="4211" customFormat="false" ht="15.75" hidden="false" customHeight="false" outlineLevel="0" collapsed="false">
      <c r="A4211" s="2" t="n">
        <v>97205</v>
      </c>
      <c r="B4211" s="2" t="s">
        <v>3397</v>
      </c>
      <c r="C4211" s="2" t="n">
        <v>3</v>
      </c>
      <c r="D4211" s="2" t="n">
        <v>2</v>
      </c>
      <c r="E4211" s="2" t="n">
        <v>3</v>
      </c>
      <c r="F4211" s="2" t="n">
        <v>93</v>
      </c>
      <c r="G4211" s="2" t="s">
        <v>639</v>
      </c>
      <c r="H4211" s="2" t="str">
        <f aca="false">IFERROR(__xludf.dummyfunction("IF(I4254="""", """", REGEXEXTRACT(I4254, ""Padrao/([^/]+)""))"),"Iguatemi")</f>
        <v>Iguatemi</v>
      </c>
    </row>
    <row r="4212" customFormat="false" ht="15.75" hidden="false" customHeight="false" outlineLevel="0" collapsed="false">
      <c r="A4212" s="2" t="n">
        <v>95414</v>
      </c>
      <c r="B4212" s="2" t="s">
        <v>3398</v>
      </c>
      <c r="C4212" s="2" t="n">
        <v>3</v>
      </c>
      <c r="D4212" s="2" t="n">
        <v>3</v>
      </c>
      <c r="E4212" s="2" t="n">
        <v>1</v>
      </c>
      <c r="F4212" s="2" t="n">
        <v>141</v>
      </c>
      <c r="G4212" s="2" t="s">
        <v>639</v>
      </c>
      <c r="H4212" s="2" t="str">
        <f aca="false">IFERROR(__xludf.dummyfunction("IF(I4255="""", """", REGEXEXTRACT(I4255, ""Padrao/([^/]+)""))"),"Centro")</f>
        <v>Centro</v>
      </c>
    </row>
    <row r="4213" customFormat="false" ht="15.75" hidden="false" customHeight="false" outlineLevel="0" collapsed="false">
      <c r="A4213" s="2" t="n">
        <v>93833</v>
      </c>
      <c r="B4213" s="2" t="s">
        <v>3399</v>
      </c>
      <c r="C4213" s="2" t="n">
        <v>2</v>
      </c>
      <c r="D4213" s="2" t="n">
        <v>2</v>
      </c>
      <c r="E4213" s="2" t="n">
        <v>1</v>
      </c>
      <c r="F4213" s="2" t="n">
        <v>63</v>
      </c>
      <c r="G4213" s="2" t="s">
        <v>639</v>
      </c>
      <c r="H4213" s="2" t="str">
        <f aca="false">IFERROR(__xludf.dummyfunction("IF(I4256="""", """", REGEXEXTRACT(I4256, ""Padrao/([^/]+)""))"),"Nova Alianca")</f>
        <v>Nova Alianca</v>
      </c>
    </row>
    <row r="4214" customFormat="false" ht="15.75" hidden="false" customHeight="false" outlineLevel="0" collapsed="false">
      <c r="A4214" s="2" t="n">
        <v>91835</v>
      </c>
      <c r="B4214" s="2" t="s">
        <v>3139</v>
      </c>
      <c r="C4214" s="2" t="n">
        <v>3</v>
      </c>
      <c r="D4214" s="2" t="n">
        <v>2</v>
      </c>
      <c r="E4214" s="2" t="n">
        <v>1</v>
      </c>
      <c r="F4214" s="2" t="n">
        <v>97</v>
      </c>
      <c r="G4214" s="2" t="s">
        <v>639</v>
      </c>
      <c r="H4214" s="2" t="str">
        <f aca="false">IFERROR(__xludf.dummyfunction("IF(I4257="""", """", REGEXEXTRACT(I4257, ""Padrao/([^/]+)""))"),"Centro")</f>
        <v>Centro</v>
      </c>
    </row>
    <row r="4215" customFormat="false" ht="15.75" hidden="false" customHeight="false" outlineLevel="0" collapsed="false">
      <c r="A4215" s="2" t="n">
        <v>84023</v>
      </c>
      <c r="B4215" s="2" t="s">
        <v>3400</v>
      </c>
      <c r="C4215" s="2" t="n">
        <v>3</v>
      </c>
      <c r="D4215" s="2" t="n">
        <v>2</v>
      </c>
      <c r="E4215" s="2" t="n">
        <v>1</v>
      </c>
      <c r="F4215" s="2" t="n">
        <v>106</v>
      </c>
      <c r="G4215" s="2" t="s">
        <v>639</v>
      </c>
      <c r="H4215" s="2" t="str">
        <f aca="false">IFERROR(__xludf.dummyfunction("IF(I4259="""", """", REGEXEXTRACT(I4259, ""Padrao/([^/]+)""))"),"Centro")</f>
        <v>Centro</v>
      </c>
    </row>
    <row r="4216" customFormat="false" ht="15.75" hidden="false" customHeight="false" outlineLevel="0" collapsed="false">
      <c r="A4216" s="2" t="n">
        <v>82826</v>
      </c>
      <c r="B4216" s="2" t="s">
        <v>3401</v>
      </c>
      <c r="C4216" s="2" t="n">
        <v>2</v>
      </c>
      <c r="D4216" s="2" t="n">
        <v>3</v>
      </c>
      <c r="E4216" s="2" t="n">
        <v>2</v>
      </c>
      <c r="F4216" s="2" t="n">
        <v>118</v>
      </c>
      <c r="G4216" s="2" t="s">
        <v>639</v>
      </c>
      <c r="H4216" s="2" t="str">
        <f aca="false">IFERROR(__xludf.dummyfunction("IF(I4260="""", """", REGEXEXTRACT(I4260, ""Padrao/([^/]+)""))"),"Jardim Botanico")</f>
        <v>Jardim Botanico</v>
      </c>
    </row>
    <row r="4217" customFormat="false" ht="15.75" hidden="false" customHeight="false" outlineLevel="0" collapsed="false">
      <c r="A4217" s="2" t="n">
        <v>75707</v>
      </c>
      <c r="B4217" s="2" t="s">
        <v>3402</v>
      </c>
      <c r="C4217" s="2" t="n">
        <v>3</v>
      </c>
      <c r="D4217" s="2" t="n">
        <v>2</v>
      </c>
      <c r="E4217" s="2" t="n">
        <v>1</v>
      </c>
      <c r="F4217" s="2" t="n">
        <v>117</v>
      </c>
      <c r="G4217" s="2" t="s">
        <v>639</v>
      </c>
      <c r="H4217" s="2" t="str">
        <f aca="false">IFERROR(__xludf.dummyfunction("IF(I4261="""", """", REGEXEXTRACT(I4261, ""Padrao/([^/]+)""))"),"Jardim Palma Travassos")</f>
        <v>Jardim Palma Travassos</v>
      </c>
    </row>
    <row r="4218" customFormat="false" ht="15.75" hidden="false" customHeight="false" outlineLevel="0" collapsed="false">
      <c r="A4218" s="2" t="n">
        <v>63191</v>
      </c>
      <c r="B4218" s="2" t="s">
        <v>3403</v>
      </c>
      <c r="C4218" s="2" t="n">
        <v>3</v>
      </c>
      <c r="D4218" s="2" t="n">
        <v>2</v>
      </c>
      <c r="E4218" s="2" t="n">
        <v>2</v>
      </c>
      <c r="F4218" s="2" t="n">
        <v>107</v>
      </c>
      <c r="G4218" s="2" t="s">
        <v>639</v>
      </c>
      <c r="H4218" s="2" t="str">
        <f aca="false">IFERROR(__xludf.dummyfunction("IF(I4262="""", """", REGEXEXTRACT(I4262, ""Padrao/([^/]+)""))"),"Centro")</f>
        <v>Centro</v>
      </c>
    </row>
    <row r="4219" customFormat="false" ht="15.75" hidden="false" customHeight="false" outlineLevel="0" collapsed="false">
      <c r="A4219" s="2" t="n">
        <v>20465</v>
      </c>
      <c r="B4219" s="2" t="s">
        <v>2970</v>
      </c>
      <c r="C4219" s="2" t="n">
        <v>3</v>
      </c>
      <c r="D4219" s="2" t="n">
        <v>3</v>
      </c>
      <c r="E4219" s="2" t="n">
        <v>1</v>
      </c>
      <c r="F4219" s="2" t="n">
        <v>90</v>
      </c>
      <c r="G4219" s="2" t="s">
        <v>639</v>
      </c>
      <c r="H4219" s="2" t="str">
        <f aca="false">IFERROR(__xludf.dummyfunction("IF(I4263="""", """", REGEXEXTRACT(I4263, ""Padrao/([^/]+)""))"),"Centro")</f>
        <v>Centro</v>
      </c>
    </row>
    <row r="4220" customFormat="false" ht="15.75" hidden="false" customHeight="false" outlineLevel="0" collapsed="false">
      <c r="A4220" s="2" t="n">
        <v>90875</v>
      </c>
      <c r="B4220" s="2" t="s">
        <v>2426</v>
      </c>
      <c r="C4220" s="2" t="n">
        <v>2</v>
      </c>
      <c r="D4220" s="2" t="n">
        <v>1</v>
      </c>
      <c r="E4220" s="2" t="n">
        <v>1</v>
      </c>
      <c r="F4220" s="2" t="n">
        <v>54</v>
      </c>
      <c r="G4220" s="2" t="s">
        <v>3404</v>
      </c>
      <c r="H4220" s="2" t="str">
        <f aca="false">IFERROR(__xludf.dummyfunction("IF(I4264="""", """", REGEXEXTRACT(I4264, ""Padrao/([^/]+)""))"),"Parque Industrial Lagoinha")</f>
        <v>Parque Industrial Lagoinha</v>
      </c>
    </row>
    <row r="4221" customFormat="false" ht="15.75" hidden="false" customHeight="false" outlineLevel="0" collapsed="false">
      <c r="A4221" s="2" t="n">
        <v>129674</v>
      </c>
      <c r="B4221" s="2" t="s">
        <v>3405</v>
      </c>
      <c r="C4221" s="2" t="n">
        <v>3</v>
      </c>
      <c r="D4221" s="2" t="n">
        <v>4</v>
      </c>
      <c r="E4221" s="2" t="n">
        <v>1</v>
      </c>
      <c r="F4221" s="2" t="n">
        <v>168</v>
      </c>
      <c r="G4221" s="2" t="s">
        <v>3266</v>
      </c>
      <c r="H4221" s="2" t="str">
        <f aca="false">IFERROR(__xludf.dummyfunction("IF(I4265="""", """", REGEXEXTRACT(I4265, ""Padrao/([^/]+)""))"),"Centro")</f>
        <v>Centro</v>
      </c>
    </row>
    <row r="4222" customFormat="false" ht="15.75" hidden="false" customHeight="false" outlineLevel="0" collapsed="false">
      <c r="A4222" s="2" t="n">
        <v>233537</v>
      </c>
      <c r="B4222" s="2" t="s">
        <v>3406</v>
      </c>
      <c r="C4222" s="2" t="n">
        <v>3</v>
      </c>
      <c r="D4222" s="2" t="n">
        <v>2</v>
      </c>
      <c r="E4222" s="2" t="n">
        <v>1</v>
      </c>
      <c r="F4222" s="2" t="n">
        <v>67</v>
      </c>
      <c r="G4222" s="2" t="s">
        <v>1529</v>
      </c>
      <c r="H4222" s="2" t="str">
        <f aca="false">IFERROR(__xludf.dummyfunction("IF(I4266="""", """", REGEXEXTRACT(I4266, ""Padrao/([^/]+)""))"),"Jardim Olhos DAgua")</f>
        <v>Jardim Olhos DAgua</v>
      </c>
    </row>
    <row r="4223" customFormat="false" ht="15.75" hidden="false" customHeight="false" outlineLevel="0" collapsed="false">
      <c r="A4223" s="2" t="n">
        <v>202193</v>
      </c>
      <c r="B4223" s="2" t="s">
        <v>3407</v>
      </c>
      <c r="C4223" s="2" t="n">
        <v>2</v>
      </c>
      <c r="D4223" s="2" t="n">
        <v>1</v>
      </c>
      <c r="E4223" s="2" t="n">
        <v>1</v>
      </c>
      <c r="F4223" s="2" t="n">
        <v>56</v>
      </c>
      <c r="G4223" s="2" t="s">
        <v>1529</v>
      </c>
      <c r="H4223" s="2" t="str">
        <f aca="false">IFERROR(__xludf.dummyfunction("IF(I4267="""", """", REGEXEXTRACT(I4267, ""Padrao/([^/]+)""))"),"Bosque das Juritis")</f>
        <v>Bosque das Juritis</v>
      </c>
    </row>
    <row r="4224" customFormat="false" ht="15.75" hidden="false" customHeight="false" outlineLevel="0" collapsed="false">
      <c r="A4224" s="2" t="n">
        <v>188483</v>
      </c>
      <c r="B4224" s="2" t="s">
        <v>3408</v>
      </c>
      <c r="C4224" s="2" t="n">
        <v>1</v>
      </c>
      <c r="D4224" s="2" t="n">
        <v>1</v>
      </c>
      <c r="E4224" s="2" t="n">
        <v>1</v>
      </c>
      <c r="F4224" s="2" t="n">
        <v>49</v>
      </c>
      <c r="G4224" s="2" t="s">
        <v>1529</v>
      </c>
      <c r="H4224" s="2" t="str">
        <f aca="false">IFERROR(__xludf.dummyfunction("IF(I4268="""", """", REGEXEXTRACT(I4268, ""Padrao/([^/]+)""))"),"Nova Alianca")</f>
        <v>Nova Alianca</v>
      </c>
    </row>
    <row r="4225" customFormat="false" ht="15.75" hidden="false" customHeight="false" outlineLevel="0" collapsed="false">
      <c r="A4225" s="2" t="n">
        <v>161468</v>
      </c>
      <c r="B4225" s="2" t="s">
        <v>3409</v>
      </c>
      <c r="C4225" s="2" t="n">
        <v>1</v>
      </c>
      <c r="D4225" s="2" t="n">
        <v>2</v>
      </c>
      <c r="E4225" s="2" t="n">
        <v>1</v>
      </c>
      <c r="F4225" s="2" t="n">
        <v>44</v>
      </c>
      <c r="G4225" s="2" t="s">
        <v>1529</v>
      </c>
      <c r="H4225" s="2" t="str">
        <f aca="false">IFERROR(__xludf.dummyfunction("IF(I4269="""", """", REGEXEXTRACT(I4269, ""Padrao/([^/]+)""))"),"Jardim Recreio")</f>
        <v>Jardim Recreio</v>
      </c>
    </row>
    <row r="4226" customFormat="false" ht="15.75" hidden="false" customHeight="false" outlineLevel="0" collapsed="false">
      <c r="A4226" s="2" t="n">
        <v>132548</v>
      </c>
      <c r="B4226" s="2" t="s">
        <v>3410</v>
      </c>
      <c r="C4226" s="2" t="n">
        <v>3</v>
      </c>
      <c r="D4226" s="2" t="n">
        <v>3</v>
      </c>
      <c r="E4226" s="2" t="n">
        <v>2</v>
      </c>
      <c r="F4226" s="2" t="n">
        <v>99</v>
      </c>
      <c r="G4226" s="2" t="s">
        <v>1529</v>
      </c>
      <c r="H4226" s="2" t="str">
        <f aca="false">IFERROR(__xludf.dummyfunction("IF(I4270="""", """", REGEXEXTRACT(I4270, ""Padrao/([^/]+)""))"),"Jardim Iraja")</f>
        <v>Jardim Iraja</v>
      </c>
    </row>
    <row r="4227" customFormat="false" ht="15.75" hidden="false" customHeight="false" outlineLevel="0" collapsed="false">
      <c r="A4227" s="2" t="n">
        <v>129455</v>
      </c>
      <c r="B4227" s="2" t="s">
        <v>3411</v>
      </c>
      <c r="C4227" s="2" t="n">
        <v>1</v>
      </c>
      <c r="D4227" s="2" t="n">
        <v>1</v>
      </c>
      <c r="E4227" s="2" t="n">
        <v>1</v>
      </c>
      <c r="F4227" s="2" t="n">
        <v>49</v>
      </c>
      <c r="G4227" s="2" t="s">
        <v>1529</v>
      </c>
      <c r="H4227" s="2" t="str">
        <f aca="false">IFERROR(__xludf.dummyfunction("IF(I4271="""", """", REGEXEXTRACT(I4271, ""Padrao/([^/]+)""))"),"Ribeirania")</f>
        <v>Ribeirania</v>
      </c>
    </row>
    <row r="4228" customFormat="false" ht="15.75" hidden="false" customHeight="false" outlineLevel="0" collapsed="false">
      <c r="A4228" s="2" t="n">
        <v>80216</v>
      </c>
      <c r="B4228" s="2" t="s">
        <v>3412</v>
      </c>
      <c r="C4228" s="2" t="n">
        <v>2</v>
      </c>
      <c r="D4228" s="2" t="n">
        <v>3</v>
      </c>
      <c r="E4228" s="2" t="n">
        <v>1</v>
      </c>
      <c r="F4228" s="2" t="n">
        <v>80</v>
      </c>
      <c r="G4228" s="2" t="s">
        <v>1529</v>
      </c>
      <c r="H4228" s="2" t="str">
        <f aca="false">IFERROR(__xludf.dummyfunction("IF(I4273="""", """", REGEXEXTRACT(I4273, ""Padrao/([^/]+)""))"),"Jardim Sumare")</f>
        <v>Jardim Sumare</v>
      </c>
    </row>
    <row r="4229" customFormat="false" ht="15.75" hidden="false" customHeight="false" outlineLevel="0" collapsed="false">
      <c r="A4229" s="2" t="n">
        <v>227486</v>
      </c>
      <c r="B4229" s="2" t="s">
        <v>3413</v>
      </c>
      <c r="C4229" s="2" t="n">
        <v>2</v>
      </c>
      <c r="D4229" s="2" t="n">
        <v>2</v>
      </c>
      <c r="E4229" s="2" t="n">
        <v>1</v>
      </c>
      <c r="F4229" s="2" t="n">
        <v>54</v>
      </c>
      <c r="G4229" s="2" t="s">
        <v>3414</v>
      </c>
      <c r="H4229" s="2" t="str">
        <f aca="false">IFERROR(__xludf.dummyfunction("IF(I4274="""", """", REGEXEXTRACT(I4274, ""Padrao/([^/]+)""))"),"Jardim Palma Travassos")</f>
        <v>Jardim Palma Travassos</v>
      </c>
    </row>
    <row r="4230" customFormat="false" ht="15.75" hidden="false" customHeight="false" outlineLevel="0" collapsed="false">
      <c r="A4230" s="2" t="n">
        <v>195470</v>
      </c>
      <c r="B4230" s="2" t="s">
        <v>3415</v>
      </c>
      <c r="C4230" s="2" t="n">
        <v>3</v>
      </c>
      <c r="D4230" s="2" t="n">
        <v>3</v>
      </c>
      <c r="E4230" s="2" t="n">
        <v>1</v>
      </c>
      <c r="F4230" s="2" t="n">
        <v>100</v>
      </c>
      <c r="G4230" s="2" t="s">
        <v>621</v>
      </c>
      <c r="H4230" s="2" t="str">
        <f aca="false">IFERROR(__xludf.dummyfunction("IF(I4275="""", """", REGEXEXTRACT(I4275, ""Padrao/([^/]+)""))"),"Centro")</f>
        <v>Centro</v>
      </c>
    </row>
    <row r="4231" customFormat="false" ht="15.75" hidden="false" customHeight="false" outlineLevel="0" collapsed="false">
      <c r="A4231" s="2" t="n">
        <v>64142</v>
      </c>
      <c r="B4231" s="2" t="s">
        <v>3416</v>
      </c>
      <c r="C4231" s="2" t="n">
        <v>3</v>
      </c>
      <c r="D4231" s="2" t="n">
        <v>3</v>
      </c>
      <c r="E4231" s="2" t="n">
        <v>2</v>
      </c>
      <c r="F4231" s="2" t="n">
        <v>84</v>
      </c>
      <c r="G4231" s="2" t="s">
        <v>631</v>
      </c>
      <c r="H4231" s="2" t="str">
        <f aca="false">IFERROR(__xludf.dummyfunction("IF(I4276="""", """", REGEXEXTRACT(I4276, ""Padrao/([^/]+)""))"),"Jardim Sumare")</f>
        <v>Jardim Sumare</v>
      </c>
    </row>
    <row r="4232" customFormat="false" ht="15.75" hidden="false" customHeight="false" outlineLevel="0" collapsed="false">
      <c r="A4232" s="2" t="n">
        <v>216920</v>
      </c>
      <c r="B4232" s="2" t="s">
        <v>3417</v>
      </c>
      <c r="C4232" s="2" t="n">
        <v>1</v>
      </c>
      <c r="D4232" s="2" t="n">
        <v>1</v>
      </c>
      <c r="E4232" s="2" t="n">
        <v>1</v>
      </c>
      <c r="F4232" s="2" t="n">
        <v>51</v>
      </c>
      <c r="G4232" s="2" t="s">
        <v>639</v>
      </c>
      <c r="H4232" s="2" t="str">
        <f aca="false">IFERROR(__xludf.dummyfunction("IF(I4277="""", """", REGEXEXTRACT(I4277, ""Padrao/([^/]+)""))"),"Ribeirania")</f>
        <v>Ribeirania</v>
      </c>
    </row>
    <row r="4233" customFormat="false" ht="15.75" hidden="false" customHeight="false" outlineLevel="0" collapsed="false">
      <c r="A4233" s="2" t="n">
        <v>150806</v>
      </c>
      <c r="B4233" s="2" t="s">
        <v>3418</v>
      </c>
      <c r="C4233" s="2" t="n">
        <v>3</v>
      </c>
      <c r="D4233" s="2" t="n">
        <v>2</v>
      </c>
      <c r="E4233" s="2" t="n">
        <v>1</v>
      </c>
      <c r="F4233" s="2" t="n">
        <v>98</v>
      </c>
      <c r="G4233" s="2" t="s">
        <v>639</v>
      </c>
      <c r="H4233" s="2" t="str">
        <f aca="false">IFERROR(__xludf.dummyfunction("IF(I4278="""", """", REGEXEXTRACT(I4278, ""Padrao/([^/]+)""))"),"Jardim Iraja")</f>
        <v>Jardim Iraja</v>
      </c>
    </row>
    <row r="4234" customFormat="false" ht="15.75" hidden="false" customHeight="false" outlineLevel="0" collapsed="false">
      <c r="A4234" s="2" t="n">
        <v>226907</v>
      </c>
      <c r="B4234" s="2" t="s">
        <v>3419</v>
      </c>
      <c r="C4234" s="2" t="n">
        <v>3</v>
      </c>
      <c r="D4234" s="2" t="n">
        <v>3</v>
      </c>
      <c r="E4234" s="2" t="n">
        <v>1</v>
      </c>
      <c r="F4234" s="2" t="n">
        <v>117</v>
      </c>
      <c r="G4234" s="2" t="s">
        <v>1577</v>
      </c>
      <c r="H4234" s="2" t="str">
        <f aca="false">IFERROR(__xludf.dummyfunction("IF(I4279="""", """", REGEXEXTRACT(I4279, ""Padrao/([^/]+)""))"),"Centro")</f>
        <v>Centro</v>
      </c>
    </row>
    <row r="4235" customFormat="false" ht="15.75" hidden="false" customHeight="false" outlineLevel="0" collapsed="false">
      <c r="A4235" s="2" t="n">
        <v>210815</v>
      </c>
      <c r="B4235" s="2" t="s">
        <v>3281</v>
      </c>
      <c r="C4235" s="2" t="n">
        <v>3</v>
      </c>
      <c r="D4235" s="2" t="n">
        <v>3</v>
      </c>
      <c r="E4235" s="2" t="n">
        <v>1</v>
      </c>
      <c r="F4235" s="2" t="n">
        <v>160</v>
      </c>
      <c r="G4235" s="2" t="s">
        <v>1577</v>
      </c>
      <c r="H4235" s="2" t="str">
        <f aca="false">IFERROR(__xludf.dummyfunction("IF(I4280="""", """", REGEXEXTRACT(I4280, ""Padrao/([^/]+)""))"),"Centro")</f>
        <v>Centro</v>
      </c>
    </row>
    <row r="4236" customFormat="false" ht="15.75" hidden="false" customHeight="false" outlineLevel="0" collapsed="false">
      <c r="A4236" s="2" t="n">
        <v>202628</v>
      </c>
      <c r="B4236" s="2" t="s">
        <v>598</v>
      </c>
      <c r="C4236" s="2" t="n">
        <v>2</v>
      </c>
      <c r="D4236" s="2" t="n">
        <v>1</v>
      </c>
      <c r="E4236" s="2" t="n">
        <v>1</v>
      </c>
      <c r="F4236" s="2" t="n">
        <v>53</v>
      </c>
      <c r="G4236" s="2" t="s">
        <v>1577</v>
      </c>
      <c r="H4236" s="2" t="str">
        <f aca="false">IFERROR(__xludf.dummyfunction("IF(I4281="""", """", REGEXEXTRACT(I4281, ""Padrao/([^/]+)""))"),"Alto da Boa Vista")</f>
        <v>Alto da Boa Vista</v>
      </c>
    </row>
    <row r="4237" customFormat="false" ht="15.75" hidden="false" customHeight="false" outlineLevel="0" collapsed="false">
      <c r="A4237" s="2" t="n">
        <v>176897</v>
      </c>
      <c r="B4237" s="2" t="s">
        <v>2000</v>
      </c>
      <c r="C4237" s="2" t="n">
        <v>2</v>
      </c>
      <c r="D4237" s="2" t="n">
        <v>3</v>
      </c>
      <c r="E4237" s="2" t="n">
        <v>2</v>
      </c>
      <c r="F4237" s="2" t="n">
        <v>70</v>
      </c>
      <c r="G4237" s="2" t="s">
        <v>1577</v>
      </c>
      <c r="H4237" s="2" t="str">
        <f aca="false">IFERROR(__xludf.dummyfunction("IF(I4282="""", """", REGEXEXTRACT(I4282, ""Padrao/([^/]+)""))"),"Jardim Botanico")</f>
        <v>Jardim Botanico</v>
      </c>
    </row>
    <row r="4238" customFormat="false" ht="15.75" hidden="false" customHeight="false" outlineLevel="0" collapsed="false">
      <c r="A4238" s="2" t="n">
        <v>139190</v>
      </c>
      <c r="B4238" s="2" t="s">
        <v>3420</v>
      </c>
      <c r="C4238" s="2" t="n">
        <v>3</v>
      </c>
      <c r="D4238" s="2" t="n">
        <v>3</v>
      </c>
      <c r="E4238" s="2" t="n">
        <v>1</v>
      </c>
      <c r="F4238" s="2" t="n">
        <v>146</v>
      </c>
      <c r="G4238" s="2" t="s">
        <v>1577</v>
      </c>
      <c r="H4238" s="2" t="str">
        <f aca="false">IFERROR(__xludf.dummyfunction("IF(I4283="""", """", REGEXEXTRACT(I4283, ""Padrao/([^/]+)""))"),"Centro")</f>
        <v>Centro</v>
      </c>
    </row>
    <row r="4239" customFormat="false" ht="15.75" hidden="false" customHeight="false" outlineLevel="0" collapsed="false">
      <c r="A4239" s="2" t="n">
        <v>104468</v>
      </c>
      <c r="B4239" s="2" t="s">
        <v>1926</v>
      </c>
      <c r="C4239" s="2" t="n">
        <v>3</v>
      </c>
      <c r="D4239" s="2" t="n">
        <v>3</v>
      </c>
      <c r="E4239" s="2" t="n">
        <v>1</v>
      </c>
      <c r="F4239" s="2" t="n">
        <v>88</v>
      </c>
      <c r="G4239" s="2" t="s">
        <v>1577</v>
      </c>
      <c r="H4239" s="2" t="str">
        <f aca="false">IFERROR(__xludf.dummyfunction("IF(I4284="""", """", REGEXEXTRACT(I4284, ""Padrao/([^/]+)""))"),"Jardim Palma Travassos")</f>
        <v>Jardim Palma Travassos</v>
      </c>
    </row>
    <row r="4240" customFormat="false" ht="15.75" hidden="false" customHeight="false" outlineLevel="0" collapsed="false">
      <c r="A4240" s="2" t="n">
        <v>85946</v>
      </c>
      <c r="B4240" s="2" t="s">
        <v>3421</v>
      </c>
      <c r="C4240" s="2" t="n">
        <v>2</v>
      </c>
      <c r="D4240" s="2" t="n">
        <v>2</v>
      </c>
      <c r="E4240" s="2" t="n">
        <v>1</v>
      </c>
      <c r="F4240" s="2" t="n">
        <v>58</v>
      </c>
      <c r="G4240" s="2" t="s">
        <v>1577</v>
      </c>
      <c r="H4240" s="2" t="str">
        <f aca="false">IFERROR(__xludf.dummyfunction("IF(I4285="""", """", REGEXEXTRACT(I4285, ""Padrao/([^/]+)""))"),"Jardim Botanico")</f>
        <v>Jardim Botanico</v>
      </c>
    </row>
    <row r="4241" customFormat="false" ht="15.75" hidden="false" customHeight="false" outlineLevel="0" collapsed="false">
      <c r="A4241" s="2" t="n">
        <v>198488</v>
      </c>
      <c r="B4241" s="2" t="s">
        <v>3422</v>
      </c>
      <c r="C4241" s="2" t="n">
        <v>2</v>
      </c>
      <c r="D4241" s="2" t="n">
        <v>2</v>
      </c>
      <c r="E4241" s="2" t="n">
        <v>1</v>
      </c>
      <c r="F4241" s="2" t="n">
        <v>57</v>
      </c>
      <c r="G4241" s="2" t="s">
        <v>3423</v>
      </c>
      <c r="H4241" s="2" t="str">
        <f aca="false">IFERROR(__xludf.dummyfunction("IF(I4286="""", """", REGEXEXTRACT(I4286, ""Padrao/([^/]+)""))"),"Jardim das Oliveiras")</f>
        <v>Jardim das Oliveiras</v>
      </c>
    </row>
    <row r="4242" customFormat="false" ht="15.75" hidden="false" customHeight="false" outlineLevel="0" collapsed="false">
      <c r="A4242" s="2" t="n">
        <v>234509</v>
      </c>
      <c r="B4242" s="2" t="s">
        <v>3424</v>
      </c>
      <c r="C4242" s="2" t="n">
        <v>1</v>
      </c>
      <c r="D4242" s="2" t="n">
        <v>1</v>
      </c>
      <c r="E4242" s="2" t="n">
        <v>1</v>
      </c>
      <c r="F4242" s="2" t="n">
        <v>58</v>
      </c>
      <c r="G4242" s="2" t="s">
        <v>626</v>
      </c>
      <c r="H4242" s="2" t="str">
        <f aca="false">IFERROR(__xludf.dummyfunction("IF(I4287="""", """", REGEXEXTRACT(I4287, ""Padrao/([^/]+)""))"),"Jardim Botanico")</f>
        <v>Jardim Botanico</v>
      </c>
    </row>
    <row r="4243" customFormat="false" ht="15.75" hidden="false" customHeight="false" outlineLevel="0" collapsed="false">
      <c r="A4243" s="2" t="n">
        <v>121562</v>
      </c>
      <c r="B4243" s="2" t="s">
        <v>3425</v>
      </c>
      <c r="C4243" s="2" t="n">
        <v>3</v>
      </c>
      <c r="D4243" s="2" t="n">
        <v>3</v>
      </c>
      <c r="E4243" s="2" t="n">
        <v>2</v>
      </c>
      <c r="F4243" s="2" t="n">
        <v>85</v>
      </c>
      <c r="G4243" s="2" t="s">
        <v>626</v>
      </c>
      <c r="H4243" s="2" t="str">
        <f aca="false">IFERROR(__xludf.dummyfunction("IF(I4288="""", """", REGEXEXTRACT(I4288, ""Padrao/([^/]+)""))"),"Parque dos Bandeirantes")</f>
        <v>Parque dos Bandeirantes</v>
      </c>
    </row>
    <row r="4244" customFormat="false" ht="15.75" hidden="false" customHeight="false" outlineLevel="0" collapsed="false">
      <c r="A4244" s="2" t="n">
        <v>238505</v>
      </c>
      <c r="B4244" s="2" t="s">
        <v>3426</v>
      </c>
      <c r="C4244" s="2" t="n">
        <v>1</v>
      </c>
      <c r="D4244" s="2" t="n">
        <v>1</v>
      </c>
      <c r="E4244" s="2" t="n">
        <v>1</v>
      </c>
      <c r="F4244" s="2" t="n">
        <v>49</v>
      </c>
      <c r="G4244" s="2" t="s">
        <v>631</v>
      </c>
      <c r="H4244" s="2" t="str">
        <f aca="false">IFERROR(__xludf.dummyfunction("IF(I4289="""", """", REGEXEXTRACT(I4289, ""Padrao/([^/]+)""))"),"Nova Alianca")</f>
        <v>Nova Alianca</v>
      </c>
    </row>
    <row r="4245" customFormat="false" ht="15.75" hidden="false" customHeight="false" outlineLevel="0" collapsed="false">
      <c r="A4245" s="2" t="n">
        <v>217826</v>
      </c>
      <c r="B4245" s="2" t="s">
        <v>3341</v>
      </c>
      <c r="C4245" s="2" t="n">
        <v>2</v>
      </c>
      <c r="D4245" s="2" t="n">
        <v>1</v>
      </c>
      <c r="E4245" s="2" t="n">
        <v>1</v>
      </c>
      <c r="F4245" s="2" t="n">
        <v>48</v>
      </c>
      <c r="G4245" s="2" t="s">
        <v>1466</v>
      </c>
      <c r="H4245" s="2" t="str">
        <f aca="false">IFERROR(__xludf.dummyfunction("IF(I4290="""", """", REGEXEXTRACT(I4290, ""Padrao/([^/]+)""))"),"Jardim Olhos DAgua")</f>
        <v>Jardim Olhos DAgua</v>
      </c>
    </row>
    <row r="4246" customFormat="false" ht="15.75" hidden="false" customHeight="false" outlineLevel="0" collapsed="false">
      <c r="A4246" s="2" t="n">
        <v>225581</v>
      </c>
      <c r="B4246" s="2" t="s">
        <v>3427</v>
      </c>
      <c r="C4246" s="2" t="n">
        <v>3</v>
      </c>
      <c r="D4246" s="2" t="n">
        <v>2</v>
      </c>
      <c r="E4246" s="2" t="n">
        <v>2</v>
      </c>
      <c r="F4246" s="2" t="n">
        <v>75</v>
      </c>
      <c r="G4246" s="2" t="s">
        <v>639</v>
      </c>
      <c r="H4246" s="2" t="str">
        <f aca="false">IFERROR(__xludf.dummyfunction("IF(I4291="""", """", REGEXEXTRACT(I4291, ""Padrao/([^/]+)""))"),"Jardim Botanico")</f>
        <v>Jardim Botanico</v>
      </c>
    </row>
    <row r="4247" customFormat="false" ht="15.75" hidden="false" customHeight="false" outlineLevel="0" collapsed="false">
      <c r="A4247" s="2" t="n">
        <v>240149</v>
      </c>
      <c r="B4247" s="2" t="s">
        <v>3428</v>
      </c>
      <c r="C4247" s="2" t="n">
        <v>1</v>
      </c>
      <c r="D4247" s="2" t="n">
        <v>1</v>
      </c>
      <c r="E4247" s="2" t="n">
        <v>1</v>
      </c>
      <c r="F4247" s="2" t="n">
        <v>50</v>
      </c>
      <c r="G4247" s="2" t="s">
        <v>1501</v>
      </c>
      <c r="H4247" s="2" t="str">
        <f aca="false">IFERROR(__xludf.dummyfunction("IF(I4292="""", """", REGEXEXTRACT(I4292, ""Padrao/([^/]+)""))"),"Parque dos Bandeirantes")</f>
        <v>Parque dos Bandeirantes</v>
      </c>
    </row>
    <row r="4248" customFormat="false" ht="15.75" hidden="false" customHeight="false" outlineLevel="0" collapsed="false">
      <c r="A4248" s="2" t="n">
        <v>239300</v>
      </c>
      <c r="B4248" s="2" t="s">
        <v>3154</v>
      </c>
      <c r="C4248" s="2" t="n">
        <v>3</v>
      </c>
      <c r="D4248" s="2" t="n">
        <v>2</v>
      </c>
      <c r="E4248" s="2" t="n">
        <v>2</v>
      </c>
      <c r="F4248" s="2" t="n">
        <v>95</v>
      </c>
      <c r="G4248" s="2" t="s">
        <v>1501</v>
      </c>
      <c r="H4248" s="2" t="str">
        <f aca="false">IFERROR(__xludf.dummyfunction("IF(I4293="""", """", REGEXEXTRACT(I4293, ""Padrao/([^/]+)""))"),"Jardim Iraja")</f>
        <v>Jardim Iraja</v>
      </c>
    </row>
    <row r="4249" customFormat="false" ht="15.75" hidden="false" customHeight="false" outlineLevel="0" collapsed="false">
      <c r="A4249" s="2" t="n">
        <v>221918</v>
      </c>
      <c r="B4249" s="2" t="s">
        <v>3429</v>
      </c>
      <c r="C4249" s="2" t="n">
        <v>2</v>
      </c>
      <c r="D4249" s="2" t="n">
        <v>2</v>
      </c>
      <c r="E4249" s="2" t="n">
        <v>1</v>
      </c>
      <c r="F4249" s="2" t="n">
        <v>64</v>
      </c>
      <c r="G4249" s="2" t="s">
        <v>1501</v>
      </c>
      <c r="H4249" s="2" t="str">
        <f aca="false">IFERROR(__xludf.dummyfunction("IF(I4294="""", """", REGEXEXTRACT(I4294, ""Padrao/([^/]+)""))"),"Jardim Paulista")</f>
        <v>Jardim Paulista</v>
      </c>
    </row>
    <row r="4250" customFormat="false" ht="15.75" hidden="false" customHeight="false" outlineLevel="0" collapsed="false">
      <c r="A4250" s="2" t="n">
        <v>220889</v>
      </c>
      <c r="B4250" s="2" t="s">
        <v>3430</v>
      </c>
      <c r="C4250" s="2" t="n">
        <v>3</v>
      </c>
      <c r="D4250" s="2" t="n">
        <v>2</v>
      </c>
      <c r="E4250" s="2" t="n">
        <v>1</v>
      </c>
      <c r="F4250" s="2" t="n">
        <v>65</v>
      </c>
      <c r="G4250" s="2" t="s">
        <v>1501</v>
      </c>
      <c r="H4250" s="2" t="str">
        <f aca="false">IFERROR(__xludf.dummyfunction("IF(I4295="""", """", REGEXEXTRACT(I4295, ""Padrao/([^/]+)""))"),"Sumarezinho")</f>
        <v>Sumarezinho</v>
      </c>
    </row>
    <row r="4251" customFormat="false" ht="15.75" hidden="false" customHeight="false" outlineLevel="0" collapsed="false">
      <c r="A4251" s="2" t="n">
        <v>220343</v>
      </c>
      <c r="B4251" s="2" t="s">
        <v>3431</v>
      </c>
      <c r="C4251" s="2" t="n">
        <v>3</v>
      </c>
      <c r="D4251" s="2" t="n">
        <v>3</v>
      </c>
      <c r="E4251" s="2" t="n">
        <v>1</v>
      </c>
      <c r="F4251" s="2" t="n">
        <v>83</v>
      </c>
      <c r="G4251" s="2" t="s">
        <v>1501</v>
      </c>
      <c r="H4251" s="2" t="str">
        <f aca="false">IFERROR(__xludf.dummyfunction("IF(I4296="""", """", REGEXEXTRACT(I4296, ""Padrao/([^/]+)""))"),"Jardim Iraja")</f>
        <v>Jardim Iraja</v>
      </c>
    </row>
    <row r="4252" customFormat="false" ht="15.75" hidden="false" customHeight="false" outlineLevel="0" collapsed="false">
      <c r="A4252" s="2" t="n">
        <v>217022</v>
      </c>
      <c r="B4252" s="2" t="s">
        <v>3432</v>
      </c>
      <c r="C4252" s="2" t="n">
        <v>2</v>
      </c>
      <c r="D4252" s="2" t="n">
        <v>3</v>
      </c>
      <c r="E4252" s="2" t="n">
        <v>1</v>
      </c>
      <c r="F4252" s="2" t="n">
        <v>83</v>
      </c>
      <c r="G4252" s="2" t="s">
        <v>1501</v>
      </c>
      <c r="H4252" s="2" t="str">
        <f aca="false">IFERROR(__xludf.dummyfunction("IF(I4297="""", """", REGEXEXTRACT(I4297, ""Padrao/([^/]+)""))"),"Residencial Greenville")</f>
        <v>Residencial Greenville</v>
      </c>
    </row>
    <row r="4253" customFormat="false" ht="15.75" hidden="false" customHeight="false" outlineLevel="0" collapsed="false">
      <c r="A4253" s="2" t="n">
        <v>216098</v>
      </c>
      <c r="B4253" s="2" t="s">
        <v>3433</v>
      </c>
      <c r="C4253" s="2" t="n">
        <v>3</v>
      </c>
      <c r="D4253" s="2" t="n">
        <v>2</v>
      </c>
      <c r="E4253" s="2" t="n">
        <v>2</v>
      </c>
      <c r="F4253" s="2" t="n">
        <v>80</v>
      </c>
      <c r="G4253" s="2" t="s">
        <v>1501</v>
      </c>
      <c r="H4253" s="2" t="str">
        <f aca="false">IFERROR(__xludf.dummyfunction("IF(I4298="""", """", REGEXEXTRACT(I4298, ""Padrao/([^/]+)""))"),"Vila Tiberio")</f>
        <v>Vila Tiberio</v>
      </c>
    </row>
    <row r="4254" customFormat="false" ht="15.75" hidden="false" customHeight="false" outlineLevel="0" collapsed="false">
      <c r="A4254" s="2" t="n">
        <v>212933</v>
      </c>
      <c r="B4254" s="2" t="s">
        <v>3282</v>
      </c>
      <c r="C4254" s="2" t="n">
        <v>3</v>
      </c>
      <c r="D4254" s="2" t="n">
        <v>3</v>
      </c>
      <c r="E4254" s="2" t="n">
        <v>1</v>
      </c>
      <c r="F4254" s="2" t="n">
        <v>125</v>
      </c>
      <c r="G4254" s="2" t="s">
        <v>1501</v>
      </c>
      <c r="H4254" s="2" t="str">
        <f aca="false">IFERROR(__xludf.dummyfunction("IF(I4299="""", """", REGEXEXTRACT(I4299, ""Padrao/([^/]+)""))"),"Campos Eliseos")</f>
        <v>Campos Eliseos</v>
      </c>
    </row>
    <row r="4255" customFormat="false" ht="15.75" hidden="false" customHeight="false" outlineLevel="0" collapsed="false">
      <c r="A4255" s="2" t="n">
        <v>212501</v>
      </c>
      <c r="B4255" s="2" t="s">
        <v>3434</v>
      </c>
      <c r="C4255" s="2" t="n">
        <v>1</v>
      </c>
      <c r="D4255" s="2" t="n">
        <v>2</v>
      </c>
      <c r="E4255" s="2" t="n">
        <v>2</v>
      </c>
      <c r="F4255" s="2" t="n">
        <v>80</v>
      </c>
      <c r="G4255" s="2" t="s">
        <v>1501</v>
      </c>
      <c r="H4255" s="2" t="str">
        <f aca="false">IFERROR(__xludf.dummyfunction("IF(I4300="""", """", REGEXEXTRACT(I4300, ""Padrao/([^/]+)""))"),"Vila Tiberio")</f>
        <v>Vila Tiberio</v>
      </c>
    </row>
    <row r="4256" customFormat="false" ht="15.75" hidden="false" customHeight="false" outlineLevel="0" collapsed="false">
      <c r="A4256" s="2" t="n">
        <v>208805</v>
      </c>
      <c r="B4256" s="2" t="s">
        <v>3435</v>
      </c>
      <c r="C4256" s="2" t="n">
        <v>1</v>
      </c>
      <c r="D4256" s="2" t="n">
        <v>1</v>
      </c>
      <c r="E4256" s="2" t="n">
        <v>1</v>
      </c>
      <c r="F4256" s="2" t="n">
        <v>45</v>
      </c>
      <c r="G4256" s="2" t="s">
        <v>1501</v>
      </c>
      <c r="H4256" s="2" t="str">
        <f aca="false">IFERROR(__xludf.dummyfunction("IF(I4301="""", """", REGEXEXTRACT(I4301, ""Padrao/([^/]+)""))"),"Jardim Botanico")</f>
        <v>Jardim Botanico</v>
      </c>
    </row>
    <row r="4257" customFormat="false" ht="15.75" hidden="false" customHeight="false" outlineLevel="0" collapsed="false">
      <c r="A4257" s="2" t="n">
        <v>202613</v>
      </c>
      <c r="B4257" s="2" t="s">
        <v>3436</v>
      </c>
      <c r="C4257" s="2" t="n">
        <v>3</v>
      </c>
      <c r="D4257" s="2" t="n">
        <v>2</v>
      </c>
      <c r="E4257" s="2" t="n">
        <v>2</v>
      </c>
      <c r="F4257" s="2" t="n">
        <v>80</v>
      </c>
      <c r="G4257" s="2" t="s">
        <v>1501</v>
      </c>
      <c r="H4257" s="2" t="str">
        <f aca="false">IFERROR(__xludf.dummyfunction("IF(I4302="""", """", REGEXEXTRACT(I4302, ""Padrao/([^/]+)""))"),"Vila Tiberio")</f>
        <v>Vila Tiberio</v>
      </c>
    </row>
    <row r="4258" customFormat="false" ht="15.75" hidden="false" customHeight="false" outlineLevel="0" collapsed="false">
      <c r="A4258" s="2" t="n">
        <v>202025</v>
      </c>
      <c r="B4258" s="2" t="s">
        <v>3436</v>
      </c>
      <c r="C4258" s="2" t="n">
        <v>3</v>
      </c>
      <c r="D4258" s="2" t="n">
        <v>2</v>
      </c>
      <c r="E4258" s="2" t="n">
        <v>2</v>
      </c>
      <c r="F4258" s="2" t="n">
        <v>80</v>
      </c>
      <c r="G4258" s="2" t="s">
        <v>1501</v>
      </c>
      <c r="H4258" s="2" t="str">
        <f aca="false">IFERROR(__xludf.dummyfunction("IF(I4303="""", """", REGEXEXTRACT(I4303, ""Padrao/([^/]+)""))"),"Vila Tiberio")</f>
        <v>Vila Tiberio</v>
      </c>
    </row>
    <row r="4259" customFormat="false" ht="15.75" hidden="false" customHeight="false" outlineLevel="0" collapsed="false">
      <c r="A4259" s="2" t="n">
        <v>201884</v>
      </c>
      <c r="B4259" s="2" t="s">
        <v>3436</v>
      </c>
      <c r="C4259" s="2" t="n">
        <v>3</v>
      </c>
      <c r="D4259" s="2" t="n">
        <v>2</v>
      </c>
      <c r="E4259" s="2" t="n">
        <v>2</v>
      </c>
      <c r="F4259" s="2" t="n">
        <v>80</v>
      </c>
      <c r="G4259" s="2" t="s">
        <v>1501</v>
      </c>
      <c r="H4259" s="2" t="str">
        <f aca="false">IFERROR(__xludf.dummyfunction("IF(I4304="""", """", REGEXEXTRACT(I4304, ""Padrao/([^/]+)""))"),"Vila Tiberio")</f>
        <v>Vila Tiberio</v>
      </c>
    </row>
    <row r="4260" customFormat="false" ht="15.75" hidden="false" customHeight="false" outlineLevel="0" collapsed="false">
      <c r="A4260" s="2" t="n">
        <v>201512</v>
      </c>
      <c r="B4260" s="2" t="s">
        <v>3436</v>
      </c>
      <c r="C4260" s="2" t="n">
        <v>2</v>
      </c>
      <c r="D4260" s="2" t="n">
        <v>2</v>
      </c>
      <c r="E4260" s="2" t="n">
        <v>2</v>
      </c>
      <c r="F4260" s="2" t="n">
        <v>80</v>
      </c>
      <c r="G4260" s="2" t="s">
        <v>1501</v>
      </c>
      <c r="H4260" s="2" t="str">
        <f aca="false">IFERROR(__xludf.dummyfunction("IF(I4305="""", """", REGEXEXTRACT(I4305, ""Padrao/([^/]+)""))"),"Vila Tiberio")</f>
        <v>Vila Tiberio</v>
      </c>
    </row>
    <row r="4261" customFormat="false" ht="15.75" hidden="false" customHeight="false" outlineLevel="0" collapsed="false">
      <c r="A4261" s="2" t="n">
        <v>201455</v>
      </c>
      <c r="B4261" s="2" t="s">
        <v>3436</v>
      </c>
      <c r="C4261" s="2" t="n">
        <v>2</v>
      </c>
      <c r="D4261" s="2" t="n">
        <v>2</v>
      </c>
      <c r="E4261" s="2" t="n">
        <v>2</v>
      </c>
      <c r="F4261" s="2" t="n">
        <v>80</v>
      </c>
      <c r="G4261" s="2" t="s">
        <v>1501</v>
      </c>
      <c r="H4261" s="2" t="str">
        <f aca="false">IFERROR(__xludf.dummyfunction("IF(I4306="""", """", REGEXEXTRACT(I4306, ""Padrao/([^/]+)""))"),"Vila Tiberio")</f>
        <v>Vila Tiberio</v>
      </c>
    </row>
    <row r="4262" customFormat="false" ht="15.75" hidden="false" customHeight="false" outlineLevel="0" collapsed="false">
      <c r="A4262" s="2" t="n">
        <v>201197</v>
      </c>
      <c r="B4262" s="2" t="s">
        <v>3436</v>
      </c>
      <c r="C4262" s="2" t="n">
        <v>3</v>
      </c>
      <c r="D4262" s="2" t="n">
        <v>2</v>
      </c>
      <c r="E4262" s="2" t="n">
        <v>2</v>
      </c>
      <c r="F4262" s="2" t="n">
        <v>80</v>
      </c>
      <c r="G4262" s="2" t="s">
        <v>1501</v>
      </c>
      <c r="H4262" s="2" t="str">
        <f aca="false">IFERROR(__xludf.dummyfunction("IF(I4307="""", """", REGEXEXTRACT(I4307, ""Padrao/([^/]+)""))"),"Vila Tiberio")</f>
        <v>Vila Tiberio</v>
      </c>
    </row>
    <row r="4263" customFormat="false" ht="15.75" hidden="false" customHeight="false" outlineLevel="0" collapsed="false">
      <c r="A4263" s="2" t="n">
        <v>201041</v>
      </c>
      <c r="B4263" s="2" t="s">
        <v>3437</v>
      </c>
      <c r="C4263" s="2" t="n">
        <v>3</v>
      </c>
      <c r="D4263" s="2" t="n">
        <v>2</v>
      </c>
      <c r="E4263" s="2" t="n">
        <v>2</v>
      </c>
      <c r="F4263" s="2" t="n">
        <v>80</v>
      </c>
      <c r="G4263" s="2" t="s">
        <v>1501</v>
      </c>
      <c r="H4263" s="2" t="str">
        <f aca="false">IFERROR(__xludf.dummyfunction("IF(I4308="""", """", REGEXEXTRACT(I4308, ""Padrao/([^/]+)""))"),"Vila Tiberio")</f>
        <v>Vila Tiberio</v>
      </c>
    </row>
    <row r="4264" customFormat="false" ht="15.75" hidden="false" customHeight="false" outlineLevel="0" collapsed="false">
      <c r="A4264" s="2" t="n">
        <v>200525</v>
      </c>
      <c r="B4264" s="2" t="s">
        <v>3438</v>
      </c>
      <c r="C4264" s="2" t="n">
        <v>3</v>
      </c>
      <c r="D4264" s="2" t="n">
        <v>2</v>
      </c>
      <c r="E4264" s="2" t="n">
        <v>2</v>
      </c>
      <c r="F4264" s="2" t="n">
        <v>93</v>
      </c>
      <c r="G4264" s="2" t="s">
        <v>1501</v>
      </c>
      <c r="H4264" s="2" t="str">
        <f aca="false">IFERROR(__xludf.dummyfunction("IF(I4309="""", """", REGEXEXTRACT(I4309, ""Padrao/([^/]+)""))"),"Jardim Macedo")</f>
        <v>Jardim Macedo</v>
      </c>
    </row>
    <row r="4265" customFormat="false" ht="15.75" hidden="false" customHeight="false" outlineLevel="0" collapsed="false">
      <c r="A4265" s="2" t="n">
        <v>195782</v>
      </c>
      <c r="B4265" s="2" t="s">
        <v>3439</v>
      </c>
      <c r="C4265" s="2" t="n">
        <v>3</v>
      </c>
      <c r="D4265" s="2" t="n">
        <v>2</v>
      </c>
      <c r="E4265" s="2" t="n">
        <v>1</v>
      </c>
      <c r="F4265" s="2" t="n">
        <v>106</v>
      </c>
      <c r="G4265" s="2" t="s">
        <v>1501</v>
      </c>
      <c r="H4265" s="2" t="str">
        <f aca="false">IFERROR(__xludf.dummyfunction("IF(I4310="""", """", REGEXEXTRACT(I4310, ""Padrao/([^/]+)""))"),"Jardim Sao Luiz")</f>
        <v>Jardim Sao Luiz</v>
      </c>
    </row>
    <row r="4266" customFormat="false" ht="15.75" hidden="false" customHeight="false" outlineLevel="0" collapsed="false">
      <c r="A4266" s="2" t="n">
        <v>195395</v>
      </c>
      <c r="B4266" s="2" t="s">
        <v>1666</v>
      </c>
      <c r="C4266" s="2" t="n">
        <v>2</v>
      </c>
      <c r="D4266" s="2" t="n">
        <v>2</v>
      </c>
      <c r="E4266" s="2" t="n">
        <v>1</v>
      </c>
      <c r="F4266" s="2" t="n">
        <v>69</v>
      </c>
      <c r="G4266" s="2" t="s">
        <v>1501</v>
      </c>
      <c r="H4266" s="2" t="str">
        <f aca="false">IFERROR(__xludf.dummyfunction("IF(I4311="""", """", REGEXEXTRACT(I4311, ""Padrao/([^/]+)""))"),"Vila Ana Maria")</f>
        <v>Vila Ana Maria</v>
      </c>
    </row>
    <row r="4267" customFormat="false" ht="15.75" hidden="false" customHeight="false" outlineLevel="0" collapsed="false">
      <c r="A4267" s="2" t="n">
        <v>194429</v>
      </c>
      <c r="B4267" s="2" t="s">
        <v>3440</v>
      </c>
      <c r="C4267" s="2" t="n">
        <v>2</v>
      </c>
      <c r="D4267" s="2" t="n">
        <v>2</v>
      </c>
      <c r="E4267" s="2" t="n">
        <v>1</v>
      </c>
      <c r="F4267" s="2" t="n">
        <v>69</v>
      </c>
      <c r="G4267" s="2" t="s">
        <v>1501</v>
      </c>
      <c r="H4267" s="2" t="str">
        <f aca="false">IFERROR(__xludf.dummyfunction("IF(I4312="""", """", REGEXEXTRACT(I4312, ""Padrao/([^/]+)""))"),"Jardim Iraja")</f>
        <v>Jardim Iraja</v>
      </c>
    </row>
    <row r="4268" customFormat="false" ht="15.75" hidden="false" customHeight="false" outlineLevel="0" collapsed="false">
      <c r="A4268" s="2" t="n">
        <v>191615</v>
      </c>
      <c r="B4268" s="2" t="s">
        <v>3441</v>
      </c>
      <c r="C4268" s="2" t="n">
        <v>3</v>
      </c>
      <c r="D4268" s="2" t="n">
        <v>2</v>
      </c>
      <c r="E4268" s="2" t="n">
        <v>2</v>
      </c>
      <c r="F4268" s="2" t="n">
        <v>80</v>
      </c>
      <c r="G4268" s="2" t="s">
        <v>1501</v>
      </c>
      <c r="H4268" s="2" t="str">
        <f aca="false">IFERROR(__xludf.dummyfunction("IF(I4313="""", """", REGEXEXTRACT(I4313, ""Padrao/([^/]+)""))"),"Vila Tiberio")</f>
        <v>Vila Tiberio</v>
      </c>
    </row>
    <row r="4269" customFormat="false" ht="15.75" hidden="false" customHeight="false" outlineLevel="0" collapsed="false">
      <c r="A4269" s="2" t="n">
        <v>189197</v>
      </c>
      <c r="B4269" s="2" t="s">
        <v>3442</v>
      </c>
      <c r="C4269" s="2" t="n">
        <v>3</v>
      </c>
      <c r="D4269" s="2" t="n">
        <v>2</v>
      </c>
      <c r="E4269" s="2" t="n">
        <v>1</v>
      </c>
      <c r="F4269" s="2" t="n">
        <v>117</v>
      </c>
      <c r="G4269" s="2" t="s">
        <v>1501</v>
      </c>
      <c r="H4269" s="2" t="str">
        <f aca="false">IFERROR(__xludf.dummyfunction("IF(I4314="""", """", REGEXEXTRACT(I4314, ""Padrao/([^/]+)""))"),"Condominio Itamaraty")</f>
        <v>Condominio Itamaraty</v>
      </c>
    </row>
    <row r="4270" customFormat="false" ht="15.75" hidden="false" customHeight="false" outlineLevel="0" collapsed="false">
      <c r="A4270" s="2" t="n">
        <v>176879</v>
      </c>
      <c r="B4270" s="2" t="s">
        <v>3443</v>
      </c>
      <c r="C4270" s="2" t="n">
        <v>2</v>
      </c>
      <c r="D4270" s="2" t="n">
        <v>3</v>
      </c>
      <c r="E4270" s="2" t="n">
        <v>2</v>
      </c>
      <c r="F4270" s="2" t="n">
        <v>70</v>
      </c>
      <c r="G4270" s="2" t="s">
        <v>1501</v>
      </c>
      <c r="H4270" s="2" t="str">
        <f aca="false">IFERROR(__xludf.dummyfunction("IF(I4315="""", """", REGEXEXTRACT(I4315, ""Padrao/([^/]+)""))"),"Jardim Botanico")</f>
        <v>Jardim Botanico</v>
      </c>
    </row>
    <row r="4271" customFormat="false" ht="15.75" hidden="false" customHeight="false" outlineLevel="0" collapsed="false">
      <c r="A4271" s="2" t="n">
        <v>165461</v>
      </c>
      <c r="B4271" s="2" t="s">
        <v>3444</v>
      </c>
      <c r="C4271" s="2" t="n">
        <v>2</v>
      </c>
      <c r="D4271" s="2" t="n">
        <v>2</v>
      </c>
      <c r="E4271" s="2" t="n">
        <v>1</v>
      </c>
      <c r="F4271" s="2" t="n">
        <v>74</v>
      </c>
      <c r="G4271" s="2" t="s">
        <v>1501</v>
      </c>
      <c r="H4271" s="2" t="str">
        <f aca="false">IFERROR(__xludf.dummyfunction("IF(I4316="""", """", REGEXEXTRACT(I4316, ""Padrao/([^/]+)""))"),"Santa Cruz do Jose Jacques")</f>
        <v>Santa Cruz do Jose Jacques</v>
      </c>
    </row>
    <row r="4272" customFormat="false" ht="15.75" hidden="false" customHeight="false" outlineLevel="0" collapsed="false">
      <c r="A4272" s="2" t="n">
        <v>165458</v>
      </c>
      <c r="B4272" s="2" t="s">
        <v>3445</v>
      </c>
      <c r="C4272" s="2" t="n">
        <v>2</v>
      </c>
      <c r="D4272" s="2" t="n">
        <v>2</v>
      </c>
      <c r="E4272" s="2" t="n">
        <v>1</v>
      </c>
      <c r="F4272" s="2" t="n">
        <v>74</v>
      </c>
      <c r="G4272" s="2" t="s">
        <v>1501</v>
      </c>
      <c r="H4272" s="2" t="str">
        <f aca="false">IFERROR(__xludf.dummyfunction("IF(I4317="""", """", REGEXEXTRACT(I4317, ""Padrao/([^/]+)""))"),"Santa Cruz do Jose Jacques")</f>
        <v>Santa Cruz do Jose Jacques</v>
      </c>
    </row>
    <row r="4273" customFormat="false" ht="15.75" hidden="false" customHeight="false" outlineLevel="0" collapsed="false">
      <c r="A4273" s="2" t="n">
        <v>165446</v>
      </c>
      <c r="B4273" s="2" t="s">
        <v>3446</v>
      </c>
      <c r="C4273" s="2" t="n">
        <v>2</v>
      </c>
      <c r="D4273" s="2" t="n">
        <v>2</v>
      </c>
      <c r="E4273" s="2" t="n">
        <v>1</v>
      </c>
      <c r="F4273" s="2" t="n">
        <v>74</v>
      </c>
      <c r="G4273" s="2" t="s">
        <v>1501</v>
      </c>
      <c r="H4273" s="2" t="str">
        <f aca="false">IFERROR(__xludf.dummyfunction("IF(I4318="""", """", REGEXEXTRACT(I4318, ""Padrao/([^/]+)""))"),"Santa Cruz do Jose Jacques")</f>
        <v>Santa Cruz do Jose Jacques</v>
      </c>
    </row>
    <row r="4274" customFormat="false" ht="15.75" hidden="false" customHeight="false" outlineLevel="0" collapsed="false">
      <c r="A4274" s="2" t="n">
        <v>155858</v>
      </c>
      <c r="B4274" s="2" t="s">
        <v>3447</v>
      </c>
      <c r="C4274" s="2" t="n">
        <v>2</v>
      </c>
      <c r="D4274" s="2" t="n">
        <v>3</v>
      </c>
      <c r="E4274" s="2" t="n">
        <v>1</v>
      </c>
      <c r="F4274" s="2" t="n">
        <v>69</v>
      </c>
      <c r="G4274" s="2" t="s">
        <v>1501</v>
      </c>
      <c r="H4274" s="2" t="str">
        <f aca="false">IFERROR(__xludf.dummyfunction("IF(I4319="""", """", REGEXEXTRACT(I4319, ""Padrao/([^/]+)""))"),"Jardim Botanico")</f>
        <v>Jardim Botanico</v>
      </c>
    </row>
    <row r="4275" customFormat="false" ht="15.75" hidden="false" customHeight="false" outlineLevel="0" collapsed="false">
      <c r="A4275" s="2" t="n">
        <v>152387</v>
      </c>
      <c r="B4275" s="2" t="s">
        <v>3448</v>
      </c>
      <c r="C4275" s="2" t="n">
        <v>3</v>
      </c>
      <c r="D4275" s="2" t="n">
        <v>3</v>
      </c>
      <c r="E4275" s="2" t="n">
        <v>1</v>
      </c>
      <c r="F4275" s="2" t="n">
        <v>129</v>
      </c>
      <c r="G4275" s="2" t="s">
        <v>1501</v>
      </c>
      <c r="H4275" s="2" t="str">
        <f aca="false">IFERROR(__xludf.dummyfunction("IF(I4320="""", """", REGEXEXTRACT(I4320, ""Padrao/([^/]+)""))"),"Centro")</f>
        <v>Centro</v>
      </c>
    </row>
    <row r="4276" customFormat="false" ht="15.75" hidden="false" customHeight="false" outlineLevel="0" collapsed="false">
      <c r="A4276" s="2" t="n">
        <v>151130</v>
      </c>
      <c r="B4276" s="2" t="s">
        <v>3034</v>
      </c>
      <c r="C4276" s="2" t="n">
        <v>3</v>
      </c>
      <c r="D4276" s="2" t="n">
        <v>2</v>
      </c>
      <c r="E4276" s="2" t="n">
        <v>1</v>
      </c>
      <c r="F4276" s="2" t="n">
        <v>103</v>
      </c>
      <c r="G4276" s="2" t="s">
        <v>1501</v>
      </c>
      <c r="H4276" s="2" t="str">
        <f aca="false">IFERROR(__xludf.dummyfunction("IF(I4321="""", """", REGEXEXTRACT(I4321, ""Padrao/([^/]+)""))"),"Centro")</f>
        <v>Centro</v>
      </c>
    </row>
    <row r="4277" customFormat="false" ht="15.75" hidden="false" customHeight="false" outlineLevel="0" collapsed="false">
      <c r="A4277" s="2" t="n">
        <v>143600</v>
      </c>
      <c r="B4277" s="2" t="s">
        <v>3449</v>
      </c>
      <c r="C4277" s="2" t="n">
        <v>2</v>
      </c>
      <c r="D4277" s="2" t="n">
        <v>3</v>
      </c>
      <c r="E4277" s="2" t="n">
        <v>1</v>
      </c>
      <c r="F4277" s="2" t="n">
        <v>79</v>
      </c>
      <c r="G4277" s="2" t="s">
        <v>1501</v>
      </c>
      <c r="H4277" s="2" t="str">
        <f aca="false">IFERROR(__xludf.dummyfunction("IF(I4322="""", """", REGEXEXTRACT(I4322, ""Padrao/([^/]+)""))"),"Vila Seixas")</f>
        <v>Vila Seixas</v>
      </c>
    </row>
    <row r="4278" customFormat="false" ht="15.75" hidden="false" customHeight="false" outlineLevel="0" collapsed="false">
      <c r="A4278" s="2" t="n">
        <v>109886</v>
      </c>
      <c r="B4278" s="2" t="s">
        <v>3450</v>
      </c>
      <c r="C4278" s="2" t="n">
        <v>2</v>
      </c>
      <c r="D4278" s="2" t="n">
        <v>2</v>
      </c>
      <c r="E4278" s="2" t="n">
        <v>1</v>
      </c>
      <c r="F4278" s="2" t="n">
        <v>65</v>
      </c>
      <c r="G4278" s="2" t="s">
        <v>1501</v>
      </c>
      <c r="H4278" s="2" t="str">
        <f aca="false">IFERROR(__xludf.dummyfunction("IF(I4323="""", """", REGEXEXTRACT(I4323, ""Padrao/([^/]+)""))"),"Jardim Botanico")</f>
        <v>Jardim Botanico</v>
      </c>
    </row>
    <row r="4279" customFormat="false" ht="15.75" hidden="false" customHeight="false" outlineLevel="0" collapsed="false">
      <c r="A4279" s="2" t="n">
        <v>101063</v>
      </c>
      <c r="B4279" s="2" t="s">
        <v>3003</v>
      </c>
      <c r="C4279" s="2" t="n">
        <v>3</v>
      </c>
      <c r="D4279" s="2" t="n">
        <v>3</v>
      </c>
      <c r="E4279" s="2" t="n">
        <v>1</v>
      </c>
      <c r="F4279" s="2" t="n">
        <v>96</v>
      </c>
      <c r="G4279" s="2" t="s">
        <v>1501</v>
      </c>
      <c r="H4279" s="2" t="str">
        <f aca="false">IFERROR(__xludf.dummyfunction("IF(I4324="""", """", REGEXEXTRACT(I4324, ""Padrao/([^/]+)""))"),"Jardim Paulista")</f>
        <v>Jardim Paulista</v>
      </c>
    </row>
    <row r="4280" customFormat="false" ht="15.75" hidden="false" customHeight="false" outlineLevel="0" collapsed="false">
      <c r="A4280" s="2" t="n">
        <v>98009</v>
      </c>
      <c r="B4280" s="2" t="s">
        <v>3451</v>
      </c>
      <c r="C4280" s="2" t="n">
        <v>2</v>
      </c>
      <c r="D4280" s="2" t="n">
        <v>1</v>
      </c>
      <c r="E4280" s="2" t="n">
        <v>1</v>
      </c>
      <c r="F4280" s="2" t="n">
        <v>98</v>
      </c>
      <c r="G4280" s="2" t="s">
        <v>1501</v>
      </c>
      <c r="H4280" s="2" t="str">
        <f aca="false">IFERROR(__xludf.dummyfunction("IF(I4325="""", """", REGEXEXTRACT(I4325, ""Padrao/([^/]+)""))"),"Alto da Boa Vista")</f>
        <v>Alto da Boa Vista</v>
      </c>
    </row>
    <row r="4281" customFormat="false" ht="15.75" hidden="false" customHeight="false" outlineLevel="0" collapsed="false">
      <c r="A4281" s="2" t="n">
        <v>96425</v>
      </c>
      <c r="B4281" s="2" t="s">
        <v>602</v>
      </c>
      <c r="C4281" s="2" t="n">
        <v>2</v>
      </c>
      <c r="D4281" s="2" t="n">
        <v>2</v>
      </c>
      <c r="E4281" s="2" t="n">
        <v>1</v>
      </c>
      <c r="F4281" s="2" t="n">
        <v>65</v>
      </c>
      <c r="G4281" s="2" t="s">
        <v>1501</v>
      </c>
      <c r="H4281" s="2" t="str">
        <f aca="false">IFERROR(__xludf.dummyfunction("IF(I4326="""", """", REGEXEXTRACT(I4326, ""Padrao/([^/]+)""))"),"Centro")</f>
        <v>Centro</v>
      </c>
    </row>
    <row r="4282" customFormat="false" ht="15.75" hidden="false" customHeight="false" outlineLevel="0" collapsed="false">
      <c r="A4282" s="2" t="n">
        <v>79061</v>
      </c>
      <c r="B4282" s="2" t="s">
        <v>3452</v>
      </c>
      <c r="C4282" s="2" t="n">
        <v>1</v>
      </c>
      <c r="D4282" s="2" t="n">
        <v>1</v>
      </c>
      <c r="E4282" s="2" t="n">
        <v>1</v>
      </c>
      <c r="F4282" s="2" t="n">
        <v>60</v>
      </c>
      <c r="G4282" s="2" t="s">
        <v>1501</v>
      </c>
      <c r="H4282" s="2" t="str">
        <f aca="false">IFERROR(__xludf.dummyfunction("IF(I4327="""", """", REGEXEXTRACT(I4327, ""Padrao/([^/]+)""))"),"Santa Cruz do Jose Jacques")</f>
        <v>Santa Cruz do Jose Jacques</v>
      </c>
    </row>
    <row r="4283" customFormat="false" ht="15.75" hidden="false" customHeight="false" outlineLevel="0" collapsed="false">
      <c r="A4283" s="2" t="n">
        <v>62894</v>
      </c>
      <c r="B4283" s="2" t="s">
        <v>3367</v>
      </c>
      <c r="C4283" s="2" t="n">
        <v>3</v>
      </c>
      <c r="D4283" s="2" t="n">
        <v>3</v>
      </c>
      <c r="E4283" s="2" t="n">
        <v>1</v>
      </c>
      <c r="F4283" s="2" t="n">
        <v>123</v>
      </c>
      <c r="G4283" s="2" t="s">
        <v>1501</v>
      </c>
      <c r="H4283" s="2" t="str">
        <f aca="false">IFERROR(__xludf.dummyfunction("IF(I4328="""", """", REGEXEXTRACT(I4328, ""Padrao/([^/]+)""))"),"Centro")</f>
        <v>Centro</v>
      </c>
    </row>
    <row r="4284" customFormat="false" ht="15.75" hidden="false" customHeight="false" outlineLevel="0" collapsed="false">
      <c r="A4284" s="2" t="n">
        <v>6362</v>
      </c>
      <c r="B4284" s="2" t="s">
        <v>3453</v>
      </c>
      <c r="C4284" s="2" t="n">
        <v>3</v>
      </c>
      <c r="D4284" s="2" t="n">
        <v>2</v>
      </c>
      <c r="E4284" s="2" t="n">
        <v>1</v>
      </c>
      <c r="F4284" s="2" t="n">
        <v>97</v>
      </c>
      <c r="G4284" s="2" t="s">
        <v>1501</v>
      </c>
      <c r="H4284" s="2" t="str">
        <f aca="false">IFERROR(__xludf.dummyfunction("IF(I4329="""", """", REGEXEXTRACT(I4329, ""Padrao/([^/]+)""))"),"Centro")</f>
        <v>Centro</v>
      </c>
    </row>
    <row r="4285" customFormat="false" ht="15.75" hidden="false" customHeight="false" outlineLevel="0" collapsed="false">
      <c r="A4285" s="2" t="n">
        <v>79187</v>
      </c>
      <c r="B4285" s="2" t="s">
        <v>3454</v>
      </c>
      <c r="C4285" s="2" t="n">
        <v>2</v>
      </c>
      <c r="D4285" s="2" t="n">
        <v>2</v>
      </c>
      <c r="E4285" s="2" t="n">
        <v>1</v>
      </c>
      <c r="F4285" s="2" t="n">
        <v>93</v>
      </c>
      <c r="G4285" s="2" t="s">
        <v>3455</v>
      </c>
      <c r="H4285" s="2" t="str">
        <f aca="false">IFERROR(__xludf.dummyfunction("IF(I4330="""", """", REGEXEXTRACT(I4330, ""Padrao/([^/]+)""))"),"Vila Monte Alegre")</f>
        <v>Vila Monte Alegre</v>
      </c>
    </row>
    <row r="4286" customFormat="false" ht="15.75" hidden="false" customHeight="false" outlineLevel="0" collapsed="false">
      <c r="A4286" s="2" t="n">
        <v>170939</v>
      </c>
      <c r="B4286" s="2" t="s">
        <v>3068</v>
      </c>
      <c r="C4286" s="2" t="n">
        <v>2</v>
      </c>
      <c r="D4286" s="2" t="n">
        <v>1</v>
      </c>
      <c r="E4286" s="2" t="n">
        <v>1</v>
      </c>
      <c r="F4286" s="2" t="n">
        <v>73</v>
      </c>
      <c r="G4286" s="2" t="s">
        <v>3456</v>
      </c>
      <c r="H4286" s="2" t="str">
        <f aca="false">IFERROR(__xludf.dummyfunction("IF(I4331="""", """", REGEXEXTRACT(I4331, ""Padrao/([^/]+)""))"),"Vila Virginia")</f>
        <v>Vila Virginia</v>
      </c>
    </row>
    <row r="4287" customFormat="false" ht="15.75" hidden="false" customHeight="false" outlineLevel="0" collapsed="false">
      <c r="A4287" s="2" t="n">
        <v>141569</v>
      </c>
      <c r="B4287" s="2" t="s">
        <v>3457</v>
      </c>
      <c r="C4287" s="2" t="n">
        <v>3</v>
      </c>
      <c r="D4287" s="2" t="n">
        <v>2</v>
      </c>
      <c r="E4287" s="2" t="n">
        <v>2</v>
      </c>
      <c r="F4287" s="2" t="n">
        <v>84</v>
      </c>
      <c r="G4287" s="2" t="s">
        <v>1577</v>
      </c>
      <c r="H4287" s="2" t="str">
        <f aca="false">IFERROR(__xludf.dummyfunction("IF(I4332="""", """", REGEXEXTRACT(I4332, ""Padrao/([^/]+)""))"),"Jardim Sumare")</f>
        <v>Jardim Sumare</v>
      </c>
    </row>
    <row r="4288" customFormat="false" ht="15.75" hidden="false" customHeight="false" outlineLevel="0" collapsed="false">
      <c r="A4288" s="2" t="n">
        <v>146654</v>
      </c>
      <c r="B4288" s="2" t="s">
        <v>3458</v>
      </c>
      <c r="C4288" s="2" t="n">
        <v>2</v>
      </c>
      <c r="D4288" s="2" t="n">
        <v>1</v>
      </c>
      <c r="E4288" s="2" t="n">
        <v>1</v>
      </c>
      <c r="F4288" s="2" t="n">
        <v>95</v>
      </c>
      <c r="G4288" s="2" t="s">
        <v>3459</v>
      </c>
      <c r="H4288" s="2" t="str">
        <f aca="false">IFERROR(__xludf.dummyfunction("IF(I4333="""", """", REGEXEXTRACT(I4333, ""Padrao/([^/]+)""))"),"Centro")</f>
        <v>Centro</v>
      </c>
    </row>
    <row r="4289" customFormat="false" ht="15.75" hidden="false" customHeight="false" outlineLevel="0" collapsed="false">
      <c r="A4289" s="2" t="n">
        <v>121772</v>
      </c>
      <c r="B4289" s="2" t="s">
        <v>3140</v>
      </c>
      <c r="C4289" s="2" t="n">
        <v>3</v>
      </c>
      <c r="D4289" s="2" t="n">
        <v>2</v>
      </c>
      <c r="E4289" s="2" t="n">
        <v>1</v>
      </c>
      <c r="F4289" s="2" t="n">
        <v>85</v>
      </c>
      <c r="G4289" s="2" t="s">
        <v>3459</v>
      </c>
      <c r="H4289" s="2" t="str">
        <f aca="false">IFERROR(__xludf.dummyfunction("IF(I4334="""", """", REGEXEXTRACT(I4334, ""Padrao/([^/]+)""))"),"Jardim Iraja")</f>
        <v>Jardim Iraja</v>
      </c>
    </row>
    <row r="4290" customFormat="false" ht="15.75" hidden="false" customHeight="false" outlineLevel="0" collapsed="false">
      <c r="A4290" s="2" t="n">
        <v>91607</v>
      </c>
      <c r="B4290" s="2" t="s">
        <v>3460</v>
      </c>
      <c r="C4290" s="2" t="n">
        <v>1</v>
      </c>
      <c r="D4290" s="2" t="n">
        <v>1</v>
      </c>
      <c r="E4290" s="2" t="n">
        <v>1</v>
      </c>
      <c r="F4290" s="2" t="n">
        <v>46</v>
      </c>
      <c r="G4290" s="2" t="s">
        <v>3459</v>
      </c>
      <c r="H4290" s="2" t="str">
        <f aca="false">IFERROR(__xludf.dummyfunction("IF(I4335="""", """", REGEXEXTRACT(I4335, ""Padrao/([^/]+)""))"),"Vila Monte Alegre")</f>
        <v>Vila Monte Alegre</v>
      </c>
    </row>
    <row r="4291" customFormat="false" ht="15.75" hidden="false" customHeight="false" outlineLevel="0" collapsed="false">
      <c r="A4291" s="2" t="n">
        <v>232043</v>
      </c>
      <c r="B4291" s="2" t="s">
        <v>3461</v>
      </c>
      <c r="C4291" s="2" t="n">
        <v>3</v>
      </c>
      <c r="D4291" s="2" t="n">
        <v>3</v>
      </c>
      <c r="E4291" s="2" t="n">
        <v>1</v>
      </c>
      <c r="F4291" s="2" t="n">
        <v>101</v>
      </c>
      <c r="G4291" s="2" t="s">
        <v>639</v>
      </c>
      <c r="H4291" s="2" t="str">
        <f aca="false">IFERROR(__xludf.dummyfunction("IF(I4336="""", """", REGEXEXTRACT(I4336, ""Padrao/([^/]+)""))"),"Jardim Iraja")</f>
        <v>Jardim Iraja</v>
      </c>
    </row>
    <row r="4292" customFormat="false" ht="15.75" hidden="false" customHeight="false" outlineLevel="0" collapsed="false">
      <c r="A4292" s="2" t="n">
        <v>243095</v>
      </c>
      <c r="B4292" s="2" t="s">
        <v>3462</v>
      </c>
      <c r="C4292" s="2" t="n">
        <v>1</v>
      </c>
      <c r="D4292" s="2" t="n">
        <v>1</v>
      </c>
      <c r="E4292" s="2" t="n">
        <v>1</v>
      </c>
      <c r="F4292" s="2" t="n">
        <v>42</v>
      </c>
      <c r="G4292" s="2" t="s">
        <v>1593</v>
      </c>
      <c r="H4292" s="2" t="str">
        <f aca="false">IFERROR(__xludf.dummyfunction("IF(I4337="""", """", REGEXEXTRACT(I4337, ""Padrao/([^/]+)""))"),"Jardim Sumare")</f>
        <v>Jardim Sumare</v>
      </c>
    </row>
    <row r="4293" customFormat="false" ht="15.75" hidden="false" customHeight="false" outlineLevel="0" collapsed="false">
      <c r="A4293" s="2" t="n">
        <v>233963</v>
      </c>
      <c r="B4293" s="2" t="s">
        <v>3463</v>
      </c>
      <c r="C4293" s="2" t="n">
        <v>3</v>
      </c>
      <c r="D4293" s="2" t="n">
        <v>2</v>
      </c>
      <c r="E4293" s="2" t="n">
        <v>1</v>
      </c>
      <c r="F4293" s="2" t="n">
        <v>101</v>
      </c>
      <c r="G4293" s="2" t="s">
        <v>1593</v>
      </c>
      <c r="H4293" s="2" t="str">
        <f aca="false">IFERROR(__xludf.dummyfunction("IF(I4338="""", """", REGEXEXTRACT(I4338, ""Padrao/([^/]+)""))"),"Jardim Iraja")</f>
        <v>Jardim Iraja</v>
      </c>
    </row>
    <row r="4294" customFormat="false" ht="15.75" hidden="false" customHeight="false" outlineLevel="0" collapsed="false">
      <c r="A4294" s="2" t="n">
        <v>232595</v>
      </c>
      <c r="B4294" s="2" t="s">
        <v>3464</v>
      </c>
      <c r="C4294" s="2" t="n">
        <v>3</v>
      </c>
      <c r="D4294" s="2" t="n">
        <v>2</v>
      </c>
      <c r="E4294" s="2" t="n">
        <v>1</v>
      </c>
      <c r="F4294" s="2" t="n">
        <v>82</v>
      </c>
      <c r="G4294" s="2" t="s">
        <v>1593</v>
      </c>
      <c r="H4294" s="2" t="str">
        <f aca="false">IFERROR(__xludf.dummyfunction("IF(I4339="""", """", REGEXEXTRACT(I4339, ""Padrao/([^/]+)""))"),"Jardim Castelo Branco")</f>
        <v>Jardim Castelo Branco</v>
      </c>
    </row>
    <row r="4295" customFormat="false" ht="15.75" hidden="false" customHeight="false" outlineLevel="0" collapsed="false">
      <c r="A4295" s="2" t="n">
        <v>82835</v>
      </c>
      <c r="B4295" s="2" t="s">
        <v>3465</v>
      </c>
      <c r="C4295" s="2" t="n">
        <v>2</v>
      </c>
      <c r="D4295" s="2" t="n">
        <v>3</v>
      </c>
      <c r="E4295" s="2" t="n">
        <v>2</v>
      </c>
      <c r="F4295" s="2" t="n">
        <v>68</v>
      </c>
      <c r="G4295" s="2" t="s">
        <v>1593</v>
      </c>
      <c r="H4295" s="2" t="str">
        <f aca="false">IFERROR(__xludf.dummyfunction("IF(I4340="""", """", REGEXEXTRACT(I4340, ""Padrao/([^/]+)""))"),"Jardim Botanico")</f>
        <v>Jardim Botanico</v>
      </c>
    </row>
    <row r="4296" customFormat="false" ht="15.75" hidden="false" customHeight="false" outlineLevel="0" collapsed="false">
      <c r="A4296" s="2" t="n">
        <v>82832</v>
      </c>
      <c r="B4296" s="2" t="s">
        <v>3466</v>
      </c>
      <c r="C4296" s="2" t="n">
        <v>2</v>
      </c>
      <c r="D4296" s="2" t="n">
        <v>2</v>
      </c>
      <c r="E4296" s="2" t="n">
        <v>2</v>
      </c>
      <c r="F4296" s="2" t="n">
        <v>77</v>
      </c>
      <c r="G4296" s="2" t="s">
        <v>1593</v>
      </c>
      <c r="H4296" s="2" t="str">
        <f aca="false">IFERROR(__xludf.dummyfunction("IF(I4341="""", """", REGEXEXTRACT(I4341, ""Padrao/([^/]+)""))"),"Jardim Botanico")</f>
        <v>Jardim Botanico</v>
      </c>
    </row>
    <row r="4297" customFormat="false" ht="15.75" hidden="false" customHeight="false" outlineLevel="0" collapsed="false">
      <c r="A4297" s="2" t="n">
        <v>123107</v>
      </c>
      <c r="B4297" s="2" t="s">
        <v>2702</v>
      </c>
      <c r="C4297" s="2" t="n">
        <v>3</v>
      </c>
      <c r="D4297" s="2" t="n">
        <v>3</v>
      </c>
      <c r="E4297" s="2" t="n">
        <v>1</v>
      </c>
      <c r="F4297" s="2" t="n">
        <v>90</v>
      </c>
      <c r="G4297" s="2" t="s">
        <v>3467</v>
      </c>
      <c r="H4297" s="2" t="str">
        <f aca="false">IFERROR(__xludf.dummyfunction("IF(I4342="""", """", REGEXEXTRACT(I4342, ""Padrao/([^/]+)""))"),"Centro")</f>
        <v>Centro</v>
      </c>
    </row>
    <row r="4298" customFormat="false" ht="15.75" hidden="false" customHeight="false" outlineLevel="0" collapsed="false">
      <c r="A4298" s="2" t="n">
        <v>215855</v>
      </c>
      <c r="B4298" s="2" t="s">
        <v>3468</v>
      </c>
      <c r="C4298" s="2" t="n">
        <v>2</v>
      </c>
      <c r="D4298" s="2" t="n">
        <v>1</v>
      </c>
      <c r="E4298" s="2" t="n">
        <v>1</v>
      </c>
      <c r="F4298" s="2" t="n">
        <v>51</v>
      </c>
      <c r="G4298" s="2" t="s">
        <v>3469</v>
      </c>
      <c r="H4298" s="2" t="str">
        <f aca="false">IFERROR(__xludf.dummyfunction("IF(I4343="""", """", REGEXEXTRACT(I4343, ""Padrao/([^/]+)""))"),"Vila Tiberio")</f>
        <v>Vila Tiberio</v>
      </c>
    </row>
    <row r="4299" customFormat="false" ht="15.75" hidden="false" customHeight="false" outlineLevel="0" collapsed="false">
      <c r="A4299" s="2" t="n">
        <v>221300</v>
      </c>
      <c r="B4299" s="2" t="s">
        <v>2115</v>
      </c>
      <c r="C4299" s="2" t="n">
        <v>2</v>
      </c>
      <c r="D4299" s="2" t="n">
        <v>1</v>
      </c>
      <c r="E4299" s="2" t="n">
        <v>1</v>
      </c>
      <c r="F4299" s="2" t="n">
        <v>54</v>
      </c>
      <c r="G4299" s="2" t="s">
        <v>3470</v>
      </c>
      <c r="H4299" s="2" t="str">
        <f aca="false">IFERROR(__xludf.dummyfunction("IF(I4344="""", """", REGEXEXTRACT(I4344, ""Padrao/([^/]+)""))"),"Dom Bernardo Jose Mielle")</f>
        <v>Dom Bernardo Jose Mielle</v>
      </c>
    </row>
    <row r="4300" customFormat="false" ht="15.75" hidden="false" customHeight="false" outlineLevel="0" collapsed="false">
      <c r="A4300" s="2" t="n">
        <v>111974</v>
      </c>
      <c r="B4300" s="2" t="s">
        <v>162</v>
      </c>
      <c r="C4300" s="2" t="n">
        <v>3</v>
      </c>
      <c r="D4300" s="2" t="n">
        <v>2</v>
      </c>
      <c r="E4300" s="2" t="n">
        <v>1</v>
      </c>
      <c r="F4300" s="2" t="n">
        <v>148</v>
      </c>
      <c r="G4300" s="2" t="s">
        <v>3470</v>
      </c>
      <c r="H4300" s="2" t="str">
        <f aca="false">IFERROR(__xludf.dummyfunction("IF(I4345="""", """", REGEXEXTRACT(I4345, ""Padrao/([^/]+)""))"),"Centro")</f>
        <v>Centro</v>
      </c>
    </row>
    <row r="4301" customFormat="false" ht="15.75" hidden="false" customHeight="false" outlineLevel="0" collapsed="false">
      <c r="A4301" s="2" t="n">
        <v>89141</v>
      </c>
      <c r="B4301" s="2" t="s">
        <v>3471</v>
      </c>
      <c r="C4301" s="2" t="n">
        <v>3</v>
      </c>
      <c r="D4301" s="2" t="n">
        <v>2</v>
      </c>
      <c r="E4301" s="2" t="n">
        <v>1</v>
      </c>
      <c r="F4301" s="2" t="n">
        <v>100</v>
      </c>
      <c r="G4301" s="2" t="s">
        <v>3470</v>
      </c>
      <c r="H4301" s="2" t="str">
        <f aca="false">IFERROR(__xludf.dummyfunction("IF(I4346="""", """", REGEXEXTRACT(I4346, ""Padrao/([^/]+)""))"),"Santa Cruz do Jose Jacques")</f>
        <v>Santa Cruz do Jose Jacques</v>
      </c>
    </row>
    <row r="4302" customFormat="false" ht="15.75" hidden="false" customHeight="false" outlineLevel="0" collapsed="false">
      <c r="A4302" s="2" t="n">
        <v>232511</v>
      </c>
      <c r="B4302" s="2" t="s">
        <v>3472</v>
      </c>
      <c r="C4302" s="2" t="n">
        <v>2</v>
      </c>
      <c r="D4302" s="2" t="n">
        <v>2</v>
      </c>
      <c r="E4302" s="2" t="n">
        <v>2</v>
      </c>
      <c r="F4302" s="2" t="n">
        <v>81</v>
      </c>
      <c r="G4302" s="2" t="s">
        <v>3470</v>
      </c>
      <c r="H4302" s="2" t="str">
        <f aca="false">IFERROR(__xludf.dummyfunction("IF(I4347="""", """", REGEXEXTRACT(I4347, ""Padrao/([^/]+)""))"),"Jardim Paulista")</f>
        <v>Jardim Paulista</v>
      </c>
    </row>
    <row r="4303" customFormat="false" ht="15.75" hidden="false" customHeight="false" outlineLevel="0" collapsed="false">
      <c r="A4303" s="2" t="n">
        <v>235415</v>
      </c>
      <c r="B4303" s="2" t="s">
        <v>3473</v>
      </c>
      <c r="C4303" s="2" t="n">
        <v>3</v>
      </c>
      <c r="D4303" s="2" t="n">
        <v>4</v>
      </c>
      <c r="E4303" s="2" t="n">
        <v>2</v>
      </c>
      <c r="F4303" s="2" t="n">
        <v>124</v>
      </c>
      <c r="G4303" s="2" t="s">
        <v>1469</v>
      </c>
      <c r="H4303" s="2" t="str">
        <f aca="false">IFERROR(__xludf.dummyfunction("IF(I4348="""", """", REGEXEXTRACT(I4348, ""Padrao/([^/]+)""))"),"Centro")</f>
        <v>Centro</v>
      </c>
    </row>
    <row r="4304" customFormat="false" ht="15.75" hidden="false" customHeight="false" outlineLevel="0" collapsed="false">
      <c r="A4304" s="2" t="n">
        <v>245030</v>
      </c>
      <c r="B4304" s="2" t="s">
        <v>3474</v>
      </c>
      <c r="C4304" s="2" t="n">
        <v>3</v>
      </c>
      <c r="D4304" s="2" t="n">
        <v>2</v>
      </c>
      <c r="E4304" s="2" t="n">
        <v>2</v>
      </c>
      <c r="F4304" s="2" t="n">
        <v>78</v>
      </c>
      <c r="G4304" s="2" t="s">
        <v>1590</v>
      </c>
      <c r="H4304" s="2" t="str">
        <f aca="false">IFERROR(__xludf.dummyfunction("IF(I4349="""", """", REGEXEXTRACT(I4349, ""Padrao/([^/]+)""))"),"Quinta da Primavera")</f>
        <v>Quinta da Primavera</v>
      </c>
    </row>
    <row r="4305" customFormat="false" ht="15.75" hidden="false" customHeight="false" outlineLevel="0" collapsed="false">
      <c r="A4305" s="2" t="n">
        <v>83519</v>
      </c>
      <c r="B4305" s="2" t="s">
        <v>162</v>
      </c>
      <c r="C4305" s="2" t="n">
        <v>3</v>
      </c>
      <c r="D4305" s="2" t="n">
        <v>4</v>
      </c>
      <c r="E4305" s="2" t="n">
        <v>2</v>
      </c>
      <c r="F4305" s="2" t="n">
        <v>109</v>
      </c>
      <c r="G4305" s="2" t="s">
        <v>1519</v>
      </c>
      <c r="H4305" s="2" t="str">
        <f aca="false">IFERROR(__xludf.dummyfunction("IF(I4350="""", """", REGEXEXTRACT(I4350, ""Padrao/([^/]+)""))"),"Jardim Botanico")</f>
        <v>Jardim Botanico</v>
      </c>
    </row>
    <row r="4306" customFormat="false" ht="15.75" hidden="false" customHeight="false" outlineLevel="0" collapsed="false">
      <c r="A4306" s="2" t="n">
        <v>186332</v>
      </c>
      <c r="B4306" s="2" t="s">
        <v>3475</v>
      </c>
      <c r="C4306" s="2" t="n">
        <v>3</v>
      </c>
      <c r="D4306" s="2" t="n">
        <v>2</v>
      </c>
      <c r="E4306" s="2" t="n">
        <v>2</v>
      </c>
      <c r="F4306" s="2" t="n">
        <v>71</v>
      </c>
      <c r="G4306" s="2" t="s">
        <v>2711</v>
      </c>
      <c r="H4306" s="2" t="str">
        <f aca="false">IFERROR(__xludf.dummyfunction("IF(I4351="""", """", REGEXEXTRACT(I4351, ""Padrao/([^/]+)""))"),"Ribeirania")</f>
        <v>Ribeirania</v>
      </c>
    </row>
    <row r="4307" customFormat="false" ht="15.75" hidden="false" customHeight="false" outlineLevel="0" collapsed="false">
      <c r="A4307" s="2" t="n">
        <v>116972</v>
      </c>
      <c r="B4307" s="2" t="s">
        <v>3476</v>
      </c>
      <c r="C4307" s="2" t="n">
        <v>3</v>
      </c>
      <c r="D4307" s="2" t="n">
        <v>4</v>
      </c>
      <c r="E4307" s="2" t="n">
        <v>1</v>
      </c>
      <c r="F4307" s="2" t="n">
        <v>132</v>
      </c>
      <c r="G4307" s="2" t="s">
        <v>2675</v>
      </c>
      <c r="H4307" s="2" t="str">
        <f aca="false">IFERROR(__xludf.dummyfunction("IF(I4352="""", """", REGEXEXTRACT(I4352, ""Padrao/([^/]+)""))"),"Centro")</f>
        <v>Centro</v>
      </c>
    </row>
    <row r="4308" customFormat="false" ht="15.75" hidden="false" customHeight="false" outlineLevel="0" collapsed="false">
      <c r="A4308" s="2" t="n">
        <v>206102</v>
      </c>
      <c r="B4308" s="2" t="s">
        <v>3477</v>
      </c>
      <c r="C4308" s="2" t="n">
        <v>3</v>
      </c>
      <c r="D4308" s="2" t="n">
        <v>5</v>
      </c>
      <c r="E4308" s="2" t="n">
        <v>2</v>
      </c>
      <c r="F4308" s="2" t="n">
        <v>131</v>
      </c>
      <c r="G4308" s="2" t="s">
        <v>3478</v>
      </c>
      <c r="H4308" s="2" t="str">
        <f aca="false">IFERROR(__xludf.dummyfunction("IF(I4353="""", """", REGEXEXTRACT(I4353, ""Padrao/([^/]+)""))"),"Nova Alianca")</f>
        <v>Nova Alianca</v>
      </c>
    </row>
    <row r="4309" customFormat="false" ht="15.75" hidden="false" customHeight="false" outlineLevel="0" collapsed="false">
      <c r="A4309" s="2" t="n">
        <v>239129</v>
      </c>
      <c r="B4309" s="2" t="s">
        <v>3479</v>
      </c>
      <c r="C4309" s="2" t="n">
        <v>3</v>
      </c>
      <c r="D4309" s="2" t="n">
        <v>3</v>
      </c>
      <c r="E4309" s="2" t="n">
        <v>2</v>
      </c>
      <c r="F4309" s="2" t="n">
        <v>86</v>
      </c>
      <c r="G4309" s="2" t="s">
        <v>3480</v>
      </c>
      <c r="H4309" s="2" t="str">
        <f aca="false">IFERROR(__xludf.dummyfunction("IF(I4354="""", """", REGEXEXTRACT(I4354, ""Padrao/([^/]+)""))"),"Quinta da Primavera")</f>
        <v>Quinta da Primavera</v>
      </c>
    </row>
    <row r="4310" customFormat="false" ht="15.75" hidden="false" customHeight="false" outlineLevel="0" collapsed="false">
      <c r="A4310" s="2" t="n">
        <v>202664</v>
      </c>
      <c r="B4310" s="2" t="s">
        <v>3481</v>
      </c>
      <c r="C4310" s="2" t="n">
        <v>3</v>
      </c>
      <c r="D4310" s="2" t="n">
        <v>5</v>
      </c>
      <c r="E4310" s="2" t="n">
        <v>3</v>
      </c>
      <c r="F4310" s="2" t="n">
        <v>183</v>
      </c>
      <c r="G4310" s="2" t="s">
        <v>1485</v>
      </c>
      <c r="H4310" s="2" t="str">
        <f aca="false">IFERROR(__xludf.dummyfunction("IF(I4355="""", """", REGEXEXTRACT(I4355, ""Padrao/([^/]+)""))"),"Jardim Botanico")</f>
        <v>Jardim Botanico</v>
      </c>
    </row>
    <row r="4311" customFormat="false" ht="15.75" hidden="false" customHeight="false" outlineLevel="0" collapsed="false">
      <c r="A4311" s="2" t="n">
        <v>213569</v>
      </c>
      <c r="B4311" s="2" t="s">
        <v>3482</v>
      </c>
      <c r="C4311" s="2" t="n">
        <v>1</v>
      </c>
      <c r="D4311" s="2" t="n">
        <v>2</v>
      </c>
      <c r="E4311" s="2" t="n">
        <v>2</v>
      </c>
      <c r="F4311" s="2" t="n">
        <v>69</v>
      </c>
      <c r="G4311" s="2" t="s">
        <v>2728</v>
      </c>
      <c r="H4311" s="2" t="str">
        <f aca="false">IFERROR(__xludf.dummyfunction("IF(I4356="""", """", REGEXEXTRACT(I4356, ""Padrao/([^/]+)""))"),"Jardim Olhos DAgua")</f>
        <v>Jardim Olhos DAgua</v>
      </c>
    </row>
    <row r="4312" customFormat="false" ht="15.75" hidden="false" customHeight="false" outlineLevel="0" collapsed="false">
      <c r="A4312" s="2" t="n">
        <v>240242</v>
      </c>
      <c r="B4312" s="2" t="s">
        <v>3483</v>
      </c>
      <c r="C4312" s="2" t="n">
        <v>2</v>
      </c>
      <c r="D4312" s="2" t="n">
        <v>3</v>
      </c>
      <c r="E4312" s="2" t="n">
        <v>2</v>
      </c>
      <c r="F4312" s="2" t="n">
        <v>85</v>
      </c>
      <c r="G4312" s="2" t="s">
        <v>2699</v>
      </c>
      <c r="H4312" s="2" t="str">
        <f aca="false">IFERROR(__xludf.dummyfunction("IF(I4357="""", """", REGEXEXTRACT(I4357, ""Padrao/([^/]+)""))"),"Nova Alianca")</f>
        <v>Nova Alianca</v>
      </c>
    </row>
    <row r="4313" customFormat="false" ht="15.75" hidden="false" customHeight="false" outlineLevel="0" collapsed="false">
      <c r="A4313" s="2" t="n">
        <v>240239</v>
      </c>
      <c r="B4313" s="2" t="s">
        <v>3484</v>
      </c>
      <c r="C4313" s="2" t="n">
        <v>2</v>
      </c>
      <c r="D4313" s="2" t="n">
        <v>3</v>
      </c>
      <c r="E4313" s="2" t="n">
        <v>2</v>
      </c>
      <c r="F4313" s="2" t="n">
        <v>85</v>
      </c>
      <c r="G4313" s="2" t="s">
        <v>3485</v>
      </c>
      <c r="H4313" s="2" t="str">
        <f aca="false">IFERROR(__xludf.dummyfunction("IF(I4358="""", """", REGEXEXTRACT(I4358, ""Padrao/([^/]+)""))"),"Nova Alianca")</f>
        <v>Nova Alianca</v>
      </c>
    </row>
    <row r="4314" customFormat="false" ht="15.75" hidden="false" customHeight="false" outlineLevel="0" collapsed="false">
      <c r="A4314" s="2" t="n">
        <v>148922</v>
      </c>
      <c r="B4314" s="2" t="s">
        <v>3486</v>
      </c>
      <c r="C4314" s="2" t="n">
        <v>3</v>
      </c>
      <c r="D4314" s="2" t="n">
        <v>2</v>
      </c>
      <c r="E4314" s="2" t="n">
        <v>2</v>
      </c>
      <c r="F4314" s="2" t="n">
        <v>107</v>
      </c>
      <c r="G4314" s="2" t="s">
        <v>3487</v>
      </c>
      <c r="H4314" s="2" t="str">
        <f aca="false">IFERROR(__xludf.dummyfunction("IF(I4359="""", """", REGEXEXTRACT(I4359, ""Padrao/([^/]+)""))"),"Jardim Paulista")</f>
        <v>Jardim Paulista</v>
      </c>
    </row>
    <row r="4315" customFormat="false" ht="15.75" hidden="false" customHeight="false" outlineLevel="0" collapsed="false">
      <c r="A4315" s="2" t="n">
        <v>216596</v>
      </c>
      <c r="B4315" s="2" t="s">
        <v>3488</v>
      </c>
      <c r="C4315" s="2" t="n">
        <v>2</v>
      </c>
      <c r="D4315" s="2" t="n">
        <v>3</v>
      </c>
      <c r="E4315" s="2" t="n">
        <v>1</v>
      </c>
      <c r="F4315" s="2" t="n">
        <v>60</v>
      </c>
      <c r="G4315" s="2" t="s">
        <v>1469</v>
      </c>
      <c r="H4315" s="2" t="str">
        <f aca="false">IFERROR(__xludf.dummyfunction("IF(I4360="""", """", REGEXEXTRACT(I4360, ""Padrao/([^/]+)""))"),"Residencial Taiwan")</f>
        <v>Residencial Taiwan</v>
      </c>
    </row>
    <row r="4316" customFormat="false" ht="15.75" hidden="false" customHeight="false" outlineLevel="0" collapsed="false">
      <c r="A4316" s="2" t="n">
        <v>218576</v>
      </c>
      <c r="B4316" s="2" t="s">
        <v>3489</v>
      </c>
      <c r="C4316" s="2" t="n">
        <v>3</v>
      </c>
      <c r="D4316" s="2" t="n">
        <v>5</v>
      </c>
      <c r="E4316" s="2" t="n">
        <v>3</v>
      </c>
      <c r="F4316" s="2" t="n">
        <v>166</v>
      </c>
      <c r="G4316" s="2" t="s">
        <v>659</v>
      </c>
      <c r="H4316" s="2" t="str">
        <f aca="false">IFERROR(__xludf.dummyfunction("IF(I4361="""", """", REGEXEXTRACT(I4361, ""Padrao/([^/]+)""))"),"Jardim Iraja")</f>
        <v>Jardim Iraja</v>
      </c>
    </row>
    <row r="4317" customFormat="false" ht="15.75" hidden="false" customHeight="false" outlineLevel="0" collapsed="false">
      <c r="A4317" s="2" t="n">
        <v>112688</v>
      </c>
      <c r="B4317" s="2" t="s">
        <v>154</v>
      </c>
      <c r="C4317" s="2" t="n">
        <v>4</v>
      </c>
      <c r="D4317" s="2" t="n">
        <v>4</v>
      </c>
      <c r="E4317" s="2" t="n">
        <v>2</v>
      </c>
      <c r="F4317" s="2" t="n">
        <v>139</v>
      </c>
      <c r="G4317" s="2" t="s">
        <v>662</v>
      </c>
      <c r="H4317" s="2" t="str">
        <f aca="false">IFERROR(__xludf.dummyfunction("IF(I4362="""", """", REGEXEXTRACT(I4362, ""Padrao/([^/]+)""))"),"Jardim Canada")</f>
        <v>Jardim Canada</v>
      </c>
    </row>
    <row r="4318" customFormat="false" ht="15.75" hidden="false" customHeight="false" outlineLevel="0" collapsed="false">
      <c r="A4318" s="2" t="n">
        <v>225158</v>
      </c>
      <c r="B4318" s="2" t="s">
        <v>3490</v>
      </c>
      <c r="C4318" s="2" t="n">
        <v>1</v>
      </c>
      <c r="D4318" s="2" t="n">
        <v>1</v>
      </c>
      <c r="E4318" s="2" t="n">
        <v>1</v>
      </c>
      <c r="F4318" s="2" t="n">
        <v>32</v>
      </c>
      <c r="G4318" s="2" t="s">
        <v>464</v>
      </c>
      <c r="H4318" s="2" t="str">
        <f aca="false">IFERROR(__xludf.dummyfunction("IF(I4363="""", """", REGEXEXTRACT(I4363, ""Padrao/([^/]+)""))"),"Vila Seixas")</f>
        <v>Vila Seixas</v>
      </c>
    </row>
    <row r="4319" customFormat="false" ht="15.75" hidden="false" customHeight="false" outlineLevel="0" collapsed="false">
      <c r="A4319" s="2" t="n">
        <v>244589</v>
      </c>
      <c r="B4319" s="2" t="s">
        <v>3491</v>
      </c>
      <c r="C4319" s="2" t="n">
        <v>2</v>
      </c>
      <c r="D4319" s="2" t="n">
        <v>2</v>
      </c>
      <c r="E4319" s="2" t="n">
        <v>1</v>
      </c>
      <c r="F4319" s="2" t="n">
        <v>73</v>
      </c>
      <c r="G4319" s="2" t="s">
        <v>3492</v>
      </c>
      <c r="H4319" s="2" t="str">
        <f aca="false">IFERROR(__xludf.dummyfunction("IF(I4364="""", """", REGEXEXTRACT(I4364, ""Padrao/([^/]+)""))"),"Bosque das Juritis")</f>
        <v>Bosque das Juritis</v>
      </c>
    </row>
    <row r="4320" customFormat="false" ht="15.75" hidden="false" customHeight="false" outlineLevel="0" collapsed="false">
      <c r="A4320" s="2" t="n">
        <v>242888</v>
      </c>
      <c r="B4320" s="2" t="s">
        <v>3493</v>
      </c>
      <c r="C4320" s="2" t="n">
        <v>2</v>
      </c>
      <c r="D4320" s="2" t="n">
        <v>3</v>
      </c>
      <c r="E4320" s="2" t="n">
        <v>2</v>
      </c>
      <c r="F4320" s="2" t="n">
        <v>85</v>
      </c>
      <c r="G4320" s="2" t="s">
        <v>3494</v>
      </c>
      <c r="H4320" s="2" t="str">
        <f aca="false">IFERROR(__xludf.dummyfunction("IF(I4365="""", """", REGEXEXTRACT(I4365, ""Padrao/([^/]+)""))"),"Nova Alianca")</f>
        <v>Nova Alianca</v>
      </c>
    </row>
    <row r="4321" customFormat="false" ht="15.75" hidden="false" customHeight="false" outlineLevel="0" collapsed="false">
      <c r="A4321" s="2" t="n">
        <v>242885</v>
      </c>
      <c r="B4321" s="2" t="s">
        <v>3493</v>
      </c>
      <c r="C4321" s="2" t="n">
        <v>2</v>
      </c>
      <c r="D4321" s="2" t="n">
        <v>3</v>
      </c>
      <c r="E4321" s="2" t="n">
        <v>2</v>
      </c>
      <c r="F4321" s="2" t="n">
        <v>85</v>
      </c>
      <c r="G4321" s="2" t="s">
        <v>3495</v>
      </c>
      <c r="H4321" s="2" t="str">
        <f aca="false">IFERROR(__xludf.dummyfunction("IF(I4366="""", """", REGEXEXTRACT(I4366, ""Padrao/([^/]+)""))"),"Nova Alianca")</f>
        <v>Nova Alianca</v>
      </c>
    </row>
    <row r="4322" customFormat="false" ht="15.75" hidden="false" customHeight="false" outlineLevel="0" collapsed="false">
      <c r="A4322" s="2" t="n">
        <v>242759</v>
      </c>
      <c r="B4322" s="2" t="s">
        <v>3496</v>
      </c>
      <c r="C4322" s="2" t="n">
        <v>4</v>
      </c>
      <c r="D4322" s="2" t="n">
        <v>4</v>
      </c>
      <c r="E4322" s="2" t="n">
        <v>2</v>
      </c>
      <c r="F4322" s="2" t="n">
        <v>137</v>
      </c>
      <c r="G4322" s="2" t="s">
        <v>3497</v>
      </c>
      <c r="H4322" s="2" t="str">
        <f aca="false">IFERROR(__xludf.dummyfunction("IF(I4367="""", """", REGEXEXTRACT(I4367, ""Padrao/([^/]+)""))"),"Jardim Iraja")</f>
        <v>Jardim Iraja</v>
      </c>
    </row>
    <row r="4323" customFormat="false" ht="15.75" hidden="false" customHeight="false" outlineLevel="0" collapsed="false">
      <c r="A4323" s="2" t="n">
        <v>133454</v>
      </c>
      <c r="B4323" s="2" t="s">
        <v>3498</v>
      </c>
      <c r="C4323" s="2" t="n">
        <v>3</v>
      </c>
      <c r="D4323" s="2" t="n">
        <v>4</v>
      </c>
      <c r="E4323" s="2" t="n">
        <v>3</v>
      </c>
      <c r="F4323" s="2" t="n">
        <v>200</v>
      </c>
      <c r="G4323" s="2" t="s">
        <v>3478</v>
      </c>
      <c r="H4323" s="2" t="str">
        <f aca="false">IFERROR(__xludf.dummyfunction("IF(I4368="""", """", REGEXEXTRACT(I4368, ""Padrao/([^/]+)""))"),"Vila Seixas")</f>
        <v>Vila Seixas</v>
      </c>
    </row>
    <row r="4324" customFormat="false" ht="15.75" hidden="false" customHeight="false" outlineLevel="0" collapsed="false">
      <c r="A4324" s="2" t="n">
        <v>244274</v>
      </c>
      <c r="B4324" s="2" t="s">
        <v>3499</v>
      </c>
      <c r="C4324" s="2" t="n">
        <v>2</v>
      </c>
      <c r="D4324" s="2" t="n">
        <v>3</v>
      </c>
      <c r="E4324" s="2" t="n">
        <v>2</v>
      </c>
      <c r="F4324" s="2" t="n">
        <v>85</v>
      </c>
      <c r="G4324" s="2" t="s">
        <v>3500</v>
      </c>
      <c r="H4324" s="2" t="str">
        <f aca="false">IFERROR(__xludf.dummyfunction("IF(I4369="""", """", REGEXEXTRACT(I4369, ""Padrao/([^/]+)""))"),"Nova Alianca")</f>
        <v>Nova Alianca</v>
      </c>
    </row>
    <row r="4325" customFormat="false" ht="15.75" hidden="false" customHeight="false" outlineLevel="0" collapsed="false">
      <c r="A4325" s="2" t="n">
        <v>244271</v>
      </c>
      <c r="B4325" s="2" t="s">
        <v>3501</v>
      </c>
      <c r="C4325" s="2" t="n">
        <v>2</v>
      </c>
      <c r="D4325" s="2" t="n">
        <v>3</v>
      </c>
      <c r="E4325" s="2" t="n">
        <v>2</v>
      </c>
      <c r="F4325" s="2" t="n">
        <v>85</v>
      </c>
      <c r="G4325" s="2" t="s">
        <v>3502</v>
      </c>
      <c r="H4325" s="2" t="str">
        <f aca="false">IFERROR(__xludf.dummyfunction("IF(I4370="""", """", REGEXEXTRACT(I4370, ""Padrao/([^/]+)""))"),"Nova Alianca")</f>
        <v>Nova Alianca</v>
      </c>
    </row>
    <row r="4326" customFormat="false" ht="15.75" hidden="false" customHeight="false" outlineLevel="0" collapsed="false">
      <c r="A4326" s="2" t="n">
        <v>207926</v>
      </c>
      <c r="B4326" s="2" t="s">
        <v>3503</v>
      </c>
      <c r="C4326" s="2" t="n">
        <v>2</v>
      </c>
      <c r="D4326" s="2" t="n">
        <v>2</v>
      </c>
      <c r="E4326" s="2" t="n">
        <v>1</v>
      </c>
      <c r="F4326" s="2" t="n">
        <v>64</v>
      </c>
      <c r="G4326" s="2" t="s">
        <v>3504</v>
      </c>
      <c r="H4326" s="2" t="str">
        <f aca="false">IFERROR(__xludf.dummyfunction("IF(I4371="""", """", REGEXEXTRACT(I4371, ""Padrao/([^/]+)""))"),"Alamedas do Botanico")</f>
        <v>Alamedas do Botanico</v>
      </c>
    </row>
    <row r="4327" customFormat="false" ht="15.75" hidden="false" customHeight="false" outlineLevel="0" collapsed="false">
      <c r="A4327" s="2" t="n">
        <v>212027</v>
      </c>
      <c r="B4327" s="2" t="s">
        <v>3505</v>
      </c>
      <c r="C4327" s="2" t="n">
        <v>2</v>
      </c>
      <c r="D4327" s="2" t="n">
        <v>2</v>
      </c>
      <c r="E4327" s="2" t="n">
        <v>2</v>
      </c>
      <c r="F4327" s="2" t="n">
        <v>59</v>
      </c>
      <c r="G4327" s="2" t="s">
        <v>2675</v>
      </c>
      <c r="H4327" s="2" t="str">
        <f aca="false">IFERROR(__xludf.dummyfunction("IF(I4372="""", """", REGEXEXTRACT(I4372, ""Padrao/([^/]+)""))"),"Jardim Sumare")</f>
        <v>Jardim Sumare</v>
      </c>
    </row>
    <row r="4328" customFormat="false" ht="15.75" hidden="false" customHeight="false" outlineLevel="0" collapsed="false">
      <c r="A4328" s="2" t="n">
        <v>203750</v>
      </c>
      <c r="B4328" s="2" t="s">
        <v>3506</v>
      </c>
      <c r="C4328" s="2" t="n">
        <v>3</v>
      </c>
      <c r="D4328" s="2" t="n">
        <v>4</v>
      </c>
      <c r="E4328" s="2" t="n">
        <v>2</v>
      </c>
      <c r="F4328" s="2" t="n">
        <v>123</v>
      </c>
      <c r="G4328" s="2" t="s">
        <v>3497</v>
      </c>
      <c r="H4328" s="2" t="str">
        <f aca="false">IFERROR(__xludf.dummyfunction("IF(I4373="""", """", REGEXEXTRACT(I4373, ""Padrao/([^/]+)""))"),"Santa Cruz do Jose Jacques")</f>
        <v>Santa Cruz do Jose Jacques</v>
      </c>
    </row>
    <row r="4329" customFormat="false" ht="15.75" hidden="false" customHeight="false" outlineLevel="0" collapsed="false">
      <c r="A4329" s="2" t="n">
        <v>128861</v>
      </c>
      <c r="B4329" s="2" t="s">
        <v>3507</v>
      </c>
      <c r="C4329" s="2" t="n">
        <v>2</v>
      </c>
      <c r="D4329" s="2" t="n">
        <v>2</v>
      </c>
      <c r="E4329" s="2" t="n">
        <v>1</v>
      </c>
      <c r="F4329" s="2" t="n">
        <v>64</v>
      </c>
      <c r="G4329" s="2" t="s">
        <v>575</v>
      </c>
      <c r="H4329" s="2" t="str">
        <f aca="false">IFERROR(__xludf.dummyfunction("IF(I4374="""", """", REGEXEXTRACT(I4374, ""Padrao/([^/]+)""))"),"Jardim Paulista")</f>
        <v>Jardim Paulista</v>
      </c>
    </row>
    <row r="4330" customFormat="false" ht="15.75" hidden="false" customHeight="false" outlineLevel="0" collapsed="false">
      <c r="A4330" s="2" t="n">
        <v>196343</v>
      </c>
      <c r="B4330" s="2" t="s">
        <v>602</v>
      </c>
      <c r="C4330" s="2" t="n">
        <v>3</v>
      </c>
      <c r="D4330" s="2" t="n">
        <v>2</v>
      </c>
      <c r="E4330" s="2" t="n">
        <v>1</v>
      </c>
      <c r="F4330" s="2" t="n">
        <v>140</v>
      </c>
      <c r="G4330" s="2" t="s">
        <v>618</v>
      </c>
      <c r="H4330" s="2" t="str">
        <f aca="false">IFERROR(__xludf.dummyfunction("IF(I4375="""", """", REGEXEXTRACT(I4375, ""Padrao/([^/]+)""))"),"Centro")</f>
        <v>Centro</v>
      </c>
    </row>
    <row r="4331" customFormat="false" ht="15.75" hidden="false" customHeight="false" outlineLevel="0" collapsed="false">
      <c r="A4331" s="2" t="n">
        <v>87896</v>
      </c>
      <c r="B4331" s="2" t="s">
        <v>3508</v>
      </c>
      <c r="C4331" s="2" t="n">
        <v>3</v>
      </c>
      <c r="D4331" s="2" t="n">
        <v>2</v>
      </c>
      <c r="E4331" s="2" t="n">
        <v>1</v>
      </c>
      <c r="F4331" s="2" t="n">
        <v>99</v>
      </c>
      <c r="G4331" s="2" t="s">
        <v>626</v>
      </c>
      <c r="H4331" s="2" t="str">
        <f aca="false">IFERROR(__xludf.dummyfunction("IF(I4377="""", """", REGEXEXTRACT(I4377, ""Padrao/([^/]+)""))"),"Vila Tiberio")</f>
        <v>Vila Tiberio</v>
      </c>
    </row>
    <row r="4332" customFormat="false" ht="15.75" hidden="false" customHeight="false" outlineLevel="0" collapsed="false">
      <c r="A4332" s="2" t="n">
        <v>67718</v>
      </c>
      <c r="B4332" s="2" t="s">
        <v>2998</v>
      </c>
      <c r="C4332" s="2" t="n">
        <v>3</v>
      </c>
      <c r="D4332" s="2" t="n">
        <v>2</v>
      </c>
      <c r="E4332" s="2" t="n">
        <v>1</v>
      </c>
      <c r="F4332" s="2" t="n">
        <v>96</v>
      </c>
      <c r="G4332" s="2" t="s">
        <v>626</v>
      </c>
      <c r="H4332" s="2" t="str">
        <f aca="false">IFERROR(__xludf.dummyfunction("IF(I4378="""", """", REGEXEXTRACT(I4378, ""Padrao/([^/]+)""))"),"Jardim Iraja")</f>
        <v>Jardim Iraja</v>
      </c>
    </row>
    <row r="4333" customFormat="false" ht="15.75" hidden="false" customHeight="false" outlineLevel="0" collapsed="false">
      <c r="A4333" s="2" t="n">
        <v>183341</v>
      </c>
      <c r="B4333" s="2" t="s">
        <v>3509</v>
      </c>
      <c r="C4333" s="2" t="n">
        <v>3</v>
      </c>
      <c r="D4333" s="2" t="n">
        <v>2</v>
      </c>
      <c r="E4333" s="2" t="n">
        <v>1</v>
      </c>
      <c r="F4333" s="2" t="n">
        <v>117</v>
      </c>
      <c r="G4333" s="2" t="s">
        <v>631</v>
      </c>
      <c r="H4333" s="2" t="str">
        <f aca="false">IFERROR(__xludf.dummyfunction("IF(I4379="""", """", REGEXEXTRACT(I4379, ""Padrao/([^/]+)""))"),"Jardim Paulistano")</f>
        <v>Jardim Paulistano</v>
      </c>
    </row>
    <row r="4334" customFormat="false" ht="15.75" hidden="false" customHeight="false" outlineLevel="0" collapsed="false">
      <c r="A4334" s="2" t="n">
        <v>230546</v>
      </c>
      <c r="B4334" s="2" t="s">
        <v>3510</v>
      </c>
      <c r="C4334" s="2" t="n">
        <v>2</v>
      </c>
      <c r="D4334" s="2" t="n">
        <v>1</v>
      </c>
      <c r="E4334" s="2" t="n">
        <v>1</v>
      </c>
      <c r="F4334" s="2" t="n">
        <v>69</v>
      </c>
      <c r="G4334" s="2" t="s">
        <v>3511</v>
      </c>
      <c r="H4334" s="2" t="str">
        <f aca="false">IFERROR(__xludf.dummyfunction("IF(I4380="""", """", REGEXEXTRACT(I4380, ""Padrao/([^/]+)""))"),"Jardim Paulista")</f>
        <v>Jardim Paulista</v>
      </c>
    </row>
    <row r="4335" customFormat="false" ht="15.75" hidden="false" customHeight="false" outlineLevel="0" collapsed="false">
      <c r="A4335" s="2" t="n">
        <v>162947</v>
      </c>
      <c r="B4335" s="2" t="s">
        <v>1429</v>
      </c>
      <c r="C4335" s="2" t="n">
        <v>3</v>
      </c>
      <c r="D4335" s="2" t="n">
        <v>2</v>
      </c>
      <c r="E4335" s="2" t="n">
        <v>1</v>
      </c>
      <c r="F4335" s="2" t="n">
        <v>68</v>
      </c>
      <c r="G4335" s="2" t="s">
        <v>1466</v>
      </c>
      <c r="H4335" s="2" t="str">
        <f aca="false">IFERROR(__xludf.dummyfunction("IF(I4381="""", """", REGEXEXTRACT(I4381, ""Padrao/([^/]+)""))"),"Jardim Iraja")</f>
        <v>Jardim Iraja</v>
      </c>
    </row>
    <row r="4336" customFormat="false" ht="15.75" hidden="false" customHeight="false" outlineLevel="0" collapsed="false">
      <c r="A4336" s="2" t="n">
        <v>163052</v>
      </c>
      <c r="B4336" s="2" t="s">
        <v>3512</v>
      </c>
      <c r="C4336" s="2" t="n">
        <v>3</v>
      </c>
      <c r="D4336" s="2" t="n">
        <v>2</v>
      </c>
      <c r="E4336" s="2" t="n">
        <v>1</v>
      </c>
      <c r="F4336" s="2" t="n">
        <v>104</v>
      </c>
      <c r="G4336" s="2" t="s">
        <v>636</v>
      </c>
      <c r="H4336" s="2" t="str">
        <f aca="false">IFERROR(__xludf.dummyfunction("IF(I4382="""", """", REGEXEXTRACT(I4382, ""Padrao/([^/]+)""))"),"Jardim Iraja")</f>
        <v>Jardim Iraja</v>
      </c>
    </row>
    <row r="4337" customFormat="false" ht="15.75" hidden="false" customHeight="false" outlineLevel="0" collapsed="false">
      <c r="A4337" s="2" t="n">
        <v>90542</v>
      </c>
      <c r="B4337" s="2" t="s">
        <v>3319</v>
      </c>
      <c r="C4337" s="2" t="n">
        <v>3</v>
      </c>
      <c r="D4337" s="2" t="n">
        <v>3</v>
      </c>
      <c r="E4337" s="2" t="n">
        <v>1</v>
      </c>
      <c r="F4337" s="2" t="n">
        <v>90</v>
      </c>
      <c r="G4337" s="2" t="s">
        <v>3337</v>
      </c>
      <c r="H4337" s="2" t="str">
        <f aca="false">IFERROR(__xludf.dummyfunction("IF(I4383="""", """", REGEXEXTRACT(I4383, ""Padrao/([^/]+)""))"),"Centro")</f>
        <v>Centro</v>
      </c>
    </row>
    <row r="4338" customFormat="false" ht="15.75" hidden="false" customHeight="false" outlineLevel="0" collapsed="false">
      <c r="A4338" s="2" t="n">
        <v>204359</v>
      </c>
      <c r="B4338" s="2" t="s">
        <v>3513</v>
      </c>
      <c r="C4338" s="2" t="n">
        <v>2</v>
      </c>
      <c r="D4338" s="2" t="n">
        <v>2</v>
      </c>
      <c r="E4338" s="2" t="n">
        <v>1</v>
      </c>
      <c r="F4338" s="2" t="n">
        <v>75</v>
      </c>
      <c r="G4338" s="2" t="s">
        <v>1577</v>
      </c>
      <c r="H4338" s="2" t="str">
        <f aca="false">IFERROR(__xludf.dummyfunction("IF(I4384="""", """", REGEXEXTRACT(I4384, ""Padrao/([^/]+)""))"),"Jardim Botanico")</f>
        <v>Jardim Botanico</v>
      </c>
    </row>
    <row r="4339" customFormat="false" ht="15.75" hidden="false" customHeight="false" outlineLevel="0" collapsed="false">
      <c r="A4339" s="2" t="n">
        <v>185618</v>
      </c>
      <c r="B4339" s="2" t="s">
        <v>3514</v>
      </c>
      <c r="C4339" s="2" t="n">
        <v>3</v>
      </c>
      <c r="D4339" s="2" t="n">
        <v>3</v>
      </c>
      <c r="E4339" s="2" t="n">
        <v>1</v>
      </c>
      <c r="F4339" s="2" t="n">
        <v>146</v>
      </c>
      <c r="G4339" s="2" t="s">
        <v>1527</v>
      </c>
      <c r="H4339" s="2" t="str">
        <f aca="false">IFERROR(__xludf.dummyfunction("IF(I4385="""", """", REGEXEXTRACT(I4385, ""Padrao/([^/]+)""))"),"Centro")</f>
        <v>Centro</v>
      </c>
    </row>
    <row r="4340" customFormat="false" ht="15.75" hidden="false" customHeight="false" outlineLevel="0" collapsed="false">
      <c r="A4340" s="2" t="n">
        <v>202202</v>
      </c>
      <c r="B4340" s="2" t="s">
        <v>3436</v>
      </c>
      <c r="C4340" s="2" t="n">
        <v>2</v>
      </c>
      <c r="D4340" s="2" t="n">
        <v>2</v>
      </c>
      <c r="E4340" s="2" t="n">
        <v>2</v>
      </c>
      <c r="F4340" s="2" t="n">
        <v>80</v>
      </c>
      <c r="G4340" s="2" t="s">
        <v>1501</v>
      </c>
      <c r="H4340" s="2" t="str">
        <f aca="false">IFERROR(__xludf.dummyfunction("IF(I4386="""", """", REGEXEXTRACT(I4386, ""Padrao/([^/]+)""))"),"Vila Tiberio")</f>
        <v>Vila Tiberio</v>
      </c>
    </row>
    <row r="4341" customFormat="false" ht="15.75" hidden="false" customHeight="false" outlineLevel="0" collapsed="false">
      <c r="A4341" s="2" t="n">
        <v>245081</v>
      </c>
      <c r="B4341" s="2" t="s">
        <v>3515</v>
      </c>
      <c r="C4341" s="2" t="n">
        <v>2</v>
      </c>
      <c r="D4341" s="2" t="n">
        <v>2</v>
      </c>
      <c r="E4341" s="2" t="n">
        <v>1</v>
      </c>
      <c r="F4341" s="2" t="n">
        <v>56</v>
      </c>
      <c r="G4341" s="2" t="s">
        <v>1468</v>
      </c>
      <c r="H4341" s="2" t="str">
        <f aca="false">IFERROR(__xludf.dummyfunction("IF(I4387="""", """", REGEXEXTRACT(I4387, ""Padrao/([^/]+)""))"),"Nova Alianca")</f>
        <v>Nova Alianca</v>
      </c>
    </row>
    <row r="4342" customFormat="false" ht="15.75" hidden="false" customHeight="false" outlineLevel="0" collapsed="false">
      <c r="A4342" s="2" t="n">
        <v>239807</v>
      </c>
      <c r="B4342" s="2" t="s">
        <v>3195</v>
      </c>
      <c r="C4342" s="2" t="n">
        <v>3</v>
      </c>
      <c r="D4342" s="2" t="n">
        <v>3</v>
      </c>
      <c r="E4342" s="2" t="n">
        <v>1</v>
      </c>
      <c r="F4342" s="2" t="n">
        <v>100</v>
      </c>
      <c r="G4342" s="2" t="s">
        <v>1468</v>
      </c>
      <c r="H4342" s="2" t="str">
        <f aca="false">IFERROR(__xludf.dummyfunction("IF(I4388="""", """", REGEXEXTRACT(I4388, ""Padrao/([^/]+)""))"),"Centro")</f>
        <v>Centro</v>
      </c>
    </row>
    <row r="4343" customFormat="false" ht="15.75" hidden="false" customHeight="false" outlineLevel="0" collapsed="false">
      <c r="A4343" s="2" t="n">
        <v>239690</v>
      </c>
      <c r="B4343" s="2" t="s">
        <v>3516</v>
      </c>
      <c r="C4343" s="2" t="n">
        <v>2</v>
      </c>
      <c r="D4343" s="2" t="n">
        <v>2</v>
      </c>
      <c r="E4343" s="2" t="n">
        <v>2</v>
      </c>
      <c r="F4343" s="2" t="n">
        <v>63</v>
      </c>
      <c r="G4343" s="2" t="s">
        <v>1468</v>
      </c>
      <c r="H4343" s="2" t="str">
        <f aca="false">IFERROR(__xludf.dummyfunction("IF(I4389="""", """", REGEXEXTRACT(I4389, ""Padrao/([^/]+)""))"),"Jardim Guapore")</f>
        <v>Jardim Guapore</v>
      </c>
    </row>
    <row r="4344" customFormat="false" ht="15.75" hidden="false" customHeight="false" outlineLevel="0" collapsed="false">
      <c r="A4344" s="2" t="n">
        <v>239663</v>
      </c>
      <c r="B4344" s="2" t="s">
        <v>3517</v>
      </c>
      <c r="C4344" s="2" t="n">
        <v>2</v>
      </c>
      <c r="D4344" s="2" t="n">
        <v>2</v>
      </c>
      <c r="E4344" s="2" t="n">
        <v>1</v>
      </c>
      <c r="F4344" s="2" t="n">
        <v>76</v>
      </c>
      <c r="G4344" s="2" t="s">
        <v>1468</v>
      </c>
      <c r="H4344" s="2" t="str">
        <f aca="false">IFERROR(__xludf.dummyfunction("IF(I4390="""", """", REGEXEXTRACT(I4390, ""Padrao/([^/]+)""))"),"Jardim Sumare")</f>
        <v>Jardim Sumare</v>
      </c>
    </row>
    <row r="4345" customFormat="false" ht="15.75" hidden="false" customHeight="false" outlineLevel="0" collapsed="false">
      <c r="A4345" s="2" t="n">
        <v>236975</v>
      </c>
      <c r="B4345" s="2" t="s">
        <v>3518</v>
      </c>
      <c r="C4345" s="2" t="n">
        <v>3</v>
      </c>
      <c r="D4345" s="2" t="n">
        <v>3</v>
      </c>
      <c r="E4345" s="2" t="n">
        <v>1</v>
      </c>
      <c r="F4345" s="2" t="n">
        <v>90</v>
      </c>
      <c r="G4345" s="2" t="s">
        <v>1468</v>
      </c>
      <c r="H4345" s="2" t="str">
        <f aca="false">IFERROR(__xludf.dummyfunction("IF(I4391="""", """", REGEXEXTRACT(I4391, ""Padrao/([^/]+)""))"),"Centro")</f>
        <v>Centro</v>
      </c>
    </row>
    <row r="4346" customFormat="false" ht="15.75" hidden="false" customHeight="false" outlineLevel="0" collapsed="false">
      <c r="A4346" s="2" t="n">
        <v>234008</v>
      </c>
      <c r="B4346" s="2" t="s">
        <v>3519</v>
      </c>
      <c r="C4346" s="2" t="n">
        <v>3</v>
      </c>
      <c r="D4346" s="2" t="n">
        <v>2</v>
      </c>
      <c r="E4346" s="2" t="n">
        <v>1</v>
      </c>
      <c r="F4346" s="2" t="n">
        <v>95</v>
      </c>
      <c r="G4346" s="2" t="s">
        <v>1468</v>
      </c>
      <c r="H4346" s="2" t="str">
        <f aca="false">IFERROR(__xludf.dummyfunction("IF(I4392="""", """", REGEXEXTRACT(I4392, ""Padrao/([^/]+)""))"),"Jardim Iraja")</f>
        <v>Jardim Iraja</v>
      </c>
    </row>
    <row r="4347" customFormat="false" ht="15.75" hidden="false" customHeight="false" outlineLevel="0" collapsed="false">
      <c r="A4347" s="2" t="n">
        <v>223880</v>
      </c>
      <c r="B4347" s="2" t="s">
        <v>3520</v>
      </c>
      <c r="C4347" s="2" t="n">
        <v>3</v>
      </c>
      <c r="D4347" s="2" t="n">
        <v>2</v>
      </c>
      <c r="E4347" s="2" t="n">
        <v>1</v>
      </c>
      <c r="F4347" s="2" t="n">
        <v>100</v>
      </c>
      <c r="G4347" s="2" t="s">
        <v>1468</v>
      </c>
      <c r="H4347" s="2" t="str">
        <f aca="false">IFERROR(__xludf.dummyfunction("IF(I4393="""", """", REGEXEXTRACT(I4393, ""Padrao/([^/]+)""))"),"Centro")</f>
        <v>Centro</v>
      </c>
    </row>
    <row r="4348" customFormat="false" ht="15.75" hidden="false" customHeight="false" outlineLevel="0" collapsed="false">
      <c r="A4348" s="2" t="n">
        <v>222773</v>
      </c>
      <c r="B4348" s="2" t="s">
        <v>3521</v>
      </c>
      <c r="C4348" s="2" t="n">
        <v>3</v>
      </c>
      <c r="D4348" s="2" t="n">
        <v>3</v>
      </c>
      <c r="E4348" s="2" t="n">
        <v>1</v>
      </c>
      <c r="F4348" s="2" t="n">
        <v>92</v>
      </c>
      <c r="G4348" s="2" t="s">
        <v>1468</v>
      </c>
      <c r="H4348" s="2" t="str">
        <f aca="false">IFERROR(__xludf.dummyfunction("IF(I4394="""", """", REGEXEXTRACT(I4394, ""Padrao/([^/]+)""))"),"Jardim Paulistano")</f>
        <v>Jardim Paulistano</v>
      </c>
    </row>
    <row r="4349" customFormat="false" ht="15.75" hidden="false" customHeight="false" outlineLevel="0" collapsed="false">
      <c r="A4349" s="2" t="n">
        <v>214985</v>
      </c>
      <c r="B4349" s="2" t="s">
        <v>3522</v>
      </c>
      <c r="C4349" s="2" t="n">
        <v>3</v>
      </c>
      <c r="D4349" s="2" t="n">
        <v>2</v>
      </c>
      <c r="E4349" s="2" t="n">
        <v>1</v>
      </c>
      <c r="F4349" s="2" t="n">
        <v>199</v>
      </c>
      <c r="G4349" s="2" t="s">
        <v>1468</v>
      </c>
      <c r="H4349" s="2" t="str">
        <f aca="false">IFERROR(__xludf.dummyfunction("IF(I4395="""", """", REGEXEXTRACT(I4395, ""Padrao/([^/]+)""))"),"Centro")</f>
        <v>Centro</v>
      </c>
    </row>
    <row r="4350" customFormat="false" ht="15.75" hidden="false" customHeight="false" outlineLevel="0" collapsed="false">
      <c r="A4350" s="2" t="n">
        <v>210266</v>
      </c>
      <c r="B4350" s="2" t="s">
        <v>3523</v>
      </c>
      <c r="C4350" s="2" t="n">
        <v>3</v>
      </c>
      <c r="D4350" s="2" t="n">
        <v>2</v>
      </c>
      <c r="E4350" s="2" t="n">
        <v>1</v>
      </c>
      <c r="F4350" s="2" t="n">
        <v>64</v>
      </c>
      <c r="G4350" s="2" t="s">
        <v>1468</v>
      </c>
      <c r="H4350" s="2" t="str">
        <f aca="false">IFERROR(__xludf.dummyfunction("IF(I4396="""", """", REGEXEXTRACT(I4396, ""Padrao/([^/]+)""))"),"Vila Monte Alegre")</f>
        <v>Vila Monte Alegre</v>
      </c>
    </row>
    <row r="4351" customFormat="false" ht="15.75" hidden="false" customHeight="false" outlineLevel="0" collapsed="false">
      <c r="A4351" s="2" t="n">
        <v>208874</v>
      </c>
      <c r="B4351" s="2" t="s">
        <v>3524</v>
      </c>
      <c r="C4351" s="2" t="n">
        <v>1</v>
      </c>
      <c r="D4351" s="2" t="n">
        <v>1</v>
      </c>
      <c r="E4351" s="2" t="n">
        <v>1</v>
      </c>
      <c r="F4351" s="2" t="n">
        <v>39</v>
      </c>
      <c r="G4351" s="2" t="s">
        <v>1468</v>
      </c>
      <c r="H4351" s="2" t="str">
        <f aca="false">IFERROR(__xludf.dummyfunction("IF(I4397="""", """", REGEXEXTRACT(I4397, ""Padrao/([^/]+)""))"),"Jardim Sumare")</f>
        <v>Jardim Sumare</v>
      </c>
    </row>
    <row r="4352" customFormat="false" ht="15.75" hidden="false" customHeight="false" outlineLevel="0" collapsed="false">
      <c r="A4352" s="2" t="n">
        <v>208868</v>
      </c>
      <c r="B4352" s="2" t="s">
        <v>3525</v>
      </c>
      <c r="C4352" s="2" t="n">
        <v>3</v>
      </c>
      <c r="D4352" s="2" t="n">
        <v>2</v>
      </c>
      <c r="E4352" s="2" t="n">
        <v>1</v>
      </c>
      <c r="F4352" s="2" t="n">
        <v>107</v>
      </c>
      <c r="G4352" s="2" t="s">
        <v>1468</v>
      </c>
      <c r="H4352" s="2" t="str">
        <f aca="false">IFERROR(__xludf.dummyfunction("IF(I4398="""", """", REGEXEXTRACT(I4398, ""Padrao/([^/]+)""))"),"Centro")</f>
        <v>Centro</v>
      </c>
    </row>
    <row r="4353" customFormat="false" ht="15.75" hidden="false" customHeight="false" outlineLevel="0" collapsed="false">
      <c r="A4353" s="2" t="n">
        <v>206954</v>
      </c>
      <c r="B4353" s="2" t="s">
        <v>3409</v>
      </c>
      <c r="C4353" s="2" t="n">
        <v>1</v>
      </c>
      <c r="D4353" s="2" t="n">
        <v>2</v>
      </c>
      <c r="E4353" s="2" t="n">
        <v>1</v>
      </c>
      <c r="F4353" s="2" t="n">
        <v>44</v>
      </c>
      <c r="G4353" s="2" t="s">
        <v>1468</v>
      </c>
      <c r="H4353" s="2" t="str">
        <f aca="false">IFERROR(__xludf.dummyfunction("IF(I4399="""", """", REGEXEXTRACT(I4399, ""Padrao/([^/]+)""))"),"Jardim Recreio")</f>
        <v>Jardim Recreio</v>
      </c>
    </row>
    <row r="4354" customFormat="false" ht="15.75" hidden="false" customHeight="false" outlineLevel="0" collapsed="false">
      <c r="A4354" s="2" t="n">
        <v>202724</v>
      </c>
      <c r="B4354" s="2" t="s">
        <v>3526</v>
      </c>
      <c r="C4354" s="2" t="n">
        <v>2</v>
      </c>
      <c r="D4354" s="2" t="n">
        <v>3</v>
      </c>
      <c r="E4354" s="2" t="n">
        <v>1</v>
      </c>
      <c r="F4354" s="2" t="n">
        <v>95</v>
      </c>
      <c r="G4354" s="2" t="s">
        <v>1468</v>
      </c>
      <c r="H4354" s="2" t="str">
        <f aca="false">IFERROR(__xludf.dummyfunction("IF(I4400="""", """", REGEXEXTRACT(I4400, ""Padrao/([^/]+)""))"),"Residencial e Comercial Palmares")</f>
        <v>Residencial e Comercial Palmares</v>
      </c>
    </row>
    <row r="4355" customFormat="false" ht="15.75" hidden="false" customHeight="false" outlineLevel="0" collapsed="false">
      <c r="A4355" s="2" t="n">
        <v>202253</v>
      </c>
      <c r="B4355" s="2" t="s">
        <v>3527</v>
      </c>
      <c r="C4355" s="2" t="n">
        <v>3</v>
      </c>
      <c r="D4355" s="2" t="n">
        <v>2</v>
      </c>
      <c r="E4355" s="2" t="n">
        <v>1</v>
      </c>
      <c r="F4355" s="2" t="n">
        <v>99</v>
      </c>
      <c r="G4355" s="2" t="s">
        <v>1468</v>
      </c>
      <c r="H4355" s="2" t="str">
        <f aca="false">IFERROR(__xludf.dummyfunction("IF(I4401="""", """", REGEXEXTRACT(I4401, ""Padrao/([^/]+)""))"),"Jardim America")</f>
        <v>Jardim America</v>
      </c>
    </row>
    <row r="4356" customFormat="false" ht="15.75" hidden="false" customHeight="false" outlineLevel="0" collapsed="false">
      <c r="A4356" s="2" t="n">
        <v>201800</v>
      </c>
      <c r="B4356" s="2" t="s">
        <v>3528</v>
      </c>
      <c r="C4356" s="2" t="n">
        <v>2</v>
      </c>
      <c r="D4356" s="2" t="n">
        <v>2</v>
      </c>
      <c r="E4356" s="2" t="n">
        <v>1</v>
      </c>
      <c r="F4356" s="2" t="n">
        <v>62</v>
      </c>
      <c r="G4356" s="2" t="s">
        <v>1468</v>
      </c>
      <c r="H4356" s="2" t="str">
        <f aca="false">IFERROR(__xludf.dummyfunction("IF(I4402="""", """", REGEXEXTRACT(I4402, ""Padrao/([^/]+)""))"),"Ribeirania")</f>
        <v>Ribeirania</v>
      </c>
    </row>
    <row r="4357" customFormat="false" ht="15.75" hidden="false" customHeight="false" outlineLevel="0" collapsed="false">
      <c r="A4357" s="2" t="n">
        <v>201791</v>
      </c>
      <c r="B4357" s="2" t="s">
        <v>3529</v>
      </c>
      <c r="C4357" s="2" t="n">
        <v>2</v>
      </c>
      <c r="D4357" s="2" t="n">
        <v>1</v>
      </c>
      <c r="E4357" s="2" t="n">
        <v>1</v>
      </c>
      <c r="F4357" s="2" t="n">
        <v>49</v>
      </c>
      <c r="G4357" s="2" t="s">
        <v>1468</v>
      </c>
      <c r="H4357" s="2" t="str">
        <f aca="false">IFERROR(__xludf.dummyfunction("IF(I4403="""", """", REGEXEXTRACT(I4403, ""Padrao/([^/]+)""))"),"Residencial Monterrey")</f>
        <v>Residencial Monterrey</v>
      </c>
    </row>
    <row r="4358" customFormat="false" ht="15.75" hidden="false" customHeight="false" outlineLevel="0" collapsed="false">
      <c r="A4358" s="2" t="n">
        <v>195425</v>
      </c>
      <c r="B4358" s="2" t="s">
        <v>3530</v>
      </c>
      <c r="C4358" s="2" t="n">
        <v>3</v>
      </c>
      <c r="D4358" s="2" t="n">
        <v>2</v>
      </c>
      <c r="E4358" s="2" t="n">
        <v>2</v>
      </c>
      <c r="F4358" s="2" t="n">
        <v>93</v>
      </c>
      <c r="G4358" s="2" t="s">
        <v>1468</v>
      </c>
      <c r="H4358" s="2" t="str">
        <f aca="false">IFERROR(__xludf.dummyfunction("IF(I4404="""", """", REGEXEXTRACT(I4404, ""Padrao/([^/]+)""))"),"Parque dos Bandeirantes")</f>
        <v>Parque dos Bandeirantes</v>
      </c>
    </row>
    <row r="4359" customFormat="false" ht="15.75" hidden="false" customHeight="false" outlineLevel="0" collapsed="false">
      <c r="A4359" s="2" t="n">
        <v>194333</v>
      </c>
      <c r="B4359" s="2" t="s">
        <v>3531</v>
      </c>
      <c r="C4359" s="2" t="n">
        <v>3</v>
      </c>
      <c r="D4359" s="2" t="n">
        <v>3</v>
      </c>
      <c r="E4359" s="2" t="n">
        <v>1</v>
      </c>
      <c r="F4359" s="2" t="n">
        <v>210</v>
      </c>
      <c r="G4359" s="2" t="s">
        <v>1468</v>
      </c>
      <c r="H4359" s="2" t="str">
        <f aca="false">IFERROR(__xludf.dummyfunction("IF(I4405="""", """", REGEXEXTRACT(I4405, ""Padrao/([^/]+)""))"),"Centro")</f>
        <v>Centro</v>
      </c>
    </row>
    <row r="4360" customFormat="false" ht="15.75" hidden="false" customHeight="false" outlineLevel="0" collapsed="false">
      <c r="A4360" s="2" t="n">
        <v>192059</v>
      </c>
      <c r="B4360" s="2" t="s">
        <v>3532</v>
      </c>
      <c r="C4360" s="2" t="n">
        <v>3</v>
      </c>
      <c r="D4360" s="2" t="n">
        <v>3</v>
      </c>
      <c r="E4360" s="2" t="n">
        <v>1</v>
      </c>
      <c r="F4360" s="2" t="n">
        <v>137</v>
      </c>
      <c r="G4360" s="2" t="s">
        <v>1468</v>
      </c>
      <c r="H4360" s="2" t="str">
        <f aca="false">IFERROR(__xludf.dummyfunction("IF(I4406="""", """", REGEXEXTRACT(I4406, ""Padrao/([^/]+)""))"),"Parque dos Bandeirantes")</f>
        <v>Parque dos Bandeirantes</v>
      </c>
    </row>
    <row r="4361" customFormat="false" ht="15.75" hidden="false" customHeight="false" outlineLevel="0" collapsed="false">
      <c r="A4361" s="2" t="n">
        <v>188288</v>
      </c>
      <c r="B4361" s="2" t="s">
        <v>3533</v>
      </c>
      <c r="C4361" s="2" t="n">
        <v>3</v>
      </c>
      <c r="D4361" s="2" t="n">
        <v>2</v>
      </c>
      <c r="E4361" s="2" t="n">
        <v>2</v>
      </c>
      <c r="F4361" s="2" t="n">
        <v>96</v>
      </c>
      <c r="G4361" s="2" t="s">
        <v>1468</v>
      </c>
      <c r="H4361" s="2" t="str">
        <f aca="false">IFERROR(__xludf.dummyfunction("IF(I4407="""", """", REGEXEXTRACT(I4407, ""Padrao/([^/]+)""))"),"Higienopolis")</f>
        <v>Higienopolis</v>
      </c>
    </row>
    <row r="4362" customFormat="false" ht="15.75" hidden="false" customHeight="false" outlineLevel="0" collapsed="false">
      <c r="A4362" s="2" t="n">
        <v>188156</v>
      </c>
      <c r="B4362" s="2" t="s">
        <v>3534</v>
      </c>
      <c r="C4362" s="2" t="n">
        <v>2</v>
      </c>
      <c r="D4362" s="2" t="n">
        <v>2</v>
      </c>
      <c r="E4362" s="2" t="n">
        <v>2</v>
      </c>
      <c r="F4362" s="2" t="n">
        <v>70</v>
      </c>
      <c r="G4362" s="2" t="s">
        <v>1468</v>
      </c>
      <c r="H4362" s="2" t="str">
        <f aca="false">IFERROR(__xludf.dummyfunction("IF(I4408="""", """", REGEXEXTRACT(I4408, ""Padrao/([^/]+)""))"),"Jardim Sao Luiz")</f>
        <v>Jardim Sao Luiz</v>
      </c>
    </row>
    <row r="4363" customFormat="false" ht="15.75" hidden="false" customHeight="false" outlineLevel="0" collapsed="false">
      <c r="A4363" s="2" t="n">
        <v>187922</v>
      </c>
      <c r="B4363" s="2" t="s">
        <v>3535</v>
      </c>
      <c r="C4363" s="2" t="n">
        <v>2</v>
      </c>
      <c r="D4363" s="2" t="n">
        <v>1</v>
      </c>
      <c r="E4363" s="2" t="n">
        <v>1</v>
      </c>
      <c r="F4363" s="2" t="n">
        <v>54</v>
      </c>
      <c r="G4363" s="2" t="s">
        <v>1468</v>
      </c>
      <c r="H4363" s="2" t="str">
        <f aca="false">IFERROR(__xludf.dummyfunction("IF(I4409="""", """", REGEXEXTRACT(I4409, ""Padrao/([^/]+)""))"),"Jardim Palma Travassos")</f>
        <v>Jardim Palma Travassos</v>
      </c>
    </row>
    <row r="4364" customFormat="false" ht="15.75" hidden="false" customHeight="false" outlineLevel="0" collapsed="false">
      <c r="A4364" s="2" t="n">
        <v>186407</v>
      </c>
      <c r="B4364" s="2" t="s">
        <v>3536</v>
      </c>
      <c r="C4364" s="2" t="n">
        <v>3</v>
      </c>
      <c r="D4364" s="2" t="n">
        <v>3</v>
      </c>
      <c r="E4364" s="2" t="n">
        <v>2</v>
      </c>
      <c r="F4364" s="2" t="n">
        <v>107</v>
      </c>
      <c r="G4364" s="2" t="s">
        <v>1468</v>
      </c>
      <c r="H4364" s="2" t="str">
        <f aca="false">IFERROR(__xludf.dummyfunction("IF(I4410="""", """", REGEXEXTRACT(I4410, ""Padrao/([^/]+)""))"),"Iguatemi")</f>
        <v>Iguatemi</v>
      </c>
    </row>
    <row r="4365" customFormat="false" ht="15.75" hidden="false" customHeight="false" outlineLevel="0" collapsed="false">
      <c r="A4365" s="2" t="n">
        <v>178796</v>
      </c>
      <c r="B4365" s="2" t="s">
        <v>3537</v>
      </c>
      <c r="C4365" s="2" t="n">
        <v>3</v>
      </c>
      <c r="D4365" s="2" t="n">
        <v>2</v>
      </c>
      <c r="E4365" s="2" t="n">
        <v>1</v>
      </c>
      <c r="F4365" s="2" t="n">
        <v>103</v>
      </c>
      <c r="G4365" s="2" t="s">
        <v>1468</v>
      </c>
      <c r="H4365" s="2" t="str">
        <f aca="false">IFERROR(__xludf.dummyfunction("IF(I4411="""", """", REGEXEXTRACT(I4411, ""Padrao/([^/]+)""))"),"Centro")</f>
        <v>Centro</v>
      </c>
    </row>
    <row r="4366" customFormat="false" ht="15.75" hidden="false" customHeight="false" outlineLevel="0" collapsed="false">
      <c r="A4366" s="2" t="n">
        <v>175238</v>
      </c>
      <c r="B4366" s="2" t="s">
        <v>3538</v>
      </c>
      <c r="C4366" s="2" t="n">
        <v>4</v>
      </c>
      <c r="D4366" s="2" t="n">
        <v>3</v>
      </c>
      <c r="E4366" s="2" t="n">
        <v>1</v>
      </c>
      <c r="F4366" s="2" t="n">
        <v>172</v>
      </c>
      <c r="G4366" s="2" t="s">
        <v>1468</v>
      </c>
      <c r="H4366" s="2" t="str">
        <f aca="false">IFERROR(__xludf.dummyfunction("IF(I4412="""", """", REGEXEXTRACT(I4412, ""Padrao/([^/]+)""))"),"Jardim Sumare")</f>
        <v>Jardim Sumare</v>
      </c>
    </row>
    <row r="4367" customFormat="false" ht="15.75" hidden="false" customHeight="false" outlineLevel="0" collapsed="false">
      <c r="A4367" s="2" t="n">
        <v>174548</v>
      </c>
      <c r="B4367" s="2" t="s">
        <v>1442</v>
      </c>
      <c r="C4367" s="2" t="n">
        <v>1</v>
      </c>
      <c r="D4367" s="2" t="n">
        <v>2</v>
      </c>
      <c r="E4367" s="2" t="n">
        <v>2</v>
      </c>
      <c r="F4367" s="2" t="n">
        <v>66</v>
      </c>
      <c r="G4367" s="2" t="s">
        <v>1468</v>
      </c>
      <c r="H4367" s="2" t="str">
        <f aca="false">IFERROR(__xludf.dummyfunction("IF(I4413="""", """", REGEXEXTRACT(I4413, ""Padrao/([^/]+)""))"),"Vila Ana Maria")</f>
        <v>Vila Ana Maria</v>
      </c>
    </row>
    <row r="4368" customFormat="false" ht="15.75" hidden="false" customHeight="false" outlineLevel="0" collapsed="false">
      <c r="A4368" s="2" t="n">
        <v>171539</v>
      </c>
      <c r="B4368" s="2" t="s">
        <v>3539</v>
      </c>
      <c r="C4368" s="2" t="n">
        <v>3</v>
      </c>
      <c r="D4368" s="2" t="n">
        <v>2</v>
      </c>
      <c r="E4368" s="2" t="n">
        <v>1</v>
      </c>
      <c r="F4368" s="2" t="n">
        <v>80</v>
      </c>
      <c r="G4368" s="2" t="s">
        <v>1468</v>
      </c>
      <c r="H4368" s="2" t="str">
        <f aca="false">IFERROR(__xludf.dummyfunction("IF(I4414="""", """", REGEXEXTRACT(I4414, ""Padrao/([^/]+)""))"),"Alto da Boa Vista")</f>
        <v>Alto da Boa Vista</v>
      </c>
    </row>
    <row r="4369" customFormat="false" ht="15.75" hidden="false" customHeight="false" outlineLevel="0" collapsed="false">
      <c r="A4369" s="2" t="n">
        <v>167795</v>
      </c>
      <c r="B4369" s="2" t="s">
        <v>602</v>
      </c>
      <c r="C4369" s="2" t="n">
        <v>3</v>
      </c>
      <c r="D4369" s="2" t="n">
        <v>3</v>
      </c>
      <c r="E4369" s="2" t="n">
        <v>1</v>
      </c>
      <c r="F4369" s="2" t="n">
        <v>210</v>
      </c>
      <c r="G4369" s="2" t="s">
        <v>1468</v>
      </c>
      <c r="H4369" s="2" t="str">
        <f aca="false">IFERROR(__xludf.dummyfunction("IF(I4415="""", """", REGEXEXTRACT(I4415, ""Padrao/([^/]+)""))"),"Centro")</f>
        <v>Centro</v>
      </c>
    </row>
    <row r="4370" customFormat="false" ht="15.75" hidden="false" customHeight="false" outlineLevel="0" collapsed="false">
      <c r="A4370" s="2" t="n">
        <v>167459</v>
      </c>
      <c r="B4370" s="2" t="s">
        <v>847</v>
      </c>
      <c r="C4370" s="2" t="n">
        <v>3</v>
      </c>
      <c r="D4370" s="2" t="n">
        <v>2</v>
      </c>
      <c r="E4370" s="2" t="n">
        <v>2</v>
      </c>
      <c r="F4370" s="2" t="n">
        <v>127</v>
      </c>
      <c r="G4370" s="2" t="s">
        <v>1468</v>
      </c>
      <c r="H4370" s="2" t="str">
        <f aca="false">IFERROR(__xludf.dummyfunction("IF(I4416="""", """", REGEXEXTRACT(I4416, ""Padrao/([^/]+)""))"),"Jardim Paulista")</f>
        <v>Jardim Paulista</v>
      </c>
    </row>
    <row r="4371" customFormat="false" ht="15.75" hidden="false" customHeight="false" outlineLevel="0" collapsed="false">
      <c r="A4371" s="2" t="n">
        <v>166151</v>
      </c>
      <c r="B4371" s="2" t="s">
        <v>1261</v>
      </c>
      <c r="C4371" s="2" t="n">
        <v>1</v>
      </c>
      <c r="D4371" s="2" t="n">
        <v>1</v>
      </c>
      <c r="E4371" s="2" t="n">
        <v>1</v>
      </c>
      <c r="F4371" s="2" t="n">
        <v>54</v>
      </c>
      <c r="G4371" s="2" t="s">
        <v>1468</v>
      </c>
      <c r="H4371" s="2" t="str">
        <f aca="false">IFERROR(__xludf.dummyfunction("IF(I4417="""", """", REGEXEXTRACT(I4417, ""Padrao/([^/]+)""))"),"Vila Ana Maria")</f>
        <v>Vila Ana Maria</v>
      </c>
    </row>
    <row r="4372" customFormat="false" ht="15.75" hidden="false" customHeight="false" outlineLevel="0" collapsed="false">
      <c r="A4372" s="2" t="n">
        <v>162875</v>
      </c>
      <c r="B4372" s="2" t="s">
        <v>1066</v>
      </c>
      <c r="C4372" s="2" t="n">
        <v>3</v>
      </c>
      <c r="D4372" s="2" t="n">
        <v>2</v>
      </c>
      <c r="E4372" s="2" t="n">
        <v>1</v>
      </c>
      <c r="F4372" s="2" t="n">
        <v>107</v>
      </c>
      <c r="G4372" s="2" t="s">
        <v>1468</v>
      </c>
      <c r="H4372" s="2" t="str">
        <f aca="false">IFERROR(__xludf.dummyfunction("IF(I4418="""", """", REGEXEXTRACT(I4418, ""Padrao/([^/]+)""))"),"Iguatemi")</f>
        <v>Iguatemi</v>
      </c>
    </row>
    <row r="4373" customFormat="false" ht="15.75" hidden="false" customHeight="false" outlineLevel="0" collapsed="false">
      <c r="A4373" s="2" t="n">
        <v>160238</v>
      </c>
      <c r="B4373" s="2" t="s">
        <v>3540</v>
      </c>
      <c r="C4373" s="2" t="n">
        <v>3</v>
      </c>
      <c r="D4373" s="2" t="n">
        <v>2</v>
      </c>
      <c r="E4373" s="2" t="n">
        <v>1</v>
      </c>
      <c r="F4373" s="2" t="n">
        <v>103</v>
      </c>
      <c r="G4373" s="2" t="s">
        <v>1468</v>
      </c>
      <c r="H4373" s="2" t="str">
        <f aca="false">IFERROR(__xludf.dummyfunction("IF(I4419="""", """", REGEXEXTRACT(I4419, ""Padrao/([^/]+)""))"),"Vila Monte Alegre")</f>
        <v>Vila Monte Alegre</v>
      </c>
    </row>
    <row r="4374" customFormat="false" ht="15.75" hidden="false" customHeight="false" outlineLevel="0" collapsed="false">
      <c r="A4374" s="2" t="n">
        <v>157715</v>
      </c>
      <c r="B4374" s="2" t="s">
        <v>3541</v>
      </c>
      <c r="C4374" s="2" t="n">
        <v>2</v>
      </c>
      <c r="D4374" s="2" t="n">
        <v>3</v>
      </c>
      <c r="E4374" s="2" t="n">
        <v>2</v>
      </c>
      <c r="F4374" s="2" t="n">
        <v>72</v>
      </c>
      <c r="G4374" s="2" t="s">
        <v>1468</v>
      </c>
      <c r="H4374" s="2" t="str">
        <f aca="false">IFERROR(__xludf.dummyfunction("IF(I4420="""", """", REGEXEXTRACT(I4420, ""Padrao/([^/]+)""))"),"Vila Seixas")</f>
        <v>Vila Seixas</v>
      </c>
    </row>
    <row r="4375" customFormat="false" ht="15.75" hidden="false" customHeight="false" outlineLevel="0" collapsed="false">
      <c r="A4375" s="2" t="n">
        <v>154025</v>
      </c>
      <c r="B4375" s="2" t="s">
        <v>440</v>
      </c>
      <c r="C4375" s="2" t="n">
        <v>3</v>
      </c>
      <c r="D4375" s="2" t="n">
        <v>3</v>
      </c>
      <c r="E4375" s="2" t="n">
        <v>1</v>
      </c>
      <c r="F4375" s="2" t="n">
        <v>100</v>
      </c>
      <c r="G4375" s="2" t="s">
        <v>1468</v>
      </c>
      <c r="H4375" s="2" t="str">
        <f aca="false">IFERROR(__xludf.dummyfunction("IF(I4421="""", """", REGEXEXTRACT(I4421, ""Padrao/([^/]+)""))"),"Centro")</f>
        <v>Centro</v>
      </c>
    </row>
    <row r="4376" customFormat="false" ht="15.75" hidden="false" customHeight="false" outlineLevel="0" collapsed="false">
      <c r="A4376" s="2" t="n">
        <v>147791</v>
      </c>
      <c r="B4376" s="2" t="s">
        <v>3542</v>
      </c>
      <c r="C4376" s="2" t="n">
        <v>1</v>
      </c>
      <c r="D4376" s="2" t="n">
        <v>1</v>
      </c>
      <c r="E4376" s="2" t="n">
        <v>1</v>
      </c>
      <c r="F4376" s="2" t="n">
        <v>49</v>
      </c>
      <c r="G4376" s="2" t="s">
        <v>1468</v>
      </c>
      <c r="H4376" s="2" t="str">
        <f aca="false">IFERROR(__xludf.dummyfunction("IF(I4422="""", """", REGEXEXTRACT(I4422, ""Padrao/([^/]+)""))"),"Centro")</f>
        <v>Centro</v>
      </c>
    </row>
    <row r="4377" customFormat="false" ht="15.75" hidden="false" customHeight="false" outlineLevel="0" collapsed="false">
      <c r="A4377" s="2" t="n">
        <v>141440</v>
      </c>
      <c r="B4377" s="2" t="s">
        <v>3543</v>
      </c>
      <c r="C4377" s="2" t="n">
        <v>3</v>
      </c>
      <c r="D4377" s="2" t="n">
        <v>3</v>
      </c>
      <c r="E4377" s="2" t="n">
        <v>1</v>
      </c>
      <c r="F4377" s="2" t="n">
        <v>100</v>
      </c>
      <c r="G4377" s="2" t="s">
        <v>1468</v>
      </c>
      <c r="H4377" s="2" t="str">
        <f aca="false">IFERROR(__xludf.dummyfunction("IF(I4423="""", """", REGEXEXTRACT(I4423, ""Padrao/([^/]+)""))"),"Centro")</f>
        <v>Centro</v>
      </c>
    </row>
    <row r="4378" customFormat="false" ht="15.75" hidden="false" customHeight="false" outlineLevel="0" collapsed="false">
      <c r="A4378" s="2" t="n">
        <v>138875</v>
      </c>
      <c r="B4378" s="2" t="s">
        <v>3544</v>
      </c>
      <c r="C4378" s="2" t="n">
        <v>2</v>
      </c>
      <c r="D4378" s="2" t="n">
        <v>2</v>
      </c>
      <c r="E4378" s="2" t="n">
        <v>1</v>
      </c>
      <c r="F4378" s="2" t="n">
        <v>67</v>
      </c>
      <c r="G4378" s="2" t="s">
        <v>1468</v>
      </c>
      <c r="H4378" s="2" t="str">
        <f aca="false">IFERROR(__xludf.dummyfunction("IF(I4424="""", """", REGEXEXTRACT(I4424, ""Padrao/([^/]+)""))"),"Jardim Botanico")</f>
        <v>Jardim Botanico</v>
      </c>
    </row>
    <row r="4379" customFormat="false" ht="15.75" hidden="false" customHeight="false" outlineLevel="0" collapsed="false">
      <c r="A4379" s="2" t="n">
        <v>135887</v>
      </c>
      <c r="B4379" s="2" t="s">
        <v>3545</v>
      </c>
      <c r="C4379" s="2" t="n">
        <v>3</v>
      </c>
      <c r="D4379" s="2" t="n">
        <v>2</v>
      </c>
      <c r="E4379" s="2" t="n">
        <v>1</v>
      </c>
      <c r="F4379" s="2" t="n">
        <v>107</v>
      </c>
      <c r="G4379" s="2" t="s">
        <v>1468</v>
      </c>
      <c r="H4379" s="2" t="str">
        <f aca="false">IFERROR(__xludf.dummyfunction("IF(I4425="""", """", REGEXEXTRACT(I4425, ""Padrao/([^/]+)""))"),"Alto da Boa Vista")</f>
        <v>Alto da Boa Vista</v>
      </c>
    </row>
    <row r="4380" customFormat="false" ht="15.75" hidden="false" customHeight="false" outlineLevel="0" collapsed="false">
      <c r="A4380" s="2" t="n">
        <v>128900</v>
      </c>
      <c r="B4380" s="2" t="s">
        <v>3546</v>
      </c>
      <c r="C4380" s="2" t="n">
        <v>2</v>
      </c>
      <c r="D4380" s="2" t="n">
        <v>2</v>
      </c>
      <c r="E4380" s="2" t="n">
        <v>1</v>
      </c>
      <c r="F4380" s="2" t="n">
        <v>59</v>
      </c>
      <c r="G4380" s="2" t="s">
        <v>1468</v>
      </c>
      <c r="H4380" s="2" t="str">
        <f aca="false">IFERROR(__xludf.dummyfunction("IF(I4426="""", """", REGEXEXTRACT(I4426, ""Padrao/([^/]+)""))"),"Jardim Paulista")</f>
        <v>Jardim Paulista</v>
      </c>
    </row>
    <row r="4381" customFormat="false" ht="15.75" hidden="false" customHeight="false" outlineLevel="0" collapsed="false">
      <c r="A4381" s="2" t="n">
        <v>128630</v>
      </c>
      <c r="B4381" s="2" t="s">
        <v>3547</v>
      </c>
      <c r="C4381" s="2" t="n">
        <v>3</v>
      </c>
      <c r="D4381" s="2" t="n">
        <v>2</v>
      </c>
      <c r="E4381" s="2" t="n">
        <v>1</v>
      </c>
      <c r="F4381" s="2" t="n">
        <v>79</v>
      </c>
      <c r="G4381" s="2" t="s">
        <v>1468</v>
      </c>
      <c r="H4381" s="2" t="str">
        <f aca="false">IFERROR(__xludf.dummyfunction("IF(I4427="""", """", REGEXEXTRACT(I4427, ""Padrao/([^/]+)""))"),"Parque dos Bandeirantes")</f>
        <v>Parque dos Bandeirantes</v>
      </c>
    </row>
    <row r="4382" customFormat="false" ht="15.75" hidden="false" customHeight="false" outlineLevel="0" collapsed="false">
      <c r="A4382" s="2" t="n">
        <v>120941</v>
      </c>
      <c r="B4382" s="2" t="s">
        <v>3548</v>
      </c>
      <c r="C4382" s="2" t="n">
        <v>2</v>
      </c>
      <c r="D4382" s="2" t="n">
        <v>2</v>
      </c>
      <c r="E4382" s="2" t="n">
        <v>1</v>
      </c>
      <c r="F4382" s="2" t="n">
        <v>75</v>
      </c>
      <c r="G4382" s="2" t="s">
        <v>1468</v>
      </c>
      <c r="H4382" s="2" t="str">
        <f aca="false">IFERROR(__xludf.dummyfunction("IF(I4428="""", """", REGEXEXTRACT(I4428, ""Padrao/([^/]+)""))"),"Parque Industrial Lagoinha")</f>
        <v>Parque Industrial Lagoinha</v>
      </c>
    </row>
    <row r="4383" customFormat="false" ht="15.75" hidden="false" customHeight="false" outlineLevel="0" collapsed="false">
      <c r="A4383" s="2" t="n">
        <v>105635</v>
      </c>
      <c r="B4383" s="2" t="s">
        <v>2116</v>
      </c>
      <c r="C4383" s="2" t="n">
        <v>2</v>
      </c>
      <c r="D4383" s="2" t="n">
        <v>1</v>
      </c>
      <c r="E4383" s="2" t="n">
        <v>1</v>
      </c>
      <c r="F4383" s="2" t="n">
        <v>76</v>
      </c>
      <c r="G4383" s="2" t="s">
        <v>1468</v>
      </c>
      <c r="H4383" s="2" t="str">
        <f aca="false">IFERROR(__xludf.dummyfunction("IF(I4429="""", """", REGEXEXTRACT(I4429, ""Padrao/([^/]+)""))"),"Centro")</f>
        <v>Centro</v>
      </c>
    </row>
    <row r="4384" customFormat="false" ht="15.75" hidden="false" customHeight="false" outlineLevel="0" collapsed="false">
      <c r="A4384" s="2" t="n">
        <v>103970</v>
      </c>
      <c r="B4384" s="2" t="s">
        <v>632</v>
      </c>
      <c r="C4384" s="2" t="n">
        <v>3</v>
      </c>
      <c r="D4384" s="2" t="n">
        <v>2</v>
      </c>
      <c r="E4384" s="2" t="n">
        <v>1</v>
      </c>
      <c r="F4384" s="2" t="n">
        <v>107</v>
      </c>
      <c r="G4384" s="2" t="s">
        <v>1468</v>
      </c>
      <c r="H4384" s="2" t="str">
        <f aca="false">IFERROR(__xludf.dummyfunction("IF(I4430="""", """", REGEXEXTRACT(I4430, ""Padrao/([^/]+)""))"),"Centro")</f>
        <v>Centro</v>
      </c>
    </row>
    <row r="4385" customFormat="false" ht="15.75" hidden="false" customHeight="false" outlineLevel="0" collapsed="false">
      <c r="A4385" s="2" t="n">
        <v>101639</v>
      </c>
      <c r="B4385" s="2" t="s">
        <v>3549</v>
      </c>
      <c r="C4385" s="2" t="n">
        <v>2</v>
      </c>
      <c r="D4385" s="2" t="n">
        <v>2</v>
      </c>
      <c r="E4385" s="2" t="n">
        <v>1</v>
      </c>
      <c r="F4385" s="2" t="n">
        <v>85</v>
      </c>
      <c r="G4385" s="2" t="s">
        <v>1468</v>
      </c>
      <c r="H4385" s="2" t="str">
        <f aca="false">IFERROR(__xludf.dummyfunction("IF(I4431="""", """", REGEXEXTRACT(I4431, ""Padrao/([^/]+)""))"),"Jardim Iraja")</f>
        <v>Jardim Iraja</v>
      </c>
    </row>
    <row r="4386" customFormat="false" ht="15.75" hidden="false" customHeight="false" outlineLevel="0" collapsed="false">
      <c r="A4386" s="2" t="n">
        <v>98756</v>
      </c>
      <c r="B4386" s="2" t="s">
        <v>3550</v>
      </c>
      <c r="C4386" s="2" t="n">
        <v>3</v>
      </c>
      <c r="D4386" s="2" t="n">
        <v>2</v>
      </c>
      <c r="E4386" s="2" t="n">
        <v>1</v>
      </c>
      <c r="F4386" s="2" t="n">
        <v>90</v>
      </c>
      <c r="G4386" s="2" t="s">
        <v>1468</v>
      </c>
      <c r="H4386" s="2" t="str">
        <f aca="false">IFERROR(__xludf.dummyfunction("IF(I4432="""", """", REGEXEXTRACT(I4432, ""Padrao/([^/]+)""))"),"Jardim Iraja")</f>
        <v>Jardim Iraja</v>
      </c>
    </row>
    <row r="4387" customFormat="false" ht="15.75" hidden="false" customHeight="false" outlineLevel="0" collapsed="false">
      <c r="A4387" s="2" t="n">
        <v>93605</v>
      </c>
      <c r="B4387" s="2" t="s">
        <v>3302</v>
      </c>
      <c r="C4387" s="2" t="n">
        <v>3</v>
      </c>
      <c r="D4387" s="2" t="n">
        <v>2</v>
      </c>
      <c r="E4387" s="2" t="n">
        <v>1</v>
      </c>
      <c r="F4387" s="2" t="n">
        <v>80</v>
      </c>
      <c r="G4387" s="2" t="s">
        <v>1468</v>
      </c>
      <c r="H4387" s="2" t="str">
        <f aca="false">IFERROR(__xludf.dummyfunction("IF(I4433="""", """", REGEXEXTRACT(I4433, ""Padrao/([^/]+)""))"),"Alto da Boa Vista")</f>
        <v>Alto da Boa Vista</v>
      </c>
    </row>
    <row r="4388" customFormat="false" ht="15.75" hidden="false" customHeight="false" outlineLevel="0" collapsed="false">
      <c r="A4388" s="2" t="n">
        <v>86474</v>
      </c>
      <c r="B4388" s="2" t="s">
        <v>3551</v>
      </c>
      <c r="C4388" s="2" t="n">
        <v>3</v>
      </c>
      <c r="D4388" s="2" t="n">
        <v>2</v>
      </c>
      <c r="E4388" s="2" t="n">
        <v>1</v>
      </c>
      <c r="F4388" s="2" t="n">
        <v>96</v>
      </c>
      <c r="G4388" s="2" t="s">
        <v>1468</v>
      </c>
      <c r="H4388" s="2" t="str">
        <f aca="false">IFERROR(__xludf.dummyfunction("IF(I4434="""", """", REGEXEXTRACT(I4434, ""Padrao/([^/]+)""))"),"Jardim Iraja")</f>
        <v>Jardim Iraja</v>
      </c>
    </row>
    <row r="4389" customFormat="false" ht="15.75" hidden="false" customHeight="false" outlineLevel="0" collapsed="false">
      <c r="A4389" s="2" t="n">
        <v>83405</v>
      </c>
      <c r="B4389" s="2" t="s">
        <v>3552</v>
      </c>
      <c r="C4389" s="2" t="n">
        <v>3</v>
      </c>
      <c r="D4389" s="2" t="n">
        <v>2</v>
      </c>
      <c r="E4389" s="2" t="n">
        <v>2</v>
      </c>
      <c r="F4389" s="2" t="n">
        <v>75</v>
      </c>
      <c r="G4389" s="2" t="s">
        <v>1468</v>
      </c>
      <c r="H4389" s="2" t="str">
        <f aca="false">IFERROR(__xludf.dummyfunction("IF(I4435="""", """", REGEXEXTRACT(I4435, ""Padrao/([^/]+)""))"),"Jardim Iraja")</f>
        <v>Jardim Iraja</v>
      </c>
    </row>
    <row r="4390" customFormat="false" ht="15.75" hidden="false" customHeight="false" outlineLevel="0" collapsed="false">
      <c r="A4390" s="2" t="n">
        <v>80354</v>
      </c>
      <c r="B4390" s="2" t="s">
        <v>3553</v>
      </c>
      <c r="C4390" s="2" t="n">
        <v>3</v>
      </c>
      <c r="D4390" s="2" t="n">
        <v>2</v>
      </c>
      <c r="E4390" s="2" t="n">
        <v>1</v>
      </c>
      <c r="F4390" s="2" t="n">
        <v>158</v>
      </c>
      <c r="G4390" s="2" t="s">
        <v>1468</v>
      </c>
      <c r="H4390" s="2" t="str">
        <f aca="false">IFERROR(__xludf.dummyfunction("IF(I4436="""", """", REGEXEXTRACT(I4436, ""Padrao/([^/]+)""))"),"Centro")</f>
        <v>Centro</v>
      </c>
    </row>
    <row r="4391" customFormat="false" ht="15.75" hidden="false" customHeight="false" outlineLevel="0" collapsed="false">
      <c r="A4391" s="2" t="n">
        <v>77054</v>
      </c>
      <c r="B4391" s="2" t="s">
        <v>162</v>
      </c>
      <c r="C4391" s="2" t="n">
        <v>2</v>
      </c>
      <c r="D4391" s="2" t="n">
        <v>2</v>
      </c>
      <c r="E4391" s="2" t="n">
        <v>1</v>
      </c>
      <c r="F4391" s="2" t="n">
        <v>58</v>
      </c>
      <c r="G4391" s="2" t="s">
        <v>1468</v>
      </c>
      <c r="H4391" s="2" t="str">
        <f aca="false">IFERROR(__xludf.dummyfunction("IF(I4437="""", """", REGEXEXTRACT(I4437, ""Padrao/([^/]+)""))"),"Jardim Paulista")</f>
        <v>Jardim Paulista</v>
      </c>
    </row>
    <row r="4392" customFormat="false" ht="15.75" hidden="false" customHeight="false" outlineLevel="0" collapsed="false">
      <c r="A4392" s="2" t="n">
        <v>75593</v>
      </c>
      <c r="B4392" s="2" t="s">
        <v>3554</v>
      </c>
      <c r="C4392" s="2" t="n">
        <v>2</v>
      </c>
      <c r="D4392" s="2" t="n">
        <v>2</v>
      </c>
      <c r="E4392" s="2" t="n">
        <v>2</v>
      </c>
      <c r="F4392" s="2" t="n">
        <v>63</v>
      </c>
      <c r="G4392" s="2" t="s">
        <v>1468</v>
      </c>
      <c r="H4392" s="2" t="str">
        <f aca="false">IFERROR(__xludf.dummyfunction("IF(I4438="""", """", REGEXEXTRACT(I4438, ""Padrao/([^/]+)""))"),"Jardim Botanico")</f>
        <v>Jardim Botanico</v>
      </c>
    </row>
    <row r="4393" customFormat="false" ht="15.75" hidden="false" customHeight="false" outlineLevel="0" collapsed="false">
      <c r="A4393" s="2" t="n">
        <v>66503</v>
      </c>
      <c r="B4393" s="2" t="s">
        <v>2970</v>
      </c>
      <c r="C4393" s="2" t="n">
        <v>3</v>
      </c>
      <c r="D4393" s="2" t="n">
        <v>3</v>
      </c>
      <c r="E4393" s="2" t="n">
        <v>1</v>
      </c>
      <c r="F4393" s="2" t="n">
        <v>132</v>
      </c>
      <c r="G4393" s="2" t="s">
        <v>1468</v>
      </c>
      <c r="H4393" s="2" t="str">
        <f aca="false">IFERROR(__xludf.dummyfunction("IF(I4439="""", """", REGEXEXTRACT(I4439, ""Padrao/([^/]+)""))"),"Centro")</f>
        <v>Centro</v>
      </c>
    </row>
    <row r="4394" customFormat="false" ht="15.75" hidden="false" customHeight="false" outlineLevel="0" collapsed="false">
      <c r="A4394" s="2" t="n">
        <v>64979</v>
      </c>
      <c r="B4394" s="2" t="s">
        <v>162</v>
      </c>
      <c r="C4394" s="2" t="n">
        <v>3</v>
      </c>
      <c r="D4394" s="2" t="n">
        <v>3</v>
      </c>
      <c r="E4394" s="2" t="n">
        <v>1</v>
      </c>
      <c r="F4394" s="2" t="n">
        <v>140</v>
      </c>
      <c r="G4394" s="2" t="s">
        <v>1468</v>
      </c>
      <c r="H4394" s="2" t="str">
        <f aca="false">IFERROR(__xludf.dummyfunction("IF(I4440="""", """", REGEXEXTRACT(I4440, ""Padrao/([^/]+)""))"),"Jardim Paulistano")</f>
        <v>Jardim Paulistano</v>
      </c>
    </row>
    <row r="4395" customFormat="false" ht="15.75" hidden="false" customHeight="false" outlineLevel="0" collapsed="false">
      <c r="A4395" s="2" t="n">
        <v>15344</v>
      </c>
      <c r="B4395" s="2" t="s">
        <v>602</v>
      </c>
      <c r="C4395" s="2" t="n">
        <v>2</v>
      </c>
      <c r="D4395" s="2" t="n">
        <v>2</v>
      </c>
      <c r="E4395" s="2" t="n">
        <v>1</v>
      </c>
      <c r="F4395" s="2" t="n">
        <v>83</v>
      </c>
      <c r="G4395" s="2" t="s">
        <v>1468</v>
      </c>
      <c r="H4395" s="2" t="str">
        <f aca="false">IFERROR(__xludf.dummyfunction("IF(I4442="""", """", REGEXEXTRACT(I4442, ""Padrao/([^/]+)""))"),"Centro")</f>
        <v>Centro</v>
      </c>
    </row>
    <row r="4396" customFormat="false" ht="15.75" hidden="false" customHeight="false" outlineLevel="0" collapsed="false">
      <c r="A4396" s="2" t="n">
        <v>228122</v>
      </c>
      <c r="B4396" s="2" t="s">
        <v>3555</v>
      </c>
      <c r="C4396" s="2" t="n">
        <v>3</v>
      </c>
      <c r="D4396" s="2" t="n">
        <v>2</v>
      </c>
      <c r="E4396" s="2" t="n">
        <v>1</v>
      </c>
      <c r="F4396" s="2" t="n">
        <v>68</v>
      </c>
      <c r="G4396" s="2" t="s">
        <v>3556</v>
      </c>
      <c r="H4396" s="2" t="str">
        <f aca="false">IFERROR(__xludf.dummyfunction("IF(I4443="""", """", REGEXEXTRACT(I4443, ""Padrao/([^/]+)""))"),"Real Sul")</f>
        <v>Real Sul</v>
      </c>
    </row>
    <row r="4397" customFormat="false" ht="15.75" hidden="false" customHeight="false" outlineLevel="0" collapsed="false">
      <c r="A4397" s="2" t="n">
        <v>184256</v>
      </c>
      <c r="B4397" s="2" t="s">
        <v>3557</v>
      </c>
      <c r="C4397" s="2" t="n">
        <v>2</v>
      </c>
      <c r="D4397" s="2" t="n">
        <v>2</v>
      </c>
      <c r="E4397" s="2" t="n">
        <v>1</v>
      </c>
      <c r="F4397" s="2" t="n">
        <v>50</v>
      </c>
      <c r="G4397" s="2" t="s">
        <v>3558</v>
      </c>
      <c r="H4397" s="2" t="str">
        <f aca="false">IFERROR(__xludf.dummyfunction("IF(I4444="""", """", REGEXEXTRACT(I4444, ""Padrao/([^/]+)""))"),"City Ribeirao")</f>
        <v>City Ribeirao</v>
      </c>
    </row>
    <row r="4398" customFormat="false" ht="15.75" hidden="false" customHeight="false" outlineLevel="0" collapsed="false">
      <c r="A4398" s="2" t="n">
        <v>179345</v>
      </c>
      <c r="B4398" s="2" t="s">
        <v>3559</v>
      </c>
      <c r="C4398" s="2" t="n">
        <v>2</v>
      </c>
      <c r="D4398" s="2" t="n">
        <v>1</v>
      </c>
      <c r="E4398" s="2" t="n">
        <v>1</v>
      </c>
      <c r="F4398" s="2" t="n">
        <v>49</v>
      </c>
      <c r="G4398" s="2" t="s">
        <v>3560</v>
      </c>
      <c r="H4398" s="2" t="str">
        <f aca="false">IFERROR(__xludf.dummyfunction("IF(I4445="""", """", REGEXEXTRACT(I4445, ""Padrao/([^/]+)""))"),"City Ribeirao")</f>
        <v>City Ribeirao</v>
      </c>
    </row>
    <row r="4399" customFormat="false" ht="15.75" hidden="false" customHeight="false" outlineLevel="0" collapsed="false">
      <c r="A4399" s="2" t="n">
        <v>218426</v>
      </c>
      <c r="B4399" s="2" t="s">
        <v>3561</v>
      </c>
      <c r="C4399" s="2" t="n">
        <v>2</v>
      </c>
      <c r="D4399" s="2" t="n">
        <v>2</v>
      </c>
      <c r="E4399" s="2" t="n">
        <v>1</v>
      </c>
      <c r="F4399" s="2" t="n">
        <v>64</v>
      </c>
      <c r="G4399" s="2" t="s">
        <v>3562</v>
      </c>
      <c r="H4399" s="2" t="str">
        <f aca="false">IFERROR(__xludf.dummyfunction("IF(I4446="""", """", REGEXEXTRACT(I4446, ""Padrao/([^/]+)""))"),"Jardim Paulista")</f>
        <v>Jardim Paulista</v>
      </c>
    </row>
    <row r="4400" customFormat="false" ht="15.75" hidden="false" customHeight="false" outlineLevel="0" collapsed="false">
      <c r="A4400" s="2" t="n">
        <v>217361</v>
      </c>
      <c r="B4400" s="2" t="s">
        <v>3563</v>
      </c>
      <c r="C4400" s="2" t="n">
        <v>3</v>
      </c>
      <c r="D4400" s="2" t="n">
        <v>2</v>
      </c>
      <c r="E4400" s="2" t="n">
        <v>1</v>
      </c>
      <c r="F4400" s="2" t="n">
        <v>88</v>
      </c>
      <c r="G4400" s="2" t="s">
        <v>3564</v>
      </c>
      <c r="H4400" s="2" t="str">
        <f aca="false">IFERROR(__xludf.dummyfunction("IF(I4447="""", """", REGEXEXTRACT(I4447, ""Padrao/([^/]+)""))"),"Centro")</f>
        <v>Centro</v>
      </c>
    </row>
    <row r="4401" customFormat="false" ht="15.75" hidden="false" customHeight="false" outlineLevel="0" collapsed="false">
      <c r="A4401" s="2" t="n">
        <v>166364</v>
      </c>
      <c r="B4401" s="2" t="s">
        <v>3565</v>
      </c>
      <c r="C4401" s="2" t="n">
        <v>3</v>
      </c>
      <c r="D4401" s="2" t="n">
        <v>2</v>
      </c>
      <c r="E4401" s="2" t="n">
        <v>2</v>
      </c>
      <c r="F4401" s="2" t="n">
        <v>101</v>
      </c>
      <c r="G4401" s="2" t="s">
        <v>3564</v>
      </c>
      <c r="H4401" s="2" t="str">
        <f aca="false">IFERROR(__xludf.dummyfunction("IF(I4448="""", """", REGEXEXTRACT(I4448, ""Padrao/([^/]+)""))"),"Jardim Paulistano")</f>
        <v>Jardim Paulistano</v>
      </c>
    </row>
    <row r="4402" customFormat="false" ht="15.75" hidden="false" customHeight="false" outlineLevel="0" collapsed="false">
      <c r="A4402" s="2" t="n">
        <v>122153</v>
      </c>
      <c r="B4402" s="2" t="s">
        <v>3566</v>
      </c>
      <c r="C4402" s="2" t="n">
        <v>2</v>
      </c>
      <c r="D4402" s="2" t="n">
        <v>2</v>
      </c>
      <c r="E4402" s="2" t="n">
        <v>1</v>
      </c>
      <c r="F4402" s="2" t="n">
        <v>62</v>
      </c>
      <c r="G4402" s="2" t="s">
        <v>3564</v>
      </c>
      <c r="H4402" s="2" t="str">
        <f aca="false">IFERROR(__xludf.dummyfunction("IF(I4449="""", """", REGEXEXTRACT(I4449, ""Padrao/([^/]+)""))"),"Jardim Botanico")</f>
        <v>Jardim Botanico</v>
      </c>
    </row>
    <row r="4403" customFormat="false" ht="15.75" hidden="false" customHeight="false" outlineLevel="0" collapsed="false">
      <c r="A4403" s="2" t="n">
        <v>106661</v>
      </c>
      <c r="B4403" s="2" t="s">
        <v>3567</v>
      </c>
      <c r="C4403" s="2" t="n">
        <v>3</v>
      </c>
      <c r="D4403" s="2" t="n">
        <v>3</v>
      </c>
      <c r="E4403" s="2" t="n">
        <v>1</v>
      </c>
      <c r="F4403" s="2" t="n">
        <v>193</v>
      </c>
      <c r="G4403" s="2" t="s">
        <v>3564</v>
      </c>
      <c r="H4403" s="2" t="str">
        <f aca="false">IFERROR(__xludf.dummyfunction("IF(I4450="""", """", REGEXEXTRACT(I4450, ""Padrao/([^/]+)""))"),"Centro")</f>
        <v>Centro</v>
      </c>
    </row>
    <row r="4404" customFormat="false" ht="15.75" hidden="false" customHeight="false" outlineLevel="0" collapsed="false">
      <c r="A4404" s="2" t="n">
        <v>96422</v>
      </c>
      <c r="B4404" s="2" t="s">
        <v>3568</v>
      </c>
      <c r="C4404" s="2" t="n">
        <v>2</v>
      </c>
      <c r="D4404" s="2" t="n">
        <v>2</v>
      </c>
      <c r="E4404" s="2" t="n">
        <v>1</v>
      </c>
      <c r="F4404" s="2" t="n">
        <v>65</v>
      </c>
      <c r="G4404" s="2" t="s">
        <v>3564</v>
      </c>
      <c r="H4404" s="2" t="str">
        <f aca="false">IFERROR(__xludf.dummyfunction("IF(I4451="""", """", REGEXEXTRACT(I4451, ""Padrao/([^/]+)""))"),"Centro")</f>
        <v>Centro</v>
      </c>
    </row>
    <row r="4405" customFormat="false" ht="15.75" hidden="false" customHeight="false" outlineLevel="0" collapsed="false">
      <c r="A4405" s="2" t="n">
        <v>236177</v>
      </c>
      <c r="B4405" s="2" t="s">
        <v>3569</v>
      </c>
      <c r="C4405" s="2" t="n">
        <v>3</v>
      </c>
      <c r="D4405" s="2" t="n">
        <v>1</v>
      </c>
      <c r="E4405" s="2" t="n">
        <v>1</v>
      </c>
      <c r="F4405" s="2" t="n">
        <v>97</v>
      </c>
      <c r="G4405" s="2" t="s">
        <v>3570</v>
      </c>
      <c r="H4405" s="2" t="str">
        <f aca="false">IFERROR(__xludf.dummyfunction("IF(I4452="""", """", REGEXEXTRACT(I4452, ""Padrao/([^/]+)""))"),"Jardim Iraja")</f>
        <v>Jardim Iraja</v>
      </c>
    </row>
    <row r="4406" customFormat="false" ht="15.75" hidden="false" customHeight="false" outlineLevel="0" collapsed="false">
      <c r="A4406" s="2" t="n">
        <v>214637</v>
      </c>
      <c r="B4406" s="2" t="s">
        <v>3571</v>
      </c>
      <c r="C4406" s="2" t="n">
        <v>3</v>
      </c>
      <c r="D4406" s="2" t="n">
        <v>2</v>
      </c>
      <c r="E4406" s="2" t="n">
        <v>1</v>
      </c>
      <c r="F4406" s="2" t="n">
        <v>73</v>
      </c>
      <c r="G4406" s="2" t="s">
        <v>1532</v>
      </c>
      <c r="H4406" s="2" t="str">
        <f aca="false">IFERROR(__xludf.dummyfunction("IF(I4453="""", """", REGEXEXTRACT(I4453, ""Padrao/([^/]+)""))"),"Jardim Zaneti")</f>
        <v>Jardim Zaneti</v>
      </c>
    </row>
    <row r="4407" customFormat="false" ht="15.75" hidden="false" customHeight="false" outlineLevel="0" collapsed="false">
      <c r="A4407" s="2" t="n">
        <v>201071</v>
      </c>
      <c r="B4407" s="2" t="s">
        <v>3572</v>
      </c>
      <c r="C4407" s="2" t="n">
        <v>2</v>
      </c>
      <c r="D4407" s="2" t="n">
        <v>2</v>
      </c>
      <c r="E4407" s="2" t="n">
        <v>2</v>
      </c>
      <c r="F4407" s="2" t="n">
        <v>72</v>
      </c>
      <c r="G4407" s="2" t="s">
        <v>1532</v>
      </c>
      <c r="H4407" s="2" t="str">
        <f aca="false">IFERROR(__xludf.dummyfunction("IF(I4454="""", """", REGEXEXTRACT(I4454, ""Padrao/([^/]+)""))"),"Centro")</f>
        <v>Centro</v>
      </c>
    </row>
    <row r="4408" customFormat="false" ht="15.75" hidden="false" customHeight="false" outlineLevel="0" collapsed="false">
      <c r="A4408" s="2" t="n">
        <v>184655</v>
      </c>
      <c r="B4408" s="2" t="s">
        <v>3573</v>
      </c>
      <c r="C4408" s="2" t="n">
        <v>2</v>
      </c>
      <c r="D4408" s="2" t="n">
        <v>2</v>
      </c>
      <c r="E4408" s="2" t="n">
        <v>1</v>
      </c>
      <c r="F4408" s="2" t="n">
        <v>65</v>
      </c>
      <c r="G4408" s="2" t="s">
        <v>1532</v>
      </c>
      <c r="H4408" s="2" t="str">
        <f aca="false">IFERROR(__xludf.dummyfunction("IF(I4455="""", """", REGEXEXTRACT(I4455, ""Padrao/([^/]+)""))"),"Jardim Botanico")</f>
        <v>Jardim Botanico</v>
      </c>
    </row>
    <row r="4409" customFormat="false" ht="15.75" hidden="false" customHeight="false" outlineLevel="0" collapsed="false">
      <c r="A4409" s="2" t="n">
        <v>181220</v>
      </c>
      <c r="B4409" s="2" t="s">
        <v>3574</v>
      </c>
      <c r="C4409" s="2" t="n">
        <v>2</v>
      </c>
      <c r="D4409" s="2" t="n">
        <v>3</v>
      </c>
      <c r="E4409" s="2" t="n">
        <v>2</v>
      </c>
      <c r="F4409" s="2" t="n">
        <v>64</v>
      </c>
      <c r="G4409" s="2" t="s">
        <v>1532</v>
      </c>
      <c r="H4409" s="2" t="str">
        <f aca="false">IFERROR(__xludf.dummyfunction("IF(I4456="""", """", REGEXEXTRACT(I4456, ""Padrao/([^/]+)""))"),"Jardim Botanico")</f>
        <v>Jardim Botanico</v>
      </c>
    </row>
    <row r="4410" customFormat="false" ht="15.75" hidden="false" customHeight="false" outlineLevel="0" collapsed="false">
      <c r="A4410" s="2" t="n">
        <v>166772</v>
      </c>
      <c r="B4410" s="2" t="s">
        <v>961</v>
      </c>
      <c r="C4410" s="2" t="n">
        <v>3</v>
      </c>
      <c r="D4410" s="2" t="n">
        <v>3</v>
      </c>
      <c r="E4410" s="2" t="n">
        <v>1</v>
      </c>
      <c r="F4410" s="2" t="n">
        <v>132</v>
      </c>
      <c r="G4410" s="2" t="s">
        <v>1532</v>
      </c>
      <c r="H4410" s="2" t="str">
        <f aca="false">IFERROR(__xludf.dummyfunction("IF(I4457="""", """", REGEXEXTRACT(I4457, ""Padrao/([^/]+)""))"),"Vila Seixas")</f>
        <v>Vila Seixas</v>
      </c>
    </row>
    <row r="4411" customFormat="false" ht="15.75" hidden="false" customHeight="false" outlineLevel="0" collapsed="false">
      <c r="A4411" s="2" t="n">
        <v>129113</v>
      </c>
      <c r="B4411" s="2" t="s">
        <v>3436</v>
      </c>
      <c r="C4411" s="2" t="n">
        <v>3</v>
      </c>
      <c r="D4411" s="2" t="n">
        <v>2</v>
      </c>
      <c r="E4411" s="2" t="n">
        <v>2</v>
      </c>
      <c r="F4411" s="2" t="n">
        <v>80</v>
      </c>
      <c r="G4411" s="2" t="s">
        <v>1501</v>
      </c>
      <c r="H4411" s="2" t="str">
        <f aca="false">IFERROR(__xludf.dummyfunction("IF(I4458="""", """", REGEXEXTRACT(I4458, ""Padrao/([^/]+)""))"),"Vila Tiberio")</f>
        <v>Vila Tiberio</v>
      </c>
    </row>
    <row r="4412" customFormat="false" ht="15.75" hidden="false" customHeight="false" outlineLevel="0" collapsed="false">
      <c r="A4412" s="2" t="n">
        <v>240875</v>
      </c>
      <c r="B4412" s="2" t="s">
        <v>3575</v>
      </c>
      <c r="C4412" s="2" t="n">
        <v>2</v>
      </c>
      <c r="D4412" s="2" t="n">
        <v>2</v>
      </c>
      <c r="E4412" s="2" t="n">
        <v>1</v>
      </c>
      <c r="F4412" s="2" t="n">
        <v>62</v>
      </c>
      <c r="G4412" s="2" t="s">
        <v>639</v>
      </c>
      <c r="H4412" s="2" t="str">
        <f aca="false">IFERROR(__xludf.dummyfunction("IF(I4459="""", """", REGEXEXTRACT(I4459, ""Padrao/([^/]+)""))"),"Loteamento Santa Marta")</f>
        <v>Loteamento Santa Marta</v>
      </c>
    </row>
    <row r="4413" customFormat="false" ht="15.75" hidden="false" customHeight="false" outlineLevel="0" collapsed="false">
      <c r="A4413" s="2" t="n">
        <v>205625</v>
      </c>
      <c r="B4413" s="2" t="s">
        <v>3379</v>
      </c>
      <c r="C4413" s="2" t="n">
        <v>3</v>
      </c>
      <c r="D4413" s="2" t="n">
        <v>3</v>
      </c>
      <c r="E4413" s="2" t="n">
        <v>2</v>
      </c>
      <c r="F4413" s="2" t="n">
        <v>99</v>
      </c>
      <c r="G4413" s="2" t="s">
        <v>639</v>
      </c>
      <c r="H4413" s="2" t="str">
        <f aca="false">IFERROR(__xludf.dummyfunction("IF(I4460="""", """", REGEXEXTRACT(I4460, ""Padrao/([^/]+)""))"),"Vila Tiberio")</f>
        <v>Vila Tiberio</v>
      </c>
    </row>
    <row r="4414" customFormat="false" ht="15.75" hidden="false" customHeight="false" outlineLevel="0" collapsed="false">
      <c r="A4414" s="2" t="n">
        <v>150980</v>
      </c>
      <c r="B4414" s="2" t="s">
        <v>3576</v>
      </c>
      <c r="C4414" s="2" t="n">
        <v>3</v>
      </c>
      <c r="D4414" s="2" t="n">
        <v>2</v>
      </c>
      <c r="E4414" s="2" t="n">
        <v>1</v>
      </c>
      <c r="F4414" s="2" t="n">
        <v>67</v>
      </c>
      <c r="G4414" s="2" t="s">
        <v>1468</v>
      </c>
      <c r="H4414" s="2" t="str">
        <f aca="false">IFERROR(__xludf.dummyfunction("IF(I4461="""", """", REGEXEXTRACT(I4461, ""Padrao/([^/]+)""))"),"Alto da Boa Vista")</f>
        <v>Alto da Boa Vista</v>
      </c>
    </row>
    <row r="4415" customFormat="false" ht="15.75" hidden="false" customHeight="false" outlineLevel="0" collapsed="false">
      <c r="A4415" s="2" t="n">
        <v>245189</v>
      </c>
      <c r="B4415" s="2" t="s">
        <v>3577</v>
      </c>
      <c r="C4415" s="2" t="n">
        <v>2</v>
      </c>
      <c r="D4415" s="2" t="n">
        <v>2</v>
      </c>
      <c r="E4415" s="2" t="n">
        <v>1</v>
      </c>
      <c r="F4415" s="2" t="n">
        <v>53</v>
      </c>
      <c r="G4415" s="2" t="s">
        <v>1509</v>
      </c>
      <c r="H4415" s="2" t="str">
        <f aca="false">IFERROR(__xludf.dummyfunction("IF(I4462="""", """", REGEXEXTRACT(I4462, ""Padrao/([^/]+)""))"),"Alto da Boa Vista")</f>
        <v>Alto da Boa Vista</v>
      </c>
    </row>
    <row r="4416" customFormat="false" ht="15.75" hidden="false" customHeight="false" outlineLevel="0" collapsed="false">
      <c r="A4416" s="2" t="n">
        <v>224537</v>
      </c>
      <c r="B4416" s="2" t="s">
        <v>3575</v>
      </c>
      <c r="C4416" s="2" t="n">
        <v>2</v>
      </c>
      <c r="D4416" s="2" t="n">
        <v>2</v>
      </c>
      <c r="E4416" s="2" t="n">
        <v>1</v>
      </c>
      <c r="F4416" s="2" t="n">
        <v>62</v>
      </c>
      <c r="G4416" s="2" t="s">
        <v>1509</v>
      </c>
      <c r="H4416" s="2" t="str">
        <f aca="false">IFERROR(__xludf.dummyfunction("IF(I4463="""", """", REGEXEXTRACT(I4463, ""Padrao/([^/]+)""))"),"Loteamento Santa Marta")</f>
        <v>Loteamento Santa Marta</v>
      </c>
    </row>
    <row r="4417" customFormat="false" ht="15.75" hidden="false" customHeight="false" outlineLevel="0" collapsed="false">
      <c r="A4417" s="2" t="n">
        <v>221354</v>
      </c>
      <c r="B4417" s="2" t="s">
        <v>3578</v>
      </c>
      <c r="C4417" s="2" t="n">
        <v>2</v>
      </c>
      <c r="D4417" s="2" t="n">
        <v>2</v>
      </c>
      <c r="E4417" s="2" t="n">
        <v>1</v>
      </c>
      <c r="F4417" s="2" t="n">
        <v>58</v>
      </c>
      <c r="G4417" s="2" t="s">
        <v>1509</v>
      </c>
      <c r="H4417" s="2" t="str">
        <f aca="false">IFERROR(__xludf.dummyfunction("IF(I4464="""", """", REGEXEXTRACT(I4464, ""Padrao/([^/]+)""))"),"Quintas de Sao Jose")</f>
        <v>Quintas de Sao Jose</v>
      </c>
    </row>
    <row r="4418" customFormat="false" ht="15.75" hidden="false" customHeight="false" outlineLevel="0" collapsed="false">
      <c r="A4418" s="2" t="n">
        <v>219179</v>
      </c>
      <c r="B4418" s="2" t="s">
        <v>3578</v>
      </c>
      <c r="C4418" s="2" t="n">
        <v>2</v>
      </c>
      <c r="D4418" s="2" t="n">
        <v>2</v>
      </c>
      <c r="E4418" s="2" t="n">
        <v>1</v>
      </c>
      <c r="F4418" s="2" t="n">
        <v>58</v>
      </c>
      <c r="G4418" s="2" t="s">
        <v>1509</v>
      </c>
      <c r="H4418" s="2" t="str">
        <f aca="false">IFERROR(__xludf.dummyfunction("IF(I4465="""", """", REGEXEXTRACT(I4465, ""Padrao/([^/]+)""))"),"Quintas de Sao Jose")</f>
        <v>Quintas de Sao Jose</v>
      </c>
    </row>
    <row r="4419" customFormat="false" ht="15.75" hidden="false" customHeight="false" outlineLevel="0" collapsed="false">
      <c r="A4419" s="2" t="n">
        <v>202997</v>
      </c>
      <c r="B4419" s="2" t="s">
        <v>3579</v>
      </c>
      <c r="C4419" s="2" t="n">
        <v>4</v>
      </c>
      <c r="D4419" s="2" t="n">
        <v>4</v>
      </c>
      <c r="E4419" s="2" t="n">
        <v>1</v>
      </c>
      <c r="F4419" s="2" t="n">
        <v>141</v>
      </c>
      <c r="G4419" s="2" t="s">
        <v>1509</v>
      </c>
      <c r="H4419" s="2" t="str">
        <f aca="false">IFERROR(__xludf.dummyfunction("IF(I4466="""", """", REGEXEXTRACT(I4466, ""Padrao/([^/]+)""))"),"Centro")</f>
        <v>Centro</v>
      </c>
    </row>
    <row r="4420" customFormat="false" ht="15.75" hidden="false" customHeight="false" outlineLevel="0" collapsed="false">
      <c r="A4420" s="2" t="n">
        <v>201131</v>
      </c>
      <c r="B4420" s="2" t="s">
        <v>3580</v>
      </c>
      <c r="C4420" s="2" t="n">
        <v>2</v>
      </c>
      <c r="D4420" s="2" t="n">
        <v>2</v>
      </c>
      <c r="E4420" s="2" t="n">
        <v>1</v>
      </c>
      <c r="F4420" s="2" t="n">
        <v>69</v>
      </c>
      <c r="G4420" s="2" t="s">
        <v>1509</v>
      </c>
      <c r="H4420" s="2" t="str">
        <f aca="false">IFERROR(__xludf.dummyfunction("IF(I4467="""", """", REGEXEXTRACT(I4467, ""Padrao/([^/]+)""))"),"Vila Ana Maria")</f>
        <v>Vila Ana Maria</v>
      </c>
    </row>
    <row r="4421" customFormat="false" ht="15.75" hidden="false" customHeight="false" outlineLevel="0" collapsed="false">
      <c r="A4421" s="2" t="n">
        <v>199271</v>
      </c>
      <c r="B4421" s="2" t="s">
        <v>2325</v>
      </c>
      <c r="C4421" s="2" t="n">
        <v>2</v>
      </c>
      <c r="D4421" s="2" t="n">
        <v>2</v>
      </c>
      <c r="E4421" s="2" t="n">
        <v>1</v>
      </c>
      <c r="F4421" s="2" t="n">
        <v>96</v>
      </c>
      <c r="G4421" s="2" t="s">
        <v>1509</v>
      </c>
      <c r="H4421" s="2" t="str">
        <f aca="false">IFERROR(__xludf.dummyfunction("IF(I4468="""", """", REGEXEXTRACT(I4468, ""Padrao/([^/]+)""))"),"Centro")</f>
        <v>Centro</v>
      </c>
    </row>
    <row r="4422" customFormat="false" ht="15.75" hidden="false" customHeight="false" outlineLevel="0" collapsed="false">
      <c r="A4422" s="2" t="n">
        <v>170717</v>
      </c>
      <c r="B4422" s="2" t="s">
        <v>3581</v>
      </c>
      <c r="C4422" s="2" t="n">
        <v>1</v>
      </c>
      <c r="D4422" s="2" t="n">
        <v>2</v>
      </c>
      <c r="E4422" s="2" t="n">
        <v>1</v>
      </c>
      <c r="F4422" s="2" t="n">
        <v>45</v>
      </c>
      <c r="G4422" s="2" t="s">
        <v>1509</v>
      </c>
      <c r="H4422" s="2" t="str">
        <f aca="false">IFERROR(__xludf.dummyfunction("IF(I4469="""", """", REGEXEXTRACT(I4469, ""Padrao/([^/]+)""))"),"Nova Ribeirania")</f>
        <v>Nova Ribeirania</v>
      </c>
    </row>
    <row r="4423" customFormat="false" ht="15.75" hidden="false" customHeight="false" outlineLevel="0" collapsed="false">
      <c r="A4423" s="2" t="n">
        <v>170471</v>
      </c>
      <c r="B4423" s="2" t="s">
        <v>602</v>
      </c>
      <c r="C4423" s="2" t="n">
        <v>4</v>
      </c>
      <c r="D4423" s="2" t="n">
        <v>4</v>
      </c>
      <c r="E4423" s="2" t="n">
        <v>2</v>
      </c>
      <c r="F4423" s="2" t="n">
        <v>59</v>
      </c>
      <c r="G4423" s="2" t="s">
        <v>1509</v>
      </c>
      <c r="H4423" s="2" t="str">
        <f aca="false">IFERROR(__xludf.dummyfunction("IF(I4470="""", """", REGEXEXTRACT(I4470, ""Padrao/([^/]+)""))"),"Centro")</f>
        <v>Centro</v>
      </c>
    </row>
    <row r="4424" customFormat="false" ht="15.75" hidden="false" customHeight="false" outlineLevel="0" collapsed="false">
      <c r="A4424" s="2" t="n">
        <v>167078</v>
      </c>
      <c r="B4424" s="2" t="s">
        <v>3035</v>
      </c>
      <c r="C4424" s="2" t="n">
        <v>3</v>
      </c>
      <c r="D4424" s="2" t="n">
        <v>2</v>
      </c>
      <c r="E4424" s="2" t="n">
        <v>1</v>
      </c>
      <c r="F4424" s="2" t="n">
        <v>89</v>
      </c>
      <c r="G4424" s="2" t="s">
        <v>1509</v>
      </c>
      <c r="H4424" s="2" t="str">
        <f aca="false">IFERROR(__xludf.dummyfunction("IF(I4471="""", """", REGEXEXTRACT(I4471, ""Padrao/([^/]+)""))"),"Independencia")</f>
        <v>Independencia</v>
      </c>
    </row>
    <row r="4425" customFormat="false" ht="15.75" hidden="false" customHeight="false" outlineLevel="0" collapsed="false">
      <c r="A4425" s="2" t="n">
        <v>163013</v>
      </c>
      <c r="B4425" s="2" t="s">
        <v>3582</v>
      </c>
      <c r="C4425" s="2" t="n">
        <v>2</v>
      </c>
      <c r="D4425" s="2" t="n">
        <v>2</v>
      </c>
      <c r="E4425" s="2" t="n">
        <v>1</v>
      </c>
      <c r="F4425" s="2" t="n">
        <v>93</v>
      </c>
      <c r="G4425" s="2" t="s">
        <v>1509</v>
      </c>
      <c r="H4425" s="2" t="str">
        <f aca="false">IFERROR(__xludf.dummyfunction("IF(I4472="""", """", REGEXEXTRACT(I4472, ""Padrao/([^/]+)""))"),"Sumarezinho")</f>
        <v>Sumarezinho</v>
      </c>
    </row>
    <row r="4426" customFormat="false" ht="15.75" hidden="false" customHeight="false" outlineLevel="0" collapsed="false">
      <c r="A4426" s="2" t="n">
        <v>155624</v>
      </c>
      <c r="B4426" s="2" t="s">
        <v>2578</v>
      </c>
      <c r="C4426" s="2" t="n">
        <v>1</v>
      </c>
      <c r="D4426" s="2" t="n">
        <v>1</v>
      </c>
      <c r="E4426" s="2" t="n">
        <v>1</v>
      </c>
      <c r="F4426" s="2" t="n">
        <v>37</v>
      </c>
      <c r="G4426" s="2" t="s">
        <v>1509</v>
      </c>
      <c r="H4426" s="2" t="str">
        <f aca="false">IFERROR(__xludf.dummyfunction("IF(I4473="""", """", REGEXEXTRACT(I4473, ""Padrao/([^/]+)""))"),"City Ribeirao")</f>
        <v>City Ribeirao</v>
      </c>
    </row>
    <row r="4427" customFormat="false" ht="15.75" hidden="false" customHeight="false" outlineLevel="0" collapsed="false">
      <c r="A4427" s="2" t="n">
        <v>227402</v>
      </c>
      <c r="B4427" s="2" t="s">
        <v>3215</v>
      </c>
      <c r="C4427" s="2" t="n">
        <v>2</v>
      </c>
      <c r="D4427" s="2" t="n">
        <v>1</v>
      </c>
      <c r="E4427" s="2" t="n">
        <v>1</v>
      </c>
      <c r="F4427" s="2" t="n">
        <v>55</v>
      </c>
      <c r="G4427" s="2" t="s">
        <v>3583</v>
      </c>
      <c r="H4427" s="2" t="str">
        <f aca="false">IFERROR(__xludf.dummyfunction("IF(I4474="""", """", REGEXEXTRACT(I4474, ""Padrao/([^/]+)""))"),"Iguatemi")</f>
        <v>Iguatemi</v>
      </c>
    </row>
    <row r="4428" customFormat="false" ht="15.75" hidden="false" customHeight="false" outlineLevel="0" collapsed="false">
      <c r="A4428" s="2" t="n">
        <v>184946</v>
      </c>
      <c r="B4428" s="2" t="s">
        <v>3584</v>
      </c>
      <c r="C4428" s="2" t="n">
        <v>2</v>
      </c>
      <c r="D4428" s="2" t="n">
        <v>1</v>
      </c>
      <c r="E4428" s="2" t="n">
        <v>1</v>
      </c>
      <c r="F4428" s="2" t="n">
        <v>60</v>
      </c>
      <c r="G4428" s="2" t="s">
        <v>3585</v>
      </c>
      <c r="H4428" s="2" t="str">
        <f aca="false">IFERROR(__xludf.dummyfunction("IF(I4475="""", """", REGEXEXTRACT(I4475, ""Padrao/([^/]+)""))"),"Jardim Paulista")</f>
        <v>Jardim Paulista</v>
      </c>
    </row>
    <row r="4429" customFormat="false" ht="15.75" hidden="false" customHeight="false" outlineLevel="0" collapsed="false">
      <c r="A4429" s="2" t="n">
        <v>170936</v>
      </c>
      <c r="B4429" s="2" t="s">
        <v>3068</v>
      </c>
      <c r="C4429" s="2" t="n">
        <v>2</v>
      </c>
      <c r="D4429" s="2" t="n">
        <v>1</v>
      </c>
      <c r="E4429" s="2" t="n">
        <v>1</v>
      </c>
      <c r="F4429" s="2" t="n">
        <v>77</v>
      </c>
      <c r="G4429" s="2" t="s">
        <v>3586</v>
      </c>
      <c r="H4429" s="2" t="str">
        <f aca="false">IFERROR(__xludf.dummyfunction("IF(I4476="""", """", REGEXEXTRACT(I4476, ""Padrao/([^/]+)""))"),"Vila Virginia")</f>
        <v>Vila Virginia</v>
      </c>
    </row>
    <row r="4430" customFormat="false" ht="15.75" hidden="false" customHeight="false" outlineLevel="0" collapsed="false">
      <c r="A4430" s="2" t="n">
        <v>151361</v>
      </c>
      <c r="B4430" s="2" t="s">
        <v>3587</v>
      </c>
      <c r="C4430" s="2" t="n">
        <v>3</v>
      </c>
      <c r="D4430" s="2" t="n">
        <v>4</v>
      </c>
      <c r="E4430" s="2" t="n">
        <v>1</v>
      </c>
      <c r="F4430" s="2" t="n">
        <v>123</v>
      </c>
      <c r="G4430" s="2" t="s">
        <v>1468</v>
      </c>
      <c r="H4430" s="2" t="str">
        <f aca="false">IFERROR(__xludf.dummyfunction("IF(I4477="""", """", REGEXEXTRACT(I4477, ""Padrao/([^/]+)""))"),"Centro")</f>
        <v>Centro</v>
      </c>
    </row>
    <row r="4431" customFormat="false" ht="15.75" hidden="false" customHeight="false" outlineLevel="0" collapsed="false">
      <c r="A4431" s="2" t="n">
        <v>245291</v>
      </c>
      <c r="B4431" s="2" t="s">
        <v>3588</v>
      </c>
      <c r="C4431" s="2" t="n">
        <v>2</v>
      </c>
      <c r="D4431" s="2" t="n">
        <v>2</v>
      </c>
      <c r="E4431" s="2" t="n">
        <v>1</v>
      </c>
      <c r="F4431" s="2" t="n">
        <v>58</v>
      </c>
      <c r="G4431" s="2" t="s">
        <v>3589</v>
      </c>
      <c r="H4431" s="2" t="str">
        <f aca="false">IFERROR(__xludf.dummyfunction("IF(I4478="""", """", REGEXEXTRACT(I4478, ""Padrao/([^/]+)""))"),"Nova Alianca")</f>
        <v>Nova Alianca</v>
      </c>
    </row>
    <row r="4432" customFormat="false" ht="15.75" hidden="false" customHeight="false" outlineLevel="0" collapsed="false">
      <c r="A4432" s="2" t="n">
        <v>241625</v>
      </c>
      <c r="B4432" s="2" t="s">
        <v>3590</v>
      </c>
      <c r="C4432" s="2" t="n">
        <v>2</v>
      </c>
      <c r="D4432" s="2" t="n">
        <v>1</v>
      </c>
      <c r="E4432" s="2" t="n">
        <v>1</v>
      </c>
      <c r="F4432" s="2" t="n">
        <v>57</v>
      </c>
      <c r="G4432" s="2" t="s">
        <v>3589</v>
      </c>
      <c r="H4432" s="2" t="str">
        <f aca="false">IFERROR(__xludf.dummyfunction("IF(I4479="""", """", REGEXEXTRACT(I4479, ""Padrao/([^/]+)""))"),"Quinta da Primavera")</f>
        <v>Quinta da Primavera</v>
      </c>
    </row>
    <row r="4433" customFormat="false" ht="15.75" hidden="false" customHeight="false" outlineLevel="0" collapsed="false">
      <c r="A4433" s="2" t="n">
        <v>214436</v>
      </c>
      <c r="B4433" s="2" t="s">
        <v>3591</v>
      </c>
      <c r="C4433" s="2" t="n">
        <v>3</v>
      </c>
      <c r="D4433" s="2" t="n">
        <v>2</v>
      </c>
      <c r="E4433" s="2" t="n">
        <v>1</v>
      </c>
      <c r="F4433" s="2" t="n">
        <v>65</v>
      </c>
      <c r="G4433" s="2" t="s">
        <v>3589</v>
      </c>
      <c r="H4433" s="2" t="str">
        <f aca="false">IFERROR(__xludf.dummyfunction("IF(I4480="""", """", REGEXEXTRACT(I4480, ""Padrao/([^/]+)""))"),"Sumarezinho")</f>
        <v>Sumarezinho</v>
      </c>
    </row>
    <row r="4434" customFormat="false" ht="15.75" hidden="false" customHeight="false" outlineLevel="0" collapsed="false">
      <c r="A4434" s="2" t="n">
        <v>181952</v>
      </c>
      <c r="B4434" s="2" t="s">
        <v>1671</v>
      </c>
      <c r="C4434" s="2" t="n">
        <v>3</v>
      </c>
      <c r="D4434" s="2" t="n">
        <v>3</v>
      </c>
      <c r="E4434" s="2" t="n">
        <v>1</v>
      </c>
      <c r="F4434" s="2" t="n">
        <v>100</v>
      </c>
      <c r="G4434" s="2" t="s">
        <v>3589</v>
      </c>
      <c r="H4434" s="2" t="str">
        <f aca="false">IFERROR(__xludf.dummyfunction("IF(I4481="""", """", REGEXEXTRACT(I4481, ""Padrao/([^/]+)""))"),"Centro")</f>
        <v>Centro</v>
      </c>
    </row>
    <row r="4435" customFormat="false" ht="15.75" hidden="false" customHeight="false" outlineLevel="0" collapsed="false">
      <c r="A4435" s="2" t="n">
        <v>177464</v>
      </c>
      <c r="B4435" s="2" t="s">
        <v>1648</v>
      </c>
      <c r="C4435" s="2" t="n">
        <v>2</v>
      </c>
      <c r="D4435" s="2" t="n">
        <v>2</v>
      </c>
      <c r="E4435" s="2" t="n">
        <v>1</v>
      </c>
      <c r="F4435" s="2" t="n">
        <v>57</v>
      </c>
      <c r="G4435" s="2" t="s">
        <v>3589</v>
      </c>
      <c r="H4435" s="2" t="str">
        <f aca="false">IFERROR(__xludf.dummyfunction("IF(I4482="""", """", REGEXEXTRACT(I4482, ""Padrao/([^/]+)""))"),"Nova Alianca")</f>
        <v>Nova Alianca</v>
      </c>
    </row>
    <row r="4436" customFormat="false" ht="15.75" hidden="false" customHeight="false" outlineLevel="0" collapsed="false">
      <c r="A4436" s="2" t="n">
        <v>164360</v>
      </c>
      <c r="B4436" s="2" t="s">
        <v>3592</v>
      </c>
      <c r="C4436" s="2" t="n">
        <v>3</v>
      </c>
      <c r="D4436" s="2" t="n">
        <v>2</v>
      </c>
      <c r="E4436" s="2" t="n">
        <v>1</v>
      </c>
      <c r="F4436" s="2" t="n">
        <v>105</v>
      </c>
      <c r="G4436" s="2" t="s">
        <v>3589</v>
      </c>
      <c r="H4436" s="2" t="str">
        <f aca="false">IFERROR(__xludf.dummyfunction("IF(I4483="""", """", REGEXEXTRACT(I4483, ""Padrao/([^/]+)""))"),"Jardim Palma Travassos")</f>
        <v>Jardim Palma Travassos</v>
      </c>
    </row>
    <row r="4437" customFormat="false" ht="15.75" hidden="false" customHeight="false" outlineLevel="0" collapsed="false">
      <c r="A4437" s="2" t="n">
        <v>151934</v>
      </c>
      <c r="B4437" s="2" t="s">
        <v>3593</v>
      </c>
      <c r="C4437" s="2" t="n">
        <v>2</v>
      </c>
      <c r="D4437" s="2" t="n">
        <v>2</v>
      </c>
      <c r="E4437" s="2" t="n">
        <v>2</v>
      </c>
      <c r="F4437" s="2" t="n">
        <v>70</v>
      </c>
      <c r="G4437" s="2" t="s">
        <v>3589</v>
      </c>
      <c r="H4437" s="2" t="str">
        <f aca="false">IFERROR(__xludf.dummyfunction("IF(I4484="""", """", REGEXEXTRACT(I4484, ""Padrao/([^/]+)""))"),"Jardim Macedo")</f>
        <v>Jardim Macedo</v>
      </c>
    </row>
    <row r="4438" customFormat="false" ht="15.75" hidden="false" customHeight="false" outlineLevel="0" collapsed="false">
      <c r="A4438" s="2" t="n">
        <v>88514</v>
      </c>
      <c r="B4438" s="2" t="s">
        <v>3594</v>
      </c>
      <c r="C4438" s="2" t="n">
        <v>2</v>
      </c>
      <c r="D4438" s="2" t="n">
        <v>3</v>
      </c>
      <c r="E4438" s="2" t="n">
        <v>2</v>
      </c>
      <c r="F4438" s="2" t="n">
        <v>66</v>
      </c>
      <c r="G4438" s="2" t="s">
        <v>3589</v>
      </c>
      <c r="H4438" s="2" t="str">
        <f aca="false">IFERROR(__xludf.dummyfunction("IF(I4486="""", """", REGEXEXTRACT(I4486, ""Padrao/([^/]+)""))"),"Jardim Botanico")</f>
        <v>Jardim Botanico</v>
      </c>
    </row>
    <row r="4439" customFormat="false" ht="15.75" hidden="false" customHeight="false" outlineLevel="0" collapsed="false">
      <c r="A4439" s="2" t="n">
        <v>160772</v>
      </c>
      <c r="B4439" s="2" t="s">
        <v>3252</v>
      </c>
      <c r="C4439" s="2" t="n">
        <v>2</v>
      </c>
      <c r="D4439" s="2" t="n">
        <v>2</v>
      </c>
      <c r="E4439" s="2" t="n">
        <v>1</v>
      </c>
      <c r="F4439" s="2" t="n">
        <v>56</v>
      </c>
      <c r="G4439" s="2" t="s">
        <v>3595</v>
      </c>
      <c r="H4439" s="2" t="str">
        <f aca="false">IFERROR(__xludf.dummyfunction("IF(I4487="""", """", REGEXEXTRACT(I4487, ""Padrao/([^/]+)""))"),"Alto da Boa Vista")</f>
        <v>Alto da Boa Vista</v>
      </c>
    </row>
    <row r="4440" customFormat="false" ht="15.75" hidden="false" customHeight="false" outlineLevel="0" collapsed="false">
      <c r="A4440" s="2" t="n">
        <v>241640</v>
      </c>
      <c r="B4440" s="2" t="s">
        <v>3596</v>
      </c>
      <c r="C4440" s="2" t="n">
        <v>3</v>
      </c>
      <c r="D4440" s="2" t="n">
        <v>2</v>
      </c>
      <c r="E4440" s="2" t="n">
        <v>1</v>
      </c>
      <c r="F4440" s="2" t="n">
        <v>67</v>
      </c>
      <c r="G4440" s="2" t="s">
        <v>3597</v>
      </c>
      <c r="H4440" s="2" t="str">
        <f aca="false">IFERROR(__xludf.dummyfunction("IF(I4488="""", """", REGEXEXTRACT(I4488, ""Padrao/([^/]+)""))"),"Alto da Boa Vista")</f>
        <v>Alto da Boa Vista</v>
      </c>
    </row>
    <row r="4441" customFormat="false" ht="15.75" hidden="false" customHeight="false" outlineLevel="0" collapsed="false">
      <c r="A4441" s="2" t="n">
        <v>164798</v>
      </c>
      <c r="B4441" s="2" t="s">
        <v>3598</v>
      </c>
      <c r="C4441" s="2" t="n">
        <v>2</v>
      </c>
      <c r="D4441" s="2" t="n">
        <v>2</v>
      </c>
      <c r="E4441" s="2" t="n">
        <v>1</v>
      </c>
      <c r="F4441" s="2" t="n">
        <v>55</v>
      </c>
      <c r="G4441" s="2" t="s">
        <v>639</v>
      </c>
      <c r="H4441" s="2" t="str">
        <f aca="false">IFERROR(__xludf.dummyfunction("IF(I4489="""", """", REGEXEXTRACT(I4489, ""Padrao/([^/]+)""))"),"Jardim Botanico")</f>
        <v>Jardim Botanico</v>
      </c>
    </row>
    <row r="4442" customFormat="false" ht="15.75" hidden="false" customHeight="false" outlineLevel="0" collapsed="false">
      <c r="A4442" s="2" t="n">
        <v>114716</v>
      </c>
      <c r="B4442" s="2" t="s">
        <v>162</v>
      </c>
      <c r="C4442" s="2" t="n">
        <v>3</v>
      </c>
      <c r="D4442" s="2" t="n">
        <v>4</v>
      </c>
      <c r="E4442" s="2" t="n">
        <v>1</v>
      </c>
      <c r="F4442" s="2" t="n">
        <v>160</v>
      </c>
      <c r="G4442" s="2" t="s">
        <v>1501</v>
      </c>
      <c r="H4442" s="2" t="str">
        <f aca="false">IFERROR(__xludf.dummyfunction("IF(I4491="""", """", REGEXEXTRACT(I4491, ""Padrao/([^/]+)""))"),"Centro")</f>
        <v>Centro</v>
      </c>
    </row>
    <row r="4443" customFormat="false" ht="15.75" hidden="false" customHeight="false" outlineLevel="0" collapsed="false">
      <c r="A4443" s="2" t="n">
        <v>235469</v>
      </c>
      <c r="B4443" s="2" t="s">
        <v>3599</v>
      </c>
      <c r="C4443" s="2" t="n">
        <v>2</v>
      </c>
      <c r="D4443" s="2" t="n">
        <v>2</v>
      </c>
      <c r="E4443" s="2" t="n">
        <v>1</v>
      </c>
      <c r="F4443" s="2" t="n">
        <v>70</v>
      </c>
      <c r="G4443" s="2" t="s">
        <v>1468</v>
      </c>
      <c r="H4443" s="2" t="str">
        <f aca="false">IFERROR(__xludf.dummyfunction("IF(I4492="""", """", REGEXEXTRACT(I4492, ""Padrao/([^/]+)""))"),"Jardim Sao Luiz")</f>
        <v>Jardim Sao Luiz</v>
      </c>
    </row>
    <row r="4444" customFormat="false" ht="15.75" hidden="false" customHeight="false" outlineLevel="0" collapsed="false">
      <c r="A4444" s="2" t="n">
        <v>137588</v>
      </c>
      <c r="B4444" s="2" t="s">
        <v>3600</v>
      </c>
      <c r="C4444" s="2" t="n">
        <v>3</v>
      </c>
      <c r="D4444" s="2" t="n">
        <v>2</v>
      </c>
      <c r="E4444" s="2" t="n">
        <v>1</v>
      </c>
      <c r="F4444" s="2" t="n">
        <v>109</v>
      </c>
      <c r="G4444" s="2" t="s">
        <v>1468</v>
      </c>
      <c r="H4444" s="2" t="str">
        <f aca="false">IFERROR(__xludf.dummyfunction("IF(I4493="""", """", REGEXEXTRACT(I4493, ""Padrao/([^/]+)""))"),"Jardim Iraja")</f>
        <v>Jardim Iraja</v>
      </c>
    </row>
    <row r="4445" customFormat="false" ht="15.75" hidden="false" customHeight="false" outlineLevel="0" collapsed="false">
      <c r="A4445" s="2" t="n">
        <v>241310</v>
      </c>
      <c r="B4445" s="2" t="s">
        <v>3601</v>
      </c>
      <c r="C4445" s="2" t="n">
        <v>3</v>
      </c>
      <c r="D4445" s="2" t="n">
        <v>4</v>
      </c>
      <c r="E4445" s="2" t="n">
        <v>1</v>
      </c>
      <c r="F4445" s="2" t="n">
        <v>116</v>
      </c>
      <c r="G4445" s="2" t="s">
        <v>644</v>
      </c>
      <c r="H4445" s="2" t="str">
        <f aca="false">IFERROR(__xludf.dummyfunction("IF(I4494="""", """", REGEXEXTRACT(I4494, ""Padrao/([^/]+)""))"),"Centro")</f>
        <v>Centro</v>
      </c>
    </row>
    <row r="4446" customFormat="false" ht="15.75" hidden="false" customHeight="false" outlineLevel="0" collapsed="false">
      <c r="A4446" s="2" t="n">
        <v>239645</v>
      </c>
      <c r="B4446" s="2" t="s">
        <v>3602</v>
      </c>
      <c r="C4446" s="2" t="n">
        <v>3</v>
      </c>
      <c r="D4446" s="2" t="n">
        <v>4</v>
      </c>
      <c r="E4446" s="2" t="n">
        <v>1</v>
      </c>
      <c r="F4446" s="2" t="n">
        <v>142</v>
      </c>
      <c r="G4446" s="2" t="s">
        <v>644</v>
      </c>
      <c r="H4446" s="2" t="str">
        <f aca="false">IFERROR(__xludf.dummyfunction("IF(I4495="""", """", REGEXEXTRACT(I4495, ""Padrao/([^/]+)""))"),"Centro")</f>
        <v>Centro</v>
      </c>
    </row>
    <row r="4447" customFormat="false" ht="15.75" hidden="false" customHeight="false" outlineLevel="0" collapsed="false">
      <c r="A4447" s="2" t="n">
        <v>238295</v>
      </c>
      <c r="B4447" s="2" t="s">
        <v>3603</v>
      </c>
      <c r="C4447" s="2" t="n">
        <v>2</v>
      </c>
      <c r="D4447" s="2" t="n">
        <v>2</v>
      </c>
      <c r="E4447" s="2" t="n">
        <v>3</v>
      </c>
      <c r="F4447" s="2" t="n">
        <v>71</v>
      </c>
      <c r="G4447" s="2" t="s">
        <v>644</v>
      </c>
      <c r="H4447" s="2" t="str">
        <f aca="false">IFERROR(__xludf.dummyfunction("IF(I4496="""", """", REGEXEXTRACT(I4496, ""Padrao/([^/]+)""))"),"Jardim Botanico")</f>
        <v>Jardim Botanico</v>
      </c>
    </row>
    <row r="4448" customFormat="false" ht="15.75" hidden="false" customHeight="false" outlineLevel="0" collapsed="false">
      <c r="A4448" s="2" t="n">
        <v>237206</v>
      </c>
      <c r="B4448" s="2" t="s">
        <v>3604</v>
      </c>
      <c r="C4448" s="2" t="n">
        <v>3</v>
      </c>
      <c r="D4448" s="2" t="n">
        <v>2</v>
      </c>
      <c r="E4448" s="2" t="n">
        <v>2</v>
      </c>
      <c r="F4448" s="2" t="n">
        <v>94</v>
      </c>
      <c r="G4448" s="2" t="s">
        <v>644</v>
      </c>
      <c r="H4448" s="2" t="str">
        <f aca="false">IFERROR(__xludf.dummyfunction("IF(I4497="""", """", REGEXEXTRACT(I4497, ""Padrao/([^/]+)""))"),"Parque dos Bandeirantes")</f>
        <v>Parque dos Bandeirantes</v>
      </c>
    </row>
    <row r="4449" customFormat="false" ht="15.75" hidden="false" customHeight="false" outlineLevel="0" collapsed="false">
      <c r="A4449" s="2" t="n">
        <v>233273</v>
      </c>
      <c r="B4449" s="2" t="s">
        <v>3605</v>
      </c>
      <c r="C4449" s="2" t="n">
        <v>1</v>
      </c>
      <c r="D4449" s="2" t="n">
        <v>1</v>
      </c>
      <c r="E4449" s="2" t="n">
        <v>1</v>
      </c>
      <c r="F4449" s="2" t="n">
        <v>58</v>
      </c>
      <c r="G4449" s="2" t="s">
        <v>644</v>
      </c>
      <c r="H4449" s="2" t="str">
        <f aca="false">IFERROR(__xludf.dummyfunction("IF(I4498="""", """", REGEXEXTRACT(I4498, ""Padrao/([^/]+)""))"),"Bosque das Juritis")</f>
        <v>Bosque das Juritis</v>
      </c>
    </row>
    <row r="4450" customFormat="false" ht="15.75" hidden="false" customHeight="false" outlineLevel="0" collapsed="false">
      <c r="A4450" s="2" t="n">
        <v>230501</v>
      </c>
      <c r="B4450" s="2" t="s">
        <v>3606</v>
      </c>
      <c r="C4450" s="2" t="n">
        <v>2</v>
      </c>
      <c r="D4450" s="2" t="n">
        <v>1</v>
      </c>
      <c r="E4450" s="2" t="n">
        <v>1</v>
      </c>
      <c r="F4450" s="2" t="n">
        <v>52</v>
      </c>
      <c r="G4450" s="2" t="s">
        <v>644</v>
      </c>
      <c r="H4450" s="2" t="str">
        <f aca="false">IFERROR(__xludf.dummyfunction("IF(I4499="""", """", REGEXEXTRACT(I4499, ""Padrao/([^/]+)""))"),"Jardim Botanico")</f>
        <v>Jardim Botanico</v>
      </c>
    </row>
    <row r="4451" customFormat="false" ht="15.75" hidden="false" customHeight="false" outlineLevel="0" collapsed="false">
      <c r="A4451" s="2" t="n">
        <v>227225</v>
      </c>
      <c r="B4451" s="2" t="s">
        <v>3607</v>
      </c>
      <c r="C4451" s="2" t="n">
        <v>2</v>
      </c>
      <c r="D4451" s="2" t="n">
        <v>2</v>
      </c>
      <c r="E4451" s="2" t="n">
        <v>1</v>
      </c>
      <c r="F4451" s="2" t="n">
        <v>80</v>
      </c>
      <c r="G4451" s="2" t="s">
        <v>644</v>
      </c>
      <c r="H4451" s="2" t="str">
        <f aca="false">IFERROR(__xludf.dummyfunction("IF(I4500="""", """", REGEXEXTRACT(I4500, ""Padrao/([^/]+)""))"),"Sumarezinho")</f>
        <v>Sumarezinho</v>
      </c>
    </row>
    <row r="4452" customFormat="false" ht="15.75" hidden="false" customHeight="false" outlineLevel="0" collapsed="false">
      <c r="A4452" s="2" t="n">
        <v>227219</v>
      </c>
      <c r="B4452" s="2" t="s">
        <v>3608</v>
      </c>
      <c r="C4452" s="2" t="n">
        <v>2</v>
      </c>
      <c r="D4452" s="2" t="n">
        <v>2</v>
      </c>
      <c r="E4452" s="2" t="n">
        <v>1</v>
      </c>
      <c r="F4452" s="2" t="n">
        <v>82</v>
      </c>
      <c r="G4452" s="2" t="s">
        <v>644</v>
      </c>
      <c r="H4452" s="2" t="str">
        <f aca="false">IFERROR(__xludf.dummyfunction("IF(I4501="""", """", REGEXEXTRACT(I4501, ""Padrao/([^/]+)""))"),"Sumarezinho")</f>
        <v>Sumarezinho</v>
      </c>
    </row>
    <row r="4453" customFormat="false" ht="15.75" hidden="false" customHeight="false" outlineLevel="0" collapsed="false">
      <c r="A4453" s="2" t="n">
        <v>221921</v>
      </c>
      <c r="B4453" s="2" t="s">
        <v>3429</v>
      </c>
      <c r="C4453" s="2" t="n">
        <v>2</v>
      </c>
      <c r="D4453" s="2" t="n">
        <v>2</v>
      </c>
      <c r="E4453" s="2" t="n">
        <v>1</v>
      </c>
      <c r="F4453" s="2" t="n">
        <v>64</v>
      </c>
      <c r="G4453" s="2" t="s">
        <v>644</v>
      </c>
      <c r="H4453" s="2" t="str">
        <f aca="false">IFERROR(__xludf.dummyfunction("IF(I4502="""", """", REGEXEXTRACT(I4502, ""Padrao/([^/]+)""))"),"Jardim Paulista")</f>
        <v>Jardim Paulista</v>
      </c>
    </row>
    <row r="4454" customFormat="false" ht="15.75" hidden="false" customHeight="false" outlineLevel="0" collapsed="false">
      <c r="A4454" s="2" t="n">
        <v>219434</v>
      </c>
      <c r="B4454" s="2" t="s">
        <v>3609</v>
      </c>
      <c r="C4454" s="2" t="n">
        <v>2</v>
      </c>
      <c r="D4454" s="2" t="n">
        <v>2</v>
      </c>
      <c r="E4454" s="2" t="n">
        <v>2</v>
      </c>
      <c r="F4454" s="2" t="n">
        <v>65</v>
      </c>
      <c r="G4454" s="2" t="s">
        <v>644</v>
      </c>
      <c r="H4454" s="2" t="str">
        <f aca="false">IFERROR(__xludf.dummyfunction("IF(I4503="""", """", REGEXEXTRACT(I4503, ""Padrao/([^/]+)""))"),"Nova Alianca")</f>
        <v>Nova Alianca</v>
      </c>
    </row>
    <row r="4455" customFormat="false" ht="15.75" hidden="false" customHeight="false" outlineLevel="0" collapsed="false">
      <c r="A4455" s="2" t="n">
        <v>219164</v>
      </c>
      <c r="B4455" s="2" t="s">
        <v>3610</v>
      </c>
      <c r="C4455" s="2" t="n">
        <v>3</v>
      </c>
      <c r="D4455" s="2" t="n">
        <v>3</v>
      </c>
      <c r="E4455" s="2" t="n">
        <v>1</v>
      </c>
      <c r="F4455" s="2" t="n">
        <v>103</v>
      </c>
      <c r="G4455" s="2" t="s">
        <v>644</v>
      </c>
      <c r="H4455" s="2" t="str">
        <f aca="false">IFERROR(__xludf.dummyfunction("IF(I4504="""", """", REGEXEXTRACT(I4504, ""Padrao/([^/]+)""))"),"Centro")</f>
        <v>Centro</v>
      </c>
    </row>
    <row r="4456" customFormat="false" ht="15.75" hidden="false" customHeight="false" outlineLevel="0" collapsed="false">
      <c r="A4456" s="2" t="n">
        <v>216884</v>
      </c>
      <c r="B4456" s="2" t="s">
        <v>3611</v>
      </c>
      <c r="C4456" s="2" t="n">
        <v>2</v>
      </c>
      <c r="D4456" s="2" t="n">
        <v>2</v>
      </c>
      <c r="E4456" s="2" t="n">
        <v>1</v>
      </c>
      <c r="F4456" s="2" t="n">
        <v>55</v>
      </c>
      <c r="G4456" s="2" t="s">
        <v>644</v>
      </c>
      <c r="H4456" s="2" t="str">
        <f aca="false">IFERROR(__xludf.dummyfunction("IF(I4505="""", """", REGEXEXTRACT(I4505, ""Padrao/([^/]+)""))"),"Residencial Monterrey")</f>
        <v>Residencial Monterrey</v>
      </c>
    </row>
    <row r="4457" customFormat="false" ht="15.75" hidden="false" customHeight="false" outlineLevel="0" collapsed="false">
      <c r="A4457" s="2" t="n">
        <v>215315</v>
      </c>
      <c r="B4457" s="2" t="s">
        <v>3612</v>
      </c>
      <c r="C4457" s="2" t="n">
        <v>3</v>
      </c>
      <c r="D4457" s="2" t="n">
        <v>3</v>
      </c>
      <c r="E4457" s="2" t="n">
        <v>2</v>
      </c>
      <c r="F4457" s="2" t="n">
        <v>132</v>
      </c>
      <c r="G4457" s="2" t="s">
        <v>644</v>
      </c>
      <c r="H4457" s="2" t="str">
        <f aca="false">IFERROR(__xludf.dummyfunction("IF(I4506="""", """", REGEXEXTRACT(I4506, ""Padrao/([^/]+)""))"),"Vila Monte Alegre")</f>
        <v>Vila Monte Alegre</v>
      </c>
    </row>
    <row r="4458" customFormat="false" ht="15.75" hidden="false" customHeight="false" outlineLevel="0" collapsed="false">
      <c r="A4458" s="2" t="n">
        <v>215036</v>
      </c>
      <c r="B4458" s="2" t="s">
        <v>3613</v>
      </c>
      <c r="C4458" s="2" t="n">
        <v>3</v>
      </c>
      <c r="D4458" s="2" t="n">
        <v>1</v>
      </c>
      <c r="E4458" s="2" t="n">
        <v>2</v>
      </c>
      <c r="F4458" s="2" t="n">
        <v>84</v>
      </c>
      <c r="G4458" s="2" t="s">
        <v>644</v>
      </c>
      <c r="H4458" s="2" t="str">
        <f aca="false">IFERROR(__xludf.dummyfunction("IF(I4507="""", """", REGEXEXTRACT(I4507, ""Padrao/([^/]+)""))"),"Republica")</f>
        <v>Republica</v>
      </c>
    </row>
    <row r="4459" customFormat="false" ht="15.75" hidden="false" customHeight="false" outlineLevel="0" collapsed="false">
      <c r="A4459" s="2" t="n">
        <v>210086</v>
      </c>
      <c r="B4459" s="2" t="s">
        <v>3614</v>
      </c>
      <c r="C4459" s="2" t="n">
        <v>3</v>
      </c>
      <c r="D4459" s="2" t="n">
        <v>3</v>
      </c>
      <c r="E4459" s="2" t="n">
        <v>1</v>
      </c>
      <c r="F4459" s="2" t="n">
        <v>90</v>
      </c>
      <c r="G4459" s="2" t="s">
        <v>644</v>
      </c>
      <c r="H4459" s="2" t="str">
        <f aca="false">IFERROR(__xludf.dummyfunction("IF(I4508="""", """", REGEXEXTRACT(I4508, ""Padrao/([^/]+)""))"),"Jardim Iraja")</f>
        <v>Jardim Iraja</v>
      </c>
    </row>
    <row r="4460" customFormat="false" ht="15.75" hidden="false" customHeight="false" outlineLevel="0" collapsed="false">
      <c r="A4460" s="2" t="n">
        <v>208259</v>
      </c>
      <c r="B4460" s="2" t="s">
        <v>3615</v>
      </c>
      <c r="C4460" s="2" t="n">
        <v>3</v>
      </c>
      <c r="D4460" s="2" t="n">
        <v>2</v>
      </c>
      <c r="E4460" s="2" t="n">
        <v>1</v>
      </c>
      <c r="F4460" s="2" t="n">
        <v>86</v>
      </c>
      <c r="G4460" s="2" t="s">
        <v>644</v>
      </c>
      <c r="H4460" s="2" t="str">
        <f aca="false">IFERROR(__xludf.dummyfunction("IF(I4509="""", """", REGEXEXTRACT(I4509, ""Padrao/([^/]+)""))"),"Parque Industrial Lagoinha")</f>
        <v>Parque Industrial Lagoinha</v>
      </c>
    </row>
    <row r="4461" customFormat="false" ht="15.75" hidden="false" customHeight="false" outlineLevel="0" collapsed="false">
      <c r="A4461" s="2" t="n">
        <v>204443</v>
      </c>
      <c r="B4461" s="2" t="s">
        <v>3616</v>
      </c>
      <c r="C4461" s="2" t="n">
        <v>2</v>
      </c>
      <c r="D4461" s="2" t="n">
        <v>2</v>
      </c>
      <c r="E4461" s="2" t="n">
        <v>1</v>
      </c>
      <c r="F4461" s="2" t="n">
        <v>69</v>
      </c>
      <c r="G4461" s="2" t="s">
        <v>644</v>
      </c>
      <c r="H4461" s="2" t="str">
        <f aca="false">IFERROR(__xludf.dummyfunction("IF(I4510="""", """", REGEXEXTRACT(I4510, ""Padrao/([^/]+)""))"),"Nova Alianca")</f>
        <v>Nova Alianca</v>
      </c>
    </row>
    <row r="4462" customFormat="false" ht="15.75" hidden="false" customHeight="false" outlineLevel="0" collapsed="false">
      <c r="A4462" s="2" t="n">
        <v>203600</v>
      </c>
      <c r="B4462" s="2" t="s">
        <v>3617</v>
      </c>
      <c r="C4462" s="2" t="n">
        <v>2</v>
      </c>
      <c r="D4462" s="2" t="n">
        <v>2</v>
      </c>
      <c r="E4462" s="2" t="n">
        <v>1</v>
      </c>
      <c r="F4462" s="2" t="n">
        <v>64</v>
      </c>
      <c r="G4462" s="2" t="s">
        <v>644</v>
      </c>
      <c r="H4462" s="2" t="str">
        <f aca="false">IFERROR(__xludf.dummyfunction("IF(I4511="""", """", REGEXEXTRACT(I4511, ""Padrao/([^/]+)""))"),"Vila Seixas")</f>
        <v>Vila Seixas</v>
      </c>
    </row>
    <row r="4463" customFormat="false" ht="15.75" hidden="false" customHeight="false" outlineLevel="0" collapsed="false">
      <c r="A4463" s="2" t="n">
        <v>202544</v>
      </c>
      <c r="B4463" s="2" t="s">
        <v>2000</v>
      </c>
      <c r="C4463" s="2" t="n">
        <v>1</v>
      </c>
      <c r="D4463" s="2" t="n">
        <v>1</v>
      </c>
      <c r="E4463" s="2" t="n">
        <v>1</v>
      </c>
      <c r="F4463" s="2" t="n">
        <v>40</v>
      </c>
      <c r="G4463" s="2" t="s">
        <v>644</v>
      </c>
      <c r="H4463" s="2" t="str">
        <f aca="false">IFERROR(__xludf.dummyfunction("IF(I4512="""", """", REGEXEXTRACT(I4512, ""Padrao/([^/]+)""))"),"Bosque das Juritis")</f>
        <v>Bosque das Juritis</v>
      </c>
    </row>
    <row r="4464" customFormat="false" ht="15.75" hidden="false" customHeight="false" outlineLevel="0" collapsed="false">
      <c r="A4464" s="2" t="n">
        <v>191336</v>
      </c>
      <c r="B4464" s="2" t="s">
        <v>3618</v>
      </c>
      <c r="C4464" s="2" t="n">
        <v>3</v>
      </c>
      <c r="D4464" s="2" t="n">
        <v>2</v>
      </c>
      <c r="E4464" s="2" t="n">
        <v>1</v>
      </c>
      <c r="F4464" s="2" t="n">
        <v>67</v>
      </c>
      <c r="G4464" s="2" t="s">
        <v>644</v>
      </c>
      <c r="H4464" s="2" t="str">
        <f aca="false">IFERROR(__xludf.dummyfunction("IF(I4513="""", """", REGEXEXTRACT(I4513, ""Padrao/([^/]+)""))"),"Jardim Palma Travassos")</f>
        <v>Jardim Palma Travassos</v>
      </c>
    </row>
    <row r="4465" customFormat="false" ht="15.75" hidden="false" customHeight="false" outlineLevel="0" collapsed="false">
      <c r="A4465" s="2" t="n">
        <v>177917</v>
      </c>
      <c r="B4465" s="2" t="s">
        <v>3619</v>
      </c>
      <c r="C4465" s="2" t="n">
        <v>3</v>
      </c>
      <c r="D4465" s="2" t="n">
        <v>2</v>
      </c>
      <c r="E4465" s="2" t="n">
        <v>2</v>
      </c>
      <c r="F4465" s="2" t="n">
        <v>105</v>
      </c>
      <c r="G4465" s="2" t="s">
        <v>644</v>
      </c>
      <c r="H4465" s="2" t="str">
        <f aca="false">IFERROR(__xludf.dummyfunction("IF(I4514="""", """", REGEXEXTRACT(I4514, ""Padrao/([^/]+)""))"),"Nova Alianca")</f>
        <v>Nova Alianca</v>
      </c>
    </row>
    <row r="4466" customFormat="false" ht="15.75" hidden="false" customHeight="false" outlineLevel="0" collapsed="false">
      <c r="A4466" s="2" t="n">
        <v>176693</v>
      </c>
      <c r="B4466" s="2" t="s">
        <v>3620</v>
      </c>
      <c r="C4466" s="2" t="n">
        <v>2</v>
      </c>
      <c r="D4466" s="2" t="n">
        <v>2</v>
      </c>
      <c r="E4466" s="2" t="n">
        <v>1</v>
      </c>
      <c r="F4466" s="2" t="n">
        <v>61</v>
      </c>
      <c r="G4466" s="2" t="s">
        <v>644</v>
      </c>
      <c r="H4466" s="2" t="str">
        <f aca="false">IFERROR(__xludf.dummyfunction("IF(I4515="""", """", REGEXEXTRACT(I4515, ""Padrao/([^/]+)""))"),"Nova Alianca")</f>
        <v>Nova Alianca</v>
      </c>
    </row>
    <row r="4467" customFormat="false" ht="15.75" hidden="false" customHeight="false" outlineLevel="0" collapsed="false">
      <c r="A4467" s="2" t="n">
        <v>171653</v>
      </c>
      <c r="B4467" s="2" t="s">
        <v>602</v>
      </c>
      <c r="C4467" s="2" t="n">
        <v>3</v>
      </c>
      <c r="D4467" s="2" t="n">
        <v>3</v>
      </c>
      <c r="E4467" s="2" t="n">
        <v>1</v>
      </c>
      <c r="F4467" s="2" t="n">
        <v>157</v>
      </c>
      <c r="G4467" s="2" t="s">
        <v>644</v>
      </c>
      <c r="H4467" s="2" t="str">
        <f aca="false">IFERROR(__xludf.dummyfunction("IF(I4516="""", """", REGEXEXTRACT(I4516, ""Padrao/([^/]+)""))"),"Centro")</f>
        <v>Centro</v>
      </c>
    </row>
    <row r="4468" customFormat="false" ht="15.75" hidden="false" customHeight="false" outlineLevel="0" collapsed="false">
      <c r="A4468" s="2" t="n">
        <v>160676</v>
      </c>
      <c r="B4468" s="2" t="s">
        <v>3621</v>
      </c>
      <c r="C4468" s="2" t="n">
        <v>2</v>
      </c>
      <c r="D4468" s="2" t="n">
        <v>3</v>
      </c>
      <c r="E4468" s="2" t="n">
        <v>2</v>
      </c>
      <c r="F4468" s="2" t="n">
        <v>93</v>
      </c>
      <c r="G4468" s="2" t="s">
        <v>644</v>
      </c>
      <c r="H4468" s="2" t="str">
        <f aca="false">IFERROR(__xludf.dummyfunction("IF(I4517="""", """", REGEXEXTRACT(I4517, ""Padrao/([^/]+)""))"),"Jardim Anhanguera")</f>
        <v>Jardim Anhanguera</v>
      </c>
    </row>
    <row r="4469" customFormat="false" ht="15.75" hidden="false" customHeight="false" outlineLevel="0" collapsed="false">
      <c r="A4469" s="2" t="n">
        <v>160079</v>
      </c>
      <c r="B4469" s="2" t="s">
        <v>3622</v>
      </c>
      <c r="C4469" s="2" t="n">
        <v>3</v>
      </c>
      <c r="D4469" s="2" t="n">
        <v>3</v>
      </c>
      <c r="E4469" s="2" t="n">
        <v>1</v>
      </c>
      <c r="F4469" s="2" t="n">
        <v>102</v>
      </c>
      <c r="G4469" s="2" t="s">
        <v>644</v>
      </c>
      <c r="H4469" s="2" t="str">
        <f aca="false">IFERROR(__xludf.dummyfunction("IF(I4518="""", """", REGEXEXTRACT(I4518, ""Padrao/([^/]+)""))"),"Centro")</f>
        <v>Centro</v>
      </c>
    </row>
    <row r="4470" customFormat="false" ht="15.75" hidden="false" customHeight="false" outlineLevel="0" collapsed="false">
      <c r="A4470" s="2" t="n">
        <v>150269</v>
      </c>
      <c r="B4470" s="2" t="s">
        <v>3623</v>
      </c>
      <c r="C4470" s="2" t="n">
        <v>3</v>
      </c>
      <c r="D4470" s="2" t="n">
        <v>2</v>
      </c>
      <c r="E4470" s="2" t="n">
        <v>2</v>
      </c>
      <c r="F4470" s="2" t="n">
        <v>93</v>
      </c>
      <c r="G4470" s="2" t="s">
        <v>644</v>
      </c>
      <c r="H4470" s="2" t="str">
        <f aca="false">IFERROR(__xludf.dummyfunction("IF(I4519="""", """", REGEXEXTRACT(I4519, ""Padrao/([^/]+)""))"),"Parque dos Bandeirantes")</f>
        <v>Parque dos Bandeirantes</v>
      </c>
    </row>
    <row r="4471" customFormat="false" ht="15.75" hidden="false" customHeight="false" outlineLevel="0" collapsed="false">
      <c r="A4471" s="2" t="n">
        <v>135722</v>
      </c>
      <c r="B4471" s="2" t="s">
        <v>3624</v>
      </c>
      <c r="C4471" s="2" t="n">
        <v>3</v>
      </c>
      <c r="D4471" s="2" t="n">
        <v>3</v>
      </c>
      <c r="E4471" s="2" t="n">
        <v>2</v>
      </c>
      <c r="F4471" s="2" t="n">
        <v>103</v>
      </c>
      <c r="G4471" s="2" t="s">
        <v>644</v>
      </c>
      <c r="H4471" s="2" t="str">
        <f aca="false">IFERROR(__xludf.dummyfunction("IF(I4520="""", """", REGEXEXTRACT(I4520, ""Padrao/([^/]+)""))"),"Vila Seixas")</f>
        <v>Vila Seixas</v>
      </c>
    </row>
    <row r="4472" customFormat="false" ht="15.75" hidden="false" customHeight="false" outlineLevel="0" collapsed="false">
      <c r="A4472" s="2" t="n">
        <v>135707</v>
      </c>
      <c r="B4472" s="2" t="s">
        <v>3625</v>
      </c>
      <c r="C4472" s="2" t="n">
        <v>3</v>
      </c>
      <c r="D4472" s="2" t="n">
        <v>2</v>
      </c>
      <c r="E4472" s="2" t="n">
        <v>1</v>
      </c>
      <c r="F4472" s="2" t="n">
        <v>119</v>
      </c>
      <c r="G4472" s="2" t="s">
        <v>644</v>
      </c>
      <c r="H4472" s="2" t="str">
        <f aca="false">IFERROR(__xludf.dummyfunction("IF(I4521="""", """", REGEXEXTRACT(I4521, ""Padrao/([^/]+)""))"),"Centro")</f>
        <v>Centro</v>
      </c>
    </row>
    <row r="4473" customFormat="false" ht="15.75" hidden="false" customHeight="false" outlineLevel="0" collapsed="false">
      <c r="A4473" s="2" t="n">
        <v>118646</v>
      </c>
      <c r="B4473" s="2" t="s">
        <v>3344</v>
      </c>
      <c r="C4473" s="2" t="n">
        <v>1</v>
      </c>
      <c r="D4473" s="2" t="n">
        <v>1</v>
      </c>
      <c r="E4473" s="2" t="n">
        <v>1</v>
      </c>
      <c r="F4473" s="2" t="n">
        <v>46</v>
      </c>
      <c r="G4473" s="2" t="s">
        <v>644</v>
      </c>
      <c r="H4473" s="2" t="str">
        <f aca="false">IFERROR(__xludf.dummyfunction("IF(I4522="""", """", REGEXEXTRACT(I4522, ""Padrao/([^/]+)""))"),"Nova Alianca")</f>
        <v>Nova Alianca</v>
      </c>
    </row>
    <row r="4474" customFormat="false" ht="15.75" hidden="false" customHeight="false" outlineLevel="0" collapsed="false">
      <c r="A4474" s="2" t="n">
        <v>112757</v>
      </c>
      <c r="B4474" s="2" t="s">
        <v>3626</v>
      </c>
      <c r="C4474" s="2" t="n">
        <v>3</v>
      </c>
      <c r="D4474" s="2" t="n">
        <v>3</v>
      </c>
      <c r="E4474" s="2" t="n">
        <v>1</v>
      </c>
      <c r="F4474" s="2" t="n">
        <v>93</v>
      </c>
      <c r="G4474" s="2" t="s">
        <v>644</v>
      </c>
      <c r="H4474" s="2" t="str">
        <f aca="false">IFERROR(__xludf.dummyfunction("IF(I4523="""", """", REGEXEXTRACT(I4523, ""Padrao/([^/]+)""))"),"Santa Cruz do Jose Jacques")</f>
        <v>Santa Cruz do Jose Jacques</v>
      </c>
    </row>
    <row r="4475" customFormat="false" ht="15.75" hidden="false" customHeight="false" outlineLevel="0" collapsed="false">
      <c r="A4475" s="2" t="n">
        <v>106676</v>
      </c>
      <c r="B4475" s="2" t="s">
        <v>3627</v>
      </c>
      <c r="C4475" s="2" t="n">
        <v>1</v>
      </c>
      <c r="D4475" s="2" t="n">
        <v>1</v>
      </c>
      <c r="E4475" s="2" t="n">
        <v>1</v>
      </c>
      <c r="F4475" s="2" t="n">
        <v>59</v>
      </c>
      <c r="G4475" s="2" t="s">
        <v>644</v>
      </c>
      <c r="H4475" s="2" t="str">
        <f aca="false">IFERROR(__xludf.dummyfunction("IF(I4524="""", """", REGEXEXTRACT(I4524, ""Padrao/([^/]+)""))"),"Centro")</f>
        <v>Centro</v>
      </c>
    </row>
    <row r="4476" customFormat="false" ht="15.75" hidden="false" customHeight="false" outlineLevel="0" collapsed="false">
      <c r="A4476" s="2" t="n">
        <v>106412</v>
      </c>
      <c r="B4476" s="2" t="s">
        <v>3628</v>
      </c>
      <c r="C4476" s="2" t="n">
        <v>1</v>
      </c>
      <c r="D4476" s="2" t="n">
        <v>2</v>
      </c>
      <c r="E4476" s="2" t="n">
        <v>1</v>
      </c>
      <c r="F4476" s="2" t="n">
        <v>60</v>
      </c>
      <c r="G4476" s="2" t="s">
        <v>644</v>
      </c>
      <c r="H4476" s="2" t="str">
        <f aca="false">IFERROR(__xludf.dummyfunction("IF(I4525="""", """", REGEXEXTRACT(I4525, ""Padrao/([^/]+)""))"),"City Ribeirao")</f>
        <v>City Ribeirao</v>
      </c>
    </row>
    <row r="4477" customFormat="false" ht="15.75" hidden="false" customHeight="false" outlineLevel="0" collapsed="false">
      <c r="A4477" s="2" t="n">
        <v>104339</v>
      </c>
      <c r="B4477" s="2" t="s">
        <v>643</v>
      </c>
      <c r="C4477" s="2" t="n">
        <v>1</v>
      </c>
      <c r="D4477" s="2" t="n">
        <v>2</v>
      </c>
      <c r="E4477" s="2" t="n">
        <v>1</v>
      </c>
      <c r="F4477" s="2" t="n">
        <v>59</v>
      </c>
      <c r="G4477" s="2" t="s">
        <v>644</v>
      </c>
      <c r="H4477" s="2" t="str">
        <f aca="false">IFERROR(__xludf.dummyfunction("IF(I4526="""", """", REGEXEXTRACT(I4526, ""Padrao/([^/]+)""))"),"City Ribeirao")</f>
        <v>City Ribeirao</v>
      </c>
    </row>
    <row r="4478" customFormat="false" ht="15.75" hidden="false" customHeight="false" outlineLevel="0" collapsed="false">
      <c r="A4478" s="2" t="n">
        <v>98078</v>
      </c>
      <c r="B4478" s="2" t="s">
        <v>3629</v>
      </c>
      <c r="C4478" s="2" t="n">
        <v>2</v>
      </c>
      <c r="D4478" s="2" t="n">
        <v>2</v>
      </c>
      <c r="E4478" s="2" t="n">
        <v>1</v>
      </c>
      <c r="F4478" s="2" t="n">
        <v>53</v>
      </c>
      <c r="G4478" s="2" t="s">
        <v>644</v>
      </c>
      <c r="H4478" s="2" t="str">
        <f aca="false">IFERROR(__xludf.dummyfunction("IF(I4527="""", """", REGEXEXTRACT(I4527, ""Padrao/([^/]+)""))"),"Alto da Boa Vista")</f>
        <v>Alto da Boa Vista</v>
      </c>
    </row>
    <row r="4479" customFormat="false" ht="15.75" hidden="false" customHeight="false" outlineLevel="0" collapsed="false">
      <c r="A4479" s="2" t="n">
        <v>93689</v>
      </c>
      <c r="B4479" s="2" t="s">
        <v>2466</v>
      </c>
      <c r="C4479" s="2" t="n">
        <v>3</v>
      </c>
      <c r="D4479" s="2" t="n">
        <v>3</v>
      </c>
      <c r="E4479" s="2" t="n">
        <v>1</v>
      </c>
      <c r="F4479" s="2" t="n">
        <v>135</v>
      </c>
      <c r="G4479" s="2" t="s">
        <v>644</v>
      </c>
      <c r="H4479" s="2" t="str">
        <f aca="false">IFERROR(__xludf.dummyfunction("IF(I4528="""", """", REGEXEXTRACT(I4528, ""Padrao/([^/]+)""))"),"Jardim Paulistano")</f>
        <v>Jardim Paulistano</v>
      </c>
    </row>
    <row r="4480" customFormat="false" ht="15.75" hidden="false" customHeight="false" outlineLevel="0" collapsed="false">
      <c r="A4480" s="2" t="n">
        <v>86609</v>
      </c>
      <c r="B4480" s="2" t="s">
        <v>3616</v>
      </c>
      <c r="C4480" s="2" t="n">
        <v>2</v>
      </c>
      <c r="D4480" s="2" t="n">
        <v>2</v>
      </c>
      <c r="E4480" s="2" t="n">
        <v>2</v>
      </c>
      <c r="F4480" s="2" t="n">
        <v>69</v>
      </c>
      <c r="G4480" s="2" t="s">
        <v>644</v>
      </c>
      <c r="H4480" s="2" t="str">
        <f aca="false">IFERROR(__xludf.dummyfunction("IF(I4529="""", """", REGEXEXTRACT(I4529, ""Padrao/([^/]+)""))"),"Nova Alianca")</f>
        <v>Nova Alianca</v>
      </c>
    </row>
    <row r="4481" customFormat="false" ht="15.75" hidden="false" customHeight="false" outlineLevel="0" collapsed="false">
      <c r="A4481" s="2" t="n">
        <v>85607</v>
      </c>
      <c r="B4481" s="2" t="s">
        <v>3630</v>
      </c>
      <c r="C4481" s="2" t="n">
        <v>3</v>
      </c>
      <c r="D4481" s="2" t="n">
        <v>2</v>
      </c>
      <c r="E4481" s="2" t="n">
        <v>2</v>
      </c>
      <c r="F4481" s="2" t="n">
        <v>73</v>
      </c>
      <c r="G4481" s="2" t="s">
        <v>644</v>
      </c>
      <c r="H4481" s="2" t="str">
        <f aca="false">IFERROR(__xludf.dummyfunction("IF(I4530="""", """", REGEXEXTRACT(I4530, ""Padrao/([^/]+)""))"),"Jardim Zaneti")</f>
        <v>Jardim Zaneti</v>
      </c>
    </row>
    <row r="4482" customFormat="false" ht="15.75" hidden="false" customHeight="false" outlineLevel="0" collapsed="false">
      <c r="A4482" s="2" t="n">
        <v>84527</v>
      </c>
      <c r="B4482" s="2" t="s">
        <v>3631</v>
      </c>
      <c r="C4482" s="2" t="n">
        <v>2</v>
      </c>
      <c r="D4482" s="2" t="n">
        <v>2</v>
      </c>
      <c r="E4482" s="2" t="n">
        <v>2</v>
      </c>
      <c r="F4482" s="2" t="n">
        <v>76</v>
      </c>
      <c r="G4482" s="2" t="s">
        <v>644</v>
      </c>
      <c r="H4482" s="2" t="str">
        <f aca="false">IFERROR(__xludf.dummyfunction("IF(I4531="""", """", REGEXEXTRACT(I4531, ""Padrao/([^/]+)""))"),"Nova Alianca")</f>
        <v>Nova Alianca</v>
      </c>
    </row>
    <row r="4483" customFormat="false" ht="15.75" hidden="false" customHeight="false" outlineLevel="0" collapsed="false">
      <c r="A4483" s="2" t="n">
        <v>76331</v>
      </c>
      <c r="B4483" s="2" t="s">
        <v>900</v>
      </c>
      <c r="C4483" s="2" t="n">
        <v>3</v>
      </c>
      <c r="D4483" s="2" t="n">
        <v>2</v>
      </c>
      <c r="E4483" s="2" t="n">
        <v>2</v>
      </c>
      <c r="F4483" s="2" t="n">
        <v>105</v>
      </c>
      <c r="G4483" s="2" t="s">
        <v>644</v>
      </c>
      <c r="H4483" s="2" t="str">
        <f aca="false">IFERROR(__xludf.dummyfunction("IF(I4532="""", """", REGEXEXTRACT(I4532, ""Padrao/([^/]+)""))"),"Parque dos Bandeirantes")</f>
        <v>Parque dos Bandeirantes</v>
      </c>
    </row>
    <row r="4484" customFormat="false" ht="15.75" hidden="false" customHeight="false" outlineLevel="0" collapsed="false">
      <c r="A4484" s="2" t="n">
        <v>60392</v>
      </c>
      <c r="B4484" s="2" t="s">
        <v>162</v>
      </c>
      <c r="C4484" s="2" t="n">
        <v>2</v>
      </c>
      <c r="D4484" s="2" t="n">
        <v>3</v>
      </c>
      <c r="E4484" s="2" t="n">
        <v>1</v>
      </c>
      <c r="F4484" s="2" t="n">
        <v>127</v>
      </c>
      <c r="G4484" s="2" t="s">
        <v>644</v>
      </c>
      <c r="H4484" s="2" t="str">
        <f aca="false">IFERROR(__xludf.dummyfunction("IF(I4533="""", """", REGEXEXTRACT(I4533, ""Padrao/([^/]+)""))"),"Centro")</f>
        <v>Centro</v>
      </c>
    </row>
    <row r="4485" customFormat="false" ht="15.75" hidden="false" customHeight="false" outlineLevel="0" collapsed="false">
      <c r="A4485" s="2" t="n">
        <v>161999</v>
      </c>
      <c r="B4485" s="2" t="s">
        <v>3127</v>
      </c>
      <c r="C4485" s="2" t="n">
        <v>2</v>
      </c>
      <c r="D4485" s="2" t="n">
        <v>2</v>
      </c>
      <c r="E4485" s="2" t="n">
        <v>1</v>
      </c>
      <c r="F4485" s="2" t="n">
        <v>55</v>
      </c>
      <c r="G4485" s="2" t="s">
        <v>3632</v>
      </c>
      <c r="H4485" s="2" t="str">
        <f aca="false">IFERROR(__xludf.dummyfunction("IF(I4535="""", """", REGEXEXTRACT(I4535, ""Padrao/([^/]+)""))"),"Jardim Olhos DAgua")</f>
        <v>Jardim Olhos DAgua</v>
      </c>
    </row>
    <row r="4486" customFormat="false" ht="15.75" hidden="false" customHeight="false" outlineLevel="0" collapsed="false">
      <c r="A4486" s="2" t="n">
        <v>161981</v>
      </c>
      <c r="B4486" s="2" t="s">
        <v>3127</v>
      </c>
      <c r="C4486" s="2" t="n">
        <v>2</v>
      </c>
      <c r="D4486" s="2" t="n">
        <v>2</v>
      </c>
      <c r="E4486" s="2" t="n">
        <v>1</v>
      </c>
      <c r="F4486" s="2" t="n">
        <v>55</v>
      </c>
      <c r="G4486" s="2" t="s">
        <v>3632</v>
      </c>
      <c r="H4486" s="2" t="str">
        <f aca="false">IFERROR(__xludf.dummyfunction("IF(I4536="""", """", REGEXEXTRACT(I4536, ""Padrao/([^/]+)""))"),"Jardim Olhos DAgua")</f>
        <v>Jardim Olhos DAgua</v>
      </c>
    </row>
    <row r="4487" customFormat="false" ht="15.75" hidden="false" customHeight="false" outlineLevel="0" collapsed="false">
      <c r="A4487" s="2" t="n">
        <v>60569</v>
      </c>
      <c r="B4487" s="2" t="s">
        <v>602</v>
      </c>
      <c r="C4487" s="2" t="n">
        <v>3</v>
      </c>
      <c r="D4487" s="2" t="n">
        <v>2</v>
      </c>
      <c r="E4487" s="2" t="n">
        <v>1</v>
      </c>
      <c r="F4487" s="2" t="n">
        <v>104</v>
      </c>
      <c r="G4487" s="2" t="s">
        <v>3130</v>
      </c>
      <c r="H4487" s="2" t="str">
        <f aca="false">IFERROR(__xludf.dummyfunction("IF(I4537="""", """", REGEXEXTRACT(I4537, ""Padrao/([^/]+)""))"),"Centro")</f>
        <v>Centro</v>
      </c>
    </row>
    <row r="4488" customFormat="false" ht="15.75" hidden="false" customHeight="false" outlineLevel="0" collapsed="false">
      <c r="A4488" s="2" t="n">
        <v>187628</v>
      </c>
      <c r="B4488" s="2" t="s">
        <v>602</v>
      </c>
      <c r="C4488" s="2" t="n">
        <v>3</v>
      </c>
      <c r="D4488" s="2" t="n">
        <v>3</v>
      </c>
      <c r="E4488" s="2" t="n">
        <v>1</v>
      </c>
      <c r="F4488" s="2" t="n">
        <v>116</v>
      </c>
      <c r="G4488" s="2" t="s">
        <v>3633</v>
      </c>
      <c r="H4488" s="2" t="str">
        <f aca="false">IFERROR(__xludf.dummyfunction("IF(I4538="""", """", REGEXEXTRACT(I4538, ""Padrao/([^/]+)""))"),"Centro")</f>
        <v>Centro</v>
      </c>
    </row>
    <row r="4489" customFormat="false" ht="15.75" hidden="false" customHeight="false" outlineLevel="0" collapsed="false">
      <c r="A4489" s="2" t="n">
        <v>162020</v>
      </c>
      <c r="B4489" s="2" t="s">
        <v>3127</v>
      </c>
      <c r="C4489" s="2" t="n">
        <v>3</v>
      </c>
      <c r="D4489" s="2" t="n">
        <v>2</v>
      </c>
      <c r="E4489" s="2" t="n">
        <v>1</v>
      </c>
      <c r="F4489" s="2" t="n">
        <v>67</v>
      </c>
      <c r="G4489" s="2" t="s">
        <v>3634</v>
      </c>
      <c r="H4489" s="2" t="str">
        <f aca="false">IFERROR(__xludf.dummyfunction("IF(I4539="""", """", REGEXEXTRACT(I4539, ""Padrao/([^/]+)""))"),"Jardim Olhos DAgua")</f>
        <v>Jardim Olhos DAgua</v>
      </c>
    </row>
    <row r="4490" customFormat="false" ht="15.75" hidden="false" customHeight="false" outlineLevel="0" collapsed="false">
      <c r="A4490" s="2" t="n">
        <v>203894</v>
      </c>
      <c r="B4490" s="2" t="s">
        <v>3635</v>
      </c>
      <c r="C4490" s="2" t="n">
        <v>3</v>
      </c>
      <c r="D4490" s="2" t="n">
        <v>2</v>
      </c>
      <c r="E4490" s="2" t="n">
        <v>1</v>
      </c>
      <c r="F4490" s="2" t="n">
        <v>95</v>
      </c>
      <c r="G4490" s="2" t="s">
        <v>626</v>
      </c>
      <c r="H4490" s="2" t="str">
        <f aca="false">IFERROR(__xludf.dummyfunction("IF(I4540="""", """", REGEXEXTRACT(I4540, ""Padrao/([^/]+)""))"),"Jardim Paulista")</f>
        <v>Jardim Paulista</v>
      </c>
    </row>
    <row r="4491" customFormat="false" ht="15.75" hidden="false" customHeight="false" outlineLevel="0" collapsed="false">
      <c r="A4491" s="2" t="n">
        <v>140210</v>
      </c>
      <c r="B4491" s="2" t="s">
        <v>3636</v>
      </c>
      <c r="C4491" s="2" t="n">
        <v>3</v>
      </c>
      <c r="D4491" s="2" t="n">
        <v>2</v>
      </c>
      <c r="E4491" s="2" t="n">
        <v>1</v>
      </c>
      <c r="F4491" s="2" t="n">
        <v>139</v>
      </c>
      <c r="G4491" s="2" t="s">
        <v>636</v>
      </c>
      <c r="H4491" s="2" t="str">
        <f aca="false">IFERROR(__xludf.dummyfunction("IF(I4541="""", """", REGEXEXTRACT(I4541, ""Padrao/([^/]+)""))"),"Centro")</f>
        <v>Centro</v>
      </c>
    </row>
    <row r="4492" customFormat="false" ht="15.75" hidden="false" customHeight="false" outlineLevel="0" collapsed="false">
      <c r="A4492" s="2" t="n">
        <v>205586</v>
      </c>
      <c r="B4492" s="2" t="s">
        <v>3637</v>
      </c>
      <c r="C4492" s="2" t="n">
        <v>2</v>
      </c>
      <c r="D4492" s="2" t="n">
        <v>2</v>
      </c>
      <c r="E4492" s="2" t="n">
        <v>1</v>
      </c>
      <c r="F4492" s="2" t="n">
        <v>64</v>
      </c>
      <c r="G4492" s="2" t="s">
        <v>1522</v>
      </c>
      <c r="H4492" s="2" t="str">
        <f aca="false">IFERROR(__xludf.dummyfunction("IF(I4542="""", """", REGEXEXTRACT(I4542, ""Padrao/([^/]+)""))"),"Vila Seixas")</f>
        <v>Vila Seixas</v>
      </c>
    </row>
    <row r="4493" customFormat="false" ht="15.75" hidden="false" customHeight="false" outlineLevel="0" collapsed="false">
      <c r="A4493" s="2" t="n">
        <v>201227</v>
      </c>
      <c r="B4493" s="2" t="s">
        <v>602</v>
      </c>
      <c r="C4493" s="2" t="n">
        <v>3</v>
      </c>
      <c r="D4493" s="2" t="n">
        <v>2</v>
      </c>
      <c r="E4493" s="2" t="n">
        <v>1</v>
      </c>
      <c r="F4493" s="2" t="n">
        <v>100</v>
      </c>
      <c r="G4493" s="2" t="s">
        <v>1522</v>
      </c>
      <c r="H4493" s="2" t="str">
        <f aca="false">IFERROR(__xludf.dummyfunction("IF(I4543="""", """", REGEXEXTRACT(I4543, ""Padrao/([^/]+)""))"),"Centro")</f>
        <v>Centro</v>
      </c>
    </row>
    <row r="4494" customFormat="false" ht="15.75" hidden="false" customHeight="false" outlineLevel="0" collapsed="false">
      <c r="A4494" s="2" t="n">
        <v>171476</v>
      </c>
      <c r="B4494" s="2" t="s">
        <v>3324</v>
      </c>
      <c r="C4494" s="2" t="n">
        <v>3</v>
      </c>
      <c r="D4494" s="2" t="n">
        <v>3</v>
      </c>
      <c r="E4494" s="2" t="n">
        <v>1</v>
      </c>
      <c r="F4494" s="2" t="n">
        <v>114</v>
      </c>
      <c r="G4494" s="2" t="s">
        <v>1522</v>
      </c>
      <c r="H4494" s="2" t="str">
        <f aca="false">IFERROR(__xludf.dummyfunction("IF(I4544="""", """", REGEXEXTRACT(I4544, ""Padrao/([^/]+)""))"),"Presidente Medici")</f>
        <v>Presidente Medici</v>
      </c>
    </row>
    <row r="4495" customFormat="false" ht="15.75" hidden="false" customHeight="false" outlineLevel="0" collapsed="false">
      <c r="A4495" s="2" t="n">
        <v>153596</v>
      </c>
      <c r="B4495" s="2" t="s">
        <v>3638</v>
      </c>
      <c r="C4495" s="2" t="n">
        <v>3</v>
      </c>
      <c r="D4495" s="2" t="n">
        <v>2</v>
      </c>
      <c r="E4495" s="2" t="n">
        <v>1</v>
      </c>
      <c r="F4495" s="2" t="n">
        <v>62</v>
      </c>
      <c r="G4495" s="2" t="s">
        <v>1522</v>
      </c>
      <c r="H4495" s="2" t="str">
        <f aca="false">IFERROR(__xludf.dummyfunction("IF(I4545="""", """", REGEXEXTRACT(I4545, ""Padrao/([^/]+)""))"),"Nova Alianca")</f>
        <v>Nova Alianca</v>
      </c>
    </row>
    <row r="4496" customFormat="false" ht="15.75" hidden="false" customHeight="false" outlineLevel="0" collapsed="false">
      <c r="A4496" s="2" t="n">
        <v>150914</v>
      </c>
      <c r="B4496" s="2" t="s">
        <v>3639</v>
      </c>
      <c r="C4496" s="2" t="n">
        <v>3</v>
      </c>
      <c r="D4496" s="2" t="n">
        <v>3</v>
      </c>
      <c r="E4496" s="2" t="n">
        <v>1</v>
      </c>
      <c r="F4496" s="2" t="n">
        <v>131</v>
      </c>
      <c r="G4496" s="2" t="s">
        <v>1522</v>
      </c>
      <c r="H4496" s="2" t="str">
        <f aca="false">IFERROR(__xludf.dummyfunction("IF(I4546="""", """", REGEXEXTRACT(I4546, ""Padrao/([^/]+)""))"),"Centro")</f>
        <v>Centro</v>
      </c>
    </row>
    <row r="4497" customFormat="false" ht="15.75" hidden="false" customHeight="false" outlineLevel="0" collapsed="false">
      <c r="A4497" s="2" t="n">
        <v>125525</v>
      </c>
      <c r="B4497" s="2" t="s">
        <v>3640</v>
      </c>
      <c r="C4497" s="2" t="n">
        <v>3</v>
      </c>
      <c r="D4497" s="2" t="n">
        <v>2</v>
      </c>
      <c r="E4497" s="2" t="n">
        <v>2</v>
      </c>
      <c r="F4497" s="2" t="n">
        <v>75</v>
      </c>
      <c r="G4497" s="2" t="s">
        <v>1522</v>
      </c>
      <c r="H4497" s="2" t="str">
        <f aca="false">IFERROR(__xludf.dummyfunction("IF(I4547="""", """", REGEXEXTRACT(I4547, ""Padrao/([^/]+)""))"),"Jardim Sao Jose")</f>
        <v>Jardim Sao Jose</v>
      </c>
    </row>
    <row r="4498" customFormat="false" ht="15.75" hidden="false" customHeight="false" outlineLevel="0" collapsed="false">
      <c r="A4498" s="2" t="n">
        <v>113465</v>
      </c>
      <c r="B4498" s="2" t="s">
        <v>3641</v>
      </c>
      <c r="C4498" s="2" t="n">
        <v>2</v>
      </c>
      <c r="D4498" s="2" t="n">
        <v>2</v>
      </c>
      <c r="E4498" s="2" t="n">
        <v>1</v>
      </c>
      <c r="F4498" s="2" t="n">
        <v>65</v>
      </c>
      <c r="G4498" s="2" t="s">
        <v>1522</v>
      </c>
      <c r="H4498" s="2" t="str">
        <f aca="false">IFERROR(__xludf.dummyfunction("IF(I4548="""", """", REGEXEXTRACT(I4548, ""Padrao/([^/]+)""))"),"Nova Alianca")</f>
        <v>Nova Alianca</v>
      </c>
    </row>
    <row r="4499" customFormat="false" ht="15.75" hidden="false" customHeight="false" outlineLevel="0" collapsed="false">
      <c r="A4499" s="2" t="n">
        <v>107834</v>
      </c>
      <c r="B4499" s="2" t="s">
        <v>3642</v>
      </c>
      <c r="C4499" s="2" t="n">
        <v>2</v>
      </c>
      <c r="D4499" s="2" t="n">
        <v>2</v>
      </c>
      <c r="E4499" s="2" t="n">
        <v>1</v>
      </c>
      <c r="F4499" s="2" t="n">
        <v>75</v>
      </c>
      <c r="G4499" s="2" t="s">
        <v>1522</v>
      </c>
      <c r="H4499" s="2" t="str">
        <f aca="false">IFERROR(__xludf.dummyfunction("IF(I4549="""", """", REGEXEXTRACT(I4549, ""Padrao/([^/]+)""))"),"Vila Amelia")</f>
        <v>Vila Amelia</v>
      </c>
    </row>
    <row r="4500" customFormat="false" ht="15.75" hidden="false" customHeight="false" outlineLevel="0" collapsed="false">
      <c r="A4500" s="2" t="n">
        <v>73808</v>
      </c>
      <c r="B4500" s="2" t="s">
        <v>3643</v>
      </c>
      <c r="C4500" s="2" t="n">
        <v>2</v>
      </c>
      <c r="D4500" s="2" t="n">
        <v>2</v>
      </c>
      <c r="E4500" s="2" t="n">
        <v>1</v>
      </c>
      <c r="F4500" s="2" t="n">
        <v>69</v>
      </c>
      <c r="G4500" s="2" t="s">
        <v>1522</v>
      </c>
      <c r="H4500" s="2" t="str">
        <f aca="false">IFERROR(__xludf.dummyfunction("IF(I4550="""", """", REGEXEXTRACT(I4550, ""Padrao/([^/]+)""))"),"Nova Alianca")</f>
        <v>Nova Alianca</v>
      </c>
    </row>
    <row r="4501" customFormat="false" ht="15.75" hidden="false" customHeight="false" outlineLevel="0" collapsed="false">
      <c r="A4501" s="2" t="n">
        <v>98108</v>
      </c>
      <c r="B4501" s="2" t="s">
        <v>3644</v>
      </c>
      <c r="C4501" s="2" t="n">
        <v>2</v>
      </c>
      <c r="D4501" s="2" t="n">
        <v>2</v>
      </c>
      <c r="E4501" s="2" t="n">
        <v>1</v>
      </c>
      <c r="F4501" s="2" t="n">
        <v>70</v>
      </c>
      <c r="G4501" s="2" t="s">
        <v>3564</v>
      </c>
      <c r="H4501" s="2" t="str">
        <f aca="false">IFERROR(__xludf.dummyfunction("IF(I4551="""", """", REGEXEXTRACT(I4551, ""Padrao/([^/]+)""))"),"Vila Ana Maria")</f>
        <v>Vila Ana Maria</v>
      </c>
    </row>
    <row r="4502" customFormat="false" ht="15.75" hidden="false" customHeight="false" outlineLevel="0" collapsed="false">
      <c r="A4502" s="2" t="n">
        <v>119531</v>
      </c>
      <c r="B4502" s="2" t="s">
        <v>3645</v>
      </c>
      <c r="C4502" s="2" t="n">
        <v>3</v>
      </c>
      <c r="D4502" s="2" t="n">
        <v>3</v>
      </c>
      <c r="E4502" s="2" t="n">
        <v>3</v>
      </c>
      <c r="F4502" s="2" t="n">
        <v>97</v>
      </c>
      <c r="G4502" s="2" t="s">
        <v>644</v>
      </c>
      <c r="H4502" s="2" t="str">
        <f aca="false">IFERROR(__xludf.dummyfunction("IF(I4552="""", """", REGEXEXTRACT(I4552, ""Padrao/([^/]+)""))"),"Jardim Palma Travassos")</f>
        <v>Jardim Palma Travassos</v>
      </c>
    </row>
    <row r="4503" customFormat="false" ht="15.75" hidden="false" customHeight="false" outlineLevel="0" collapsed="false">
      <c r="A4503" s="2" t="n">
        <v>230768</v>
      </c>
      <c r="B4503" s="2" t="s">
        <v>3646</v>
      </c>
      <c r="C4503" s="2" t="n">
        <v>3</v>
      </c>
      <c r="D4503" s="2" t="n">
        <v>3</v>
      </c>
      <c r="E4503" s="2" t="n">
        <v>1</v>
      </c>
      <c r="F4503" s="2" t="n">
        <v>213</v>
      </c>
      <c r="G4503" s="2" t="s">
        <v>1534</v>
      </c>
      <c r="H4503" s="2" t="str">
        <f aca="false">IFERROR(__xludf.dummyfunction("IF(I4553="""", """", REGEXEXTRACT(I4553, ""Padrao/([^/]+)""))"),"Jardim America")</f>
        <v>Jardim America</v>
      </c>
    </row>
    <row r="4504" customFormat="false" ht="15.75" hidden="false" customHeight="false" outlineLevel="0" collapsed="false">
      <c r="A4504" s="2" t="n">
        <v>225476</v>
      </c>
      <c r="B4504" s="2" t="s">
        <v>3647</v>
      </c>
      <c r="C4504" s="2" t="n">
        <v>1</v>
      </c>
      <c r="D4504" s="2" t="n">
        <v>1</v>
      </c>
      <c r="E4504" s="2" t="n">
        <v>1</v>
      </c>
      <c r="F4504" s="2" t="n">
        <v>43</v>
      </c>
      <c r="G4504" s="2" t="s">
        <v>1534</v>
      </c>
      <c r="H4504" s="2" t="str">
        <f aca="false">IFERROR(__xludf.dummyfunction("IF(I4554="""", """", REGEXEXTRACT(I4554, ""Padrao/([^/]+)""))"),"Quinta da Primavera")</f>
        <v>Quinta da Primavera</v>
      </c>
    </row>
    <row r="4505" customFormat="false" ht="15.75" hidden="false" customHeight="false" outlineLevel="0" collapsed="false">
      <c r="A4505" s="2" t="n">
        <v>210764</v>
      </c>
      <c r="B4505" s="2" t="s">
        <v>3648</v>
      </c>
      <c r="C4505" s="2" t="n">
        <v>2</v>
      </c>
      <c r="D4505" s="2" t="n">
        <v>2</v>
      </c>
      <c r="E4505" s="2" t="n">
        <v>1</v>
      </c>
      <c r="F4505" s="2" t="n">
        <v>107</v>
      </c>
      <c r="G4505" s="2" t="s">
        <v>1534</v>
      </c>
      <c r="H4505" s="2" t="str">
        <f aca="false">IFERROR(__xludf.dummyfunction("IF(I4555="""", """", REGEXEXTRACT(I4555, ""Padrao/([^/]+)""))"),"Centro")</f>
        <v>Centro</v>
      </c>
    </row>
    <row r="4506" customFormat="false" ht="15.75" hidden="false" customHeight="false" outlineLevel="0" collapsed="false">
      <c r="A4506" s="2" t="n">
        <v>209327</v>
      </c>
      <c r="B4506" s="2" t="s">
        <v>3649</v>
      </c>
      <c r="C4506" s="2" t="n">
        <v>2</v>
      </c>
      <c r="D4506" s="2" t="n">
        <v>2</v>
      </c>
      <c r="E4506" s="2" t="n">
        <v>2</v>
      </c>
      <c r="F4506" s="2" t="n">
        <v>75</v>
      </c>
      <c r="G4506" s="2" t="s">
        <v>1534</v>
      </c>
      <c r="H4506" s="2" t="str">
        <f aca="false">IFERROR(__xludf.dummyfunction("IF(I4556="""", """", REGEXEXTRACT(I4556, ""Padrao/([^/]+)""))"),"Jardim California")</f>
        <v>Jardim California</v>
      </c>
    </row>
    <row r="4507" customFormat="false" ht="15.75" hidden="false" customHeight="false" outlineLevel="0" collapsed="false">
      <c r="A4507" s="2" t="n">
        <v>189506</v>
      </c>
      <c r="B4507" s="2" t="s">
        <v>3650</v>
      </c>
      <c r="C4507" s="2" t="n">
        <v>3</v>
      </c>
      <c r="D4507" s="2" t="n">
        <v>3</v>
      </c>
      <c r="E4507" s="2" t="n">
        <v>2</v>
      </c>
      <c r="F4507" s="2" t="n">
        <v>90</v>
      </c>
      <c r="G4507" s="2" t="s">
        <v>1534</v>
      </c>
      <c r="H4507" s="2" t="str">
        <f aca="false">IFERROR(__xludf.dummyfunction("IF(I4557="""", """", REGEXEXTRACT(I4557, ""Padrao/([^/]+)""))"),"Presidente Medici")</f>
        <v>Presidente Medici</v>
      </c>
    </row>
    <row r="4508" customFormat="false" ht="15.75" hidden="false" customHeight="false" outlineLevel="0" collapsed="false">
      <c r="A4508" s="2" t="n">
        <v>165236</v>
      </c>
      <c r="B4508" s="2" t="s">
        <v>1312</v>
      </c>
      <c r="C4508" s="2" t="n">
        <v>3</v>
      </c>
      <c r="D4508" s="2" t="n">
        <v>2</v>
      </c>
      <c r="E4508" s="2" t="n">
        <v>1</v>
      </c>
      <c r="F4508" s="2" t="n">
        <v>115</v>
      </c>
      <c r="G4508" s="2" t="s">
        <v>1534</v>
      </c>
      <c r="H4508" s="2" t="str">
        <f aca="false">IFERROR(__xludf.dummyfunction("IF(I4558="""", """", REGEXEXTRACT(I4558, ""Padrao/([^/]+)""))"),"Jardim Iraja")</f>
        <v>Jardim Iraja</v>
      </c>
    </row>
    <row r="4509" customFormat="false" ht="15.75" hidden="false" customHeight="false" outlineLevel="0" collapsed="false">
      <c r="A4509" s="2" t="n">
        <v>156527</v>
      </c>
      <c r="B4509" s="2" t="s">
        <v>3651</v>
      </c>
      <c r="C4509" s="2" t="n">
        <v>2</v>
      </c>
      <c r="D4509" s="2" t="n">
        <v>1</v>
      </c>
      <c r="E4509" s="2" t="n">
        <v>1</v>
      </c>
      <c r="F4509" s="2" t="n">
        <v>49</v>
      </c>
      <c r="G4509" s="2" t="s">
        <v>1534</v>
      </c>
      <c r="H4509" s="2" t="str">
        <f aca="false">IFERROR(__xludf.dummyfunction("IF(I4559="""", """", REGEXEXTRACT(I4559, ""Padrao/([^/]+)""))"),"Sumarezinho")</f>
        <v>Sumarezinho</v>
      </c>
    </row>
    <row r="4510" customFormat="false" ht="15.75" hidden="false" customHeight="false" outlineLevel="0" collapsed="false">
      <c r="A4510" s="2" t="n">
        <v>153845</v>
      </c>
      <c r="B4510" s="2" t="s">
        <v>3652</v>
      </c>
      <c r="C4510" s="2" t="n">
        <v>2</v>
      </c>
      <c r="D4510" s="2" t="n">
        <v>2</v>
      </c>
      <c r="E4510" s="2" t="n">
        <v>1</v>
      </c>
      <c r="F4510" s="2" t="n">
        <v>82</v>
      </c>
      <c r="G4510" s="2" t="s">
        <v>1534</v>
      </c>
      <c r="H4510" s="2" t="str">
        <f aca="false">IFERROR(__xludf.dummyfunction("IF(I4560="""", """", REGEXEXTRACT(I4560, ""Padrao/([^/]+)""))"),"Jardim Iraja")</f>
        <v>Jardim Iraja</v>
      </c>
    </row>
    <row r="4511" customFormat="false" ht="15.75" hidden="false" customHeight="false" outlineLevel="0" collapsed="false">
      <c r="A4511" s="2" t="n">
        <v>147146</v>
      </c>
      <c r="B4511" s="2" t="s">
        <v>602</v>
      </c>
      <c r="C4511" s="2" t="n">
        <v>3</v>
      </c>
      <c r="D4511" s="2" t="n">
        <v>4</v>
      </c>
      <c r="E4511" s="2" t="n">
        <v>1</v>
      </c>
      <c r="F4511" s="2" t="n">
        <v>204</v>
      </c>
      <c r="G4511" s="2" t="s">
        <v>1534</v>
      </c>
      <c r="H4511" s="2" t="str">
        <f aca="false">IFERROR(__xludf.dummyfunction("IF(I4561="""", """", REGEXEXTRACT(I4561, ""Padrao/([^/]+)""))"),"Centro")</f>
        <v>Centro</v>
      </c>
    </row>
    <row r="4512" customFormat="false" ht="15.75" hidden="false" customHeight="false" outlineLevel="0" collapsed="false">
      <c r="A4512" s="2" t="n">
        <v>108053</v>
      </c>
      <c r="B4512" s="2" t="s">
        <v>3605</v>
      </c>
      <c r="C4512" s="2" t="n">
        <v>1</v>
      </c>
      <c r="D4512" s="2" t="n">
        <v>1</v>
      </c>
      <c r="E4512" s="2" t="n">
        <v>1</v>
      </c>
      <c r="F4512" s="2" t="n">
        <v>58</v>
      </c>
      <c r="G4512" s="2" t="s">
        <v>1534</v>
      </c>
      <c r="H4512" s="2" t="str">
        <f aca="false">IFERROR(__xludf.dummyfunction("IF(I4562="""", """", REGEXEXTRACT(I4562, ""Padrao/([^/]+)""))"),"Bosque das Juritis")</f>
        <v>Bosque das Juritis</v>
      </c>
    </row>
    <row r="4513" customFormat="false" ht="15.75" hidden="false" customHeight="false" outlineLevel="0" collapsed="false">
      <c r="A4513" s="2" t="n">
        <v>105242</v>
      </c>
      <c r="B4513" s="2" t="s">
        <v>2414</v>
      </c>
      <c r="C4513" s="2" t="n">
        <v>3</v>
      </c>
      <c r="D4513" s="2" t="n">
        <v>2</v>
      </c>
      <c r="E4513" s="2" t="n">
        <v>1</v>
      </c>
      <c r="F4513" s="2" t="n">
        <v>80</v>
      </c>
      <c r="G4513" s="2" t="s">
        <v>1534</v>
      </c>
      <c r="H4513" s="2" t="str">
        <f aca="false">IFERROR(__xludf.dummyfunction("IF(I4563="""", """", REGEXEXTRACT(I4563, ""Padrao/([^/]+)""))"),"Alto da Boa Vista")</f>
        <v>Alto da Boa Vista</v>
      </c>
    </row>
    <row r="4514" customFormat="false" ht="15.75" hidden="false" customHeight="false" outlineLevel="0" collapsed="false">
      <c r="A4514" s="2" t="n">
        <v>209882</v>
      </c>
      <c r="B4514" s="2" t="s">
        <v>3653</v>
      </c>
      <c r="C4514" s="2" t="n">
        <v>2</v>
      </c>
      <c r="D4514" s="2" t="n">
        <v>2</v>
      </c>
      <c r="E4514" s="2" t="n">
        <v>1</v>
      </c>
      <c r="F4514" s="2" t="n">
        <v>66</v>
      </c>
      <c r="G4514" s="2" t="s">
        <v>3654</v>
      </c>
      <c r="H4514" s="2" t="str">
        <f aca="false">IFERROR(__xludf.dummyfunction("IF(I4564="""", """", REGEXEXTRACT(I4564, ""Padrao/([^/]+)""))"),"Campos Eliseos")</f>
        <v>Campos Eliseos</v>
      </c>
    </row>
    <row r="4515" customFormat="false" ht="15.75" hidden="false" customHeight="false" outlineLevel="0" collapsed="false">
      <c r="A4515" s="2" t="n">
        <v>239384</v>
      </c>
      <c r="B4515" s="2" t="s">
        <v>3655</v>
      </c>
      <c r="C4515" s="2" t="n">
        <v>2</v>
      </c>
      <c r="D4515" s="2" t="n">
        <v>2</v>
      </c>
      <c r="E4515" s="2" t="n">
        <v>1</v>
      </c>
      <c r="F4515" s="2" t="n">
        <v>55</v>
      </c>
      <c r="G4515" s="2" t="s">
        <v>3656</v>
      </c>
      <c r="H4515" s="2" t="str">
        <f aca="false">IFERROR(__xludf.dummyfunction("IF(I4565="""", """", REGEXEXTRACT(I4565, ""Padrao/([^/]+)""))"),"Jardim Sumare")</f>
        <v>Jardim Sumare</v>
      </c>
    </row>
    <row r="4516" customFormat="false" ht="15.75" hidden="false" customHeight="false" outlineLevel="0" collapsed="false">
      <c r="A4516" s="2" t="n">
        <v>239903</v>
      </c>
      <c r="B4516" s="2" t="s">
        <v>3657</v>
      </c>
      <c r="C4516" s="2" t="n">
        <v>2</v>
      </c>
      <c r="D4516" s="2" t="n">
        <v>2</v>
      </c>
      <c r="E4516" s="2" t="n">
        <v>1</v>
      </c>
      <c r="F4516" s="2" t="n">
        <v>56</v>
      </c>
      <c r="G4516" s="2" t="s">
        <v>3658</v>
      </c>
      <c r="H4516" s="2" t="str">
        <f aca="false">IFERROR(__xludf.dummyfunction("IF(I4566="""", """", REGEXEXTRACT(I4566, ""Padrao/([^/]+)""))"),"Panamby II")</f>
        <v>Panamby II</v>
      </c>
    </row>
    <row r="4517" customFormat="false" ht="15.75" hidden="false" customHeight="false" outlineLevel="0" collapsed="false">
      <c r="A4517" s="2" t="n">
        <v>170927</v>
      </c>
      <c r="B4517" s="2" t="s">
        <v>3659</v>
      </c>
      <c r="C4517" s="2" t="n">
        <v>2</v>
      </c>
      <c r="D4517" s="2" t="n">
        <v>1</v>
      </c>
      <c r="E4517" s="2" t="n">
        <v>1</v>
      </c>
      <c r="F4517" s="2" t="n">
        <v>48</v>
      </c>
      <c r="G4517" s="2" t="s">
        <v>3660</v>
      </c>
      <c r="H4517" s="2" t="str">
        <f aca="false">IFERROR(__xludf.dummyfunction("IF(I4567="""", """", REGEXEXTRACT(I4567, ""Padrao/([^/]+)""))"),"Vila Virginia")</f>
        <v>Vila Virginia</v>
      </c>
    </row>
    <row r="4518" customFormat="false" ht="15.75" hidden="false" customHeight="false" outlineLevel="0" collapsed="false">
      <c r="A4518" s="2" t="n">
        <v>130424</v>
      </c>
      <c r="B4518" s="2" t="s">
        <v>3661</v>
      </c>
      <c r="C4518" s="2" t="n">
        <v>3</v>
      </c>
      <c r="D4518" s="2" t="n">
        <v>2</v>
      </c>
      <c r="E4518" s="2" t="n">
        <v>1</v>
      </c>
      <c r="F4518" s="2" t="n">
        <v>80</v>
      </c>
      <c r="G4518" s="2" t="s">
        <v>1499</v>
      </c>
      <c r="H4518" s="2" t="str">
        <f aca="false">IFERROR(__xludf.dummyfunction("IF(I4568="""", """", REGEXEXTRACT(I4568, ""Padrao/([^/]+)""))"),"Alto da Boa Vista")</f>
        <v>Alto da Boa Vista</v>
      </c>
    </row>
    <row r="4519" customFormat="false" ht="15.75" hidden="false" customHeight="false" outlineLevel="0" collapsed="false">
      <c r="A4519" s="2" t="n">
        <v>232430</v>
      </c>
      <c r="B4519" s="2" t="s">
        <v>3662</v>
      </c>
      <c r="C4519" s="2" t="n">
        <v>3</v>
      </c>
      <c r="D4519" s="2" t="n">
        <v>3</v>
      </c>
      <c r="E4519" s="2" t="n">
        <v>1</v>
      </c>
      <c r="F4519" s="2" t="n">
        <v>116</v>
      </c>
      <c r="G4519" s="2" t="s">
        <v>1468</v>
      </c>
      <c r="H4519" s="2" t="str">
        <f aca="false">IFERROR(__xludf.dummyfunction("IF(I4569="""", """", REGEXEXTRACT(I4569, ""Padrao/([^/]+)""))"),"Jardim Macedo")</f>
        <v>Jardim Macedo</v>
      </c>
    </row>
    <row r="4520" customFormat="false" ht="15.75" hidden="false" customHeight="false" outlineLevel="0" collapsed="false">
      <c r="A4520" s="2" t="n">
        <v>173723</v>
      </c>
      <c r="B4520" s="2" t="s">
        <v>3663</v>
      </c>
      <c r="C4520" s="2" t="n">
        <v>3</v>
      </c>
      <c r="D4520" s="2" t="n">
        <v>2</v>
      </c>
      <c r="E4520" s="2" t="n">
        <v>2</v>
      </c>
      <c r="F4520" s="2" t="n">
        <v>84</v>
      </c>
      <c r="G4520" s="2" t="s">
        <v>1468</v>
      </c>
      <c r="H4520" s="2" t="str">
        <f aca="false">IFERROR(__xludf.dummyfunction("IF(I4570="""", """", REGEXEXTRACT(I4570, ""Padrao/([^/]+)""))"),"Republica")</f>
        <v>Republica</v>
      </c>
    </row>
    <row r="4521" customFormat="false" ht="15.75" hidden="false" customHeight="false" outlineLevel="0" collapsed="false">
      <c r="A4521" s="2" t="n">
        <v>119993</v>
      </c>
      <c r="B4521" s="2" t="s">
        <v>3664</v>
      </c>
      <c r="C4521" s="2" t="n">
        <v>2</v>
      </c>
      <c r="D4521" s="2" t="n">
        <v>2</v>
      </c>
      <c r="E4521" s="2" t="n">
        <v>2</v>
      </c>
      <c r="F4521" s="2" t="n">
        <v>80</v>
      </c>
      <c r="G4521" s="2" t="s">
        <v>1509</v>
      </c>
      <c r="H4521" s="2" t="str">
        <f aca="false">IFERROR(__xludf.dummyfunction("IF(I4571="""", """", REGEXEXTRACT(I4571, ""Padrao/([^/]+)""))"),"Vila Tiberio")</f>
        <v>Vila Tiberio</v>
      </c>
    </row>
    <row r="4522" customFormat="false" ht="15.75" hidden="false" customHeight="false" outlineLevel="0" collapsed="false">
      <c r="A4522" s="2" t="n">
        <v>161405</v>
      </c>
      <c r="B4522" s="2" t="s">
        <v>3665</v>
      </c>
      <c r="C4522" s="2" t="n">
        <v>2</v>
      </c>
      <c r="D4522" s="2" t="n">
        <v>2</v>
      </c>
      <c r="E4522" s="2" t="n">
        <v>2</v>
      </c>
      <c r="F4522" s="2" t="n">
        <v>67</v>
      </c>
      <c r="G4522" s="2" t="s">
        <v>3656</v>
      </c>
      <c r="H4522" s="2" t="str">
        <f aca="false">IFERROR(__xludf.dummyfunction("IF(I4572="""", """", REGEXEXTRACT(I4572, ""Padrao/([^/]+)""))"),"Jardim Botanico")</f>
        <v>Jardim Botanico</v>
      </c>
    </row>
    <row r="4523" customFormat="false" ht="15.75" hidden="false" customHeight="false" outlineLevel="0" collapsed="false">
      <c r="A4523" s="2" t="n">
        <v>242615</v>
      </c>
      <c r="B4523" s="2" t="s">
        <v>3666</v>
      </c>
      <c r="C4523" s="2" t="n">
        <v>3</v>
      </c>
      <c r="D4523" s="2" t="n">
        <v>3</v>
      </c>
      <c r="E4523" s="2" t="n">
        <v>1</v>
      </c>
      <c r="F4523" s="2" t="n">
        <v>109</v>
      </c>
      <c r="G4523" s="2" t="s">
        <v>646</v>
      </c>
      <c r="H4523" s="2" t="str">
        <f aca="false">IFERROR(__xludf.dummyfunction("IF(I4573="""", """", REGEXEXTRACT(I4573, ""Padrao/([^/]+)""))"),"Jardim Palma Travassos")</f>
        <v>Jardim Palma Travassos</v>
      </c>
    </row>
    <row r="4524" customFormat="false" ht="15.75" hidden="false" customHeight="false" outlineLevel="0" collapsed="false">
      <c r="A4524" s="2" t="n">
        <v>226547</v>
      </c>
      <c r="B4524" s="2" t="s">
        <v>3609</v>
      </c>
      <c r="C4524" s="2" t="n">
        <v>2</v>
      </c>
      <c r="D4524" s="2" t="n">
        <v>2</v>
      </c>
      <c r="E4524" s="2" t="n">
        <v>1</v>
      </c>
      <c r="F4524" s="2" t="n">
        <v>65</v>
      </c>
      <c r="G4524" s="2" t="s">
        <v>646</v>
      </c>
      <c r="H4524" s="2" t="str">
        <f aca="false">IFERROR(__xludf.dummyfunction("IF(I4574="""", """", REGEXEXTRACT(I4574, ""Padrao/([^/]+)""))"),"Nova Alianca")</f>
        <v>Nova Alianca</v>
      </c>
    </row>
    <row r="4525" customFormat="false" ht="15.75" hidden="false" customHeight="false" outlineLevel="0" collapsed="false">
      <c r="A4525" s="2" t="n">
        <v>216314</v>
      </c>
      <c r="B4525" s="2" t="s">
        <v>3667</v>
      </c>
      <c r="C4525" s="2" t="n">
        <v>2</v>
      </c>
      <c r="D4525" s="2" t="n">
        <v>1</v>
      </c>
      <c r="E4525" s="2" t="n">
        <v>2</v>
      </c>
      <c r="F4525" s="2" t="n">
        <v>61</v>
      </c>
      <c r="G4525" s="2" t="s">
        <v>646</v>
      </c>
      <c r="H4525" s="2" t="str">
        <f aca="false">IFERROR(__xludf.dummyfunction("IF(I4575="""", """", REGEXEXTRACT(I4575, ""Padrao/([^/]+)""))"),"Jardim Sao Jose")</f>
        <v>Jardim Sao Jose</v>
      </c>
    </row>
    <row r="4526" customFormat="false" ht="15.75" hidden="false" customHeight="false" outlineLevel="0" collapsed="false">
      <c r="A4526" s="2" t="n">
        <v>208715</v>
      </c>
      <c r="B4526" s="2" t="s">
        <v>3668</v>
      </c>
      <c r="C4526" s="2" t="n">
        <v>2</v>
      </c>
      <c r="D4526" s="2" t="n">
        <v>1</v>
      </c>
      <c r="E4526" s="2" t="n">
        <v>1</v>
      </c>
      <c r="F4526" s="2" t="n">
        <v>50</v>
      </c>
      <c r="G4526" s="2" t="s">
        <v>646</v>
      </c>
      <c r="H4526" s="2" t="str">
        <f aca="false">IFERROR(__xludf.dummyfunction("IF(I4576="""", """", REGEXEXTRACT(I4576, ""Padrao/([^/]+)""))"),"Residencial Monterrey")</f>
        <v>Residencial Monterrey</v>
      </c>
    </row>
    <row r="4527" customFormat="false" ht="15.75" hidden="false" customHeight="false" outlineLevel="0" collapsed="false">
      <c r="A4527" s="2" t="n">
        <v>203477</v>
      </c>
      <c r="B4527" s="2" t="s">
        <v>3669</v>
      </c>
      <c r="C4527" s="2" t="n">
        <v>1</v>
      </c>
      <c r="D4527" s="2" t="n">
        <v>1</v>
      </c>
      <c r="E4527" s="2" t="n">
        <v>1</v>
      </c>
      <c r="F4527" s="2" t="n">
        <v>49</v>
      </c>
      <c r="G4527" s="2" t="s">
        <v>646</v>
      </c>
      <c r="H4527" s="2" t="str">
        <f aca="false">IFERROR(__xludf.dummyfunction("IF(I4577="""", """", REGEXEXTRACT(I4577, ""Padrao/([^/]+)""))"),"Nova Alianca")</f>
        <v>Nova Alianca</v>
      </c>
    </row>
    <row r="4528" customFormat="false" ht="15.75" hidden="false" customHeight="false" outlineLevel="0" collapsed="false">
      <c r="A4528" s="2" t="n">
        <v>202835</v>
      </c>
      <c r="B4528" s="2" t="s">
        <v>3670</v>
      </c>
      <c r="C4528" s="2" t="n">
        <v>3</v>
      </c>
      <c r="D4528" s="2" t="n">
        <v>3</v>
      </c>
      <c r="E4528" s="2" t="n">
        <v>1</v>
      </c>
      <c r="F4528" s="2" t="n">
        <v>92</v>
      </c>
      <c r="G4528" s="2" t="s">
        <v>646</v>
      </c>
      <c r="H4528" s="2" t="str">
        <f aca="false">IFERROR(__xludf.dummyfunction("IF(I4578="""", """", REGEXEXTRACT(I4578, ""Padrao/([^/]+)""))"),"Jardim Iraja")</f>
        <v>Jardim Iraja</v>
      </c>
    </row>
    <row r="4529" customFormat="false" ht="15.75" hidden="false" customHeight="false" outlineLevel="0" collapsed="false">
      <c r="A4529" s="2" t="n">
        <v>198617</v>
      </c>
      <c r="B4529" s="2" t="s">
        <v>3671</v>
      </c>
      <c r="C4529" s="2" t="n">
        <v>1</v>
      </c>
      <c r="D4529" s="2" t="n">
        <v>2</v>
      </c>
      <c r="E4529" s="2" t="n">
        <v>1</v>
      </c>
      <c r="F4529" s="2" t="n">
        <v>44</v>
      </c>
      <c r="G4529" s="2" t="s">
        <v>646</v>
      </c>
      <c r="H4529" s="2" t="str">
        <f aca="false">IFERROR(__xludf.dummyfunction("IF(I4579="""", """", REGEXEXTRACT(I4579, ""Padrao/([^/]+)""))"),"Jardim Recreio")</f>
        <v>Jardim Recreio</v>
      </c>
    </row>
    <row r="4530" customFormat="false" ht="15.75" hidden="false" customHeight="false" outlineLevel="0" collapsed="false">
      <c r="A4530" s="2" t="n">
        <v>198560</v>
      </c>
      <c r="B4530" s="2" t="s">
        <v>1312</v>
      </c>
      <c r="C4530" s="2" t="n">
        <v>3</v>
      </c>
      <c r="D4530" s="2" t="n">
        <v>2</v>
      </c>
      <c r="E4530" s="2" t="n">
        <v>2</v>
      </c>
      <c r="F4530" s="2" t="n">
        <v>96</v>
      </c>
      <c r="G4530" s="2" t="s">
        <v>646</v>
      </c>
      <c r="H4530" s="2" t="str">
        <f aca="false">IFERROR(__xludf.dummyfunction("IF(I4580="""", """", REGEXEXTRACT(I4580, ""Padrao/([^/]+)""))"),"Condominio Itamaraty")</f>
        <v>Condominio Itamaraty</v>
      </c>
    </row>
    <row r="4531" customFormat="false" ht="15.75" hidden="false" customHeight="false" outlineLevel="0" collapsed="false">
      <c r="A4531" s="2" t="n">
        <v>197279</v>
      </c>
      <c r="B4531" s="2" t="s">
        <v>3672</v>
      </c>
      <c r="C4531" s="2" t="n">
        <v>1</v>
      </c>
      <c r="D4531" s="2" t="n">
        <v>1</v>
      </c>
      <c r="E4531" s="2" t="n">
        <v>1</v>
      </c>
      <c r="F4531" s="2" t="n">
        <v>46</v>
      </c>
      <c r="G4531" s="2" t="s">
        <v>646</v>
      </c>
      <c r="H4531" s="2" t="str">
        <f aca="false">IFERROR(__xludf.dummyfunction("IF(I4581="""", """", REGEXEXTRACT(I4581, ""Padrao/([^/]+)""))"),"Nova Alianca")</f>
        <v>Nova Alianca</v>
      </c>
    </row>
    <row r="4532" customFormat="false" ht="15.75" hidden="false" customHeight="false" outlineLevel="0" collapsed="false">
      <c r="A4532" s="2" t="n">
        <v>194720</v>
      </c>
      <c r="B4532" s="2" t="s">
        <v>847</v>
      </c>
      <c r="C4532" s="2" t="n">
        <v>3</v>
      </c>
      <c r="D4532" s="2" t="n">
        <v>2</v>
      </c>
      <c r="E4532" s="2" t="n">
        <v>1</v>
      </c>
      <c r="F4532" s="2" t="n">
        <v>89</v>
      </c>
      <c r="G4532" s="2" t="s">
        <v>646</v>
      </c>
      <c r="H4532" s="2" t="str">
        <f aca="false">IFERROR(__xludf.dummyfunction("IF(I4582="""", """", REGEXEXTRACT(I4582, ""Padrao/([^/]+)""))"),"Jardim Paulista")</f>
        <v>Jardim Paulista</v>
      </c>
    </row>
    <row r="4533" customFormat="false" ht="15.75" hidden="false" customHeight="false" outlineLevel="0" collapsed="false">
      <c r="A4533" s="2" t="n">
        <v>191483</v>
      </c>
      <c r="B4533" s="2" t="s">
        <v>3673</v>
      </c>
      <c r="C4533" s="2" t="n">
        <v>1</v>
      </c>
      <c r="D4533" s="2" t="n">
        <v>1</v>
      </c>
      <c r="E4533" s="2" t="n">
        <v>1</v>
      </c>
      <c r="F4533" s="2" t="n">
        <v>37</v>
      </c>
      <c r="G4533" s="2" t="s">
        <v>646</v>
      </c>
      <c r="H4533" s="2" t="str">
        <f aca="false">IFERROR(__xludf.dummyfunction("IF(I4583="""", """", REGEXEXTRACT(I4583, ""Padrao/([^/]+)""))"),"Vila Monte Alegre")</f>
        <v>Vila Monte Alegre</v>
      </c>
    </row>
    <row r="4534" customFormat="false" ht="15.75" hidden="false" customHeight="false" outlineLevel="0" collapsed="false">
      <c r="A4534" s="2" t="n">
        <v>188690</v>
      </c>
      <c r="B4534" s="2" t="s">
        <v>3674</v>
      </c>
      <c r="C4534" s="2" t="n">
        <v>2</v>
      </c>
      <c r="D4534" s="2" t="n">
        <v>2</v>
      </c>
      <c r="E4534" s="2" t="n">
        <v>1</v>
      </c>
      <c r="F4534" s="2" t="n">
        <v>57</v>
      </c>
      <c r="G4534" s="2" t="s">
        <v>646</v>
      </c>
      <c r="H4534" s="2" t="str">
        <f aca="false">IFERROR(__xludf.dummyfunction("IF(I4584="""", """", REGEXEXTRACT(I4584, ""Padrao/([^/]+)""))"),"Jardim Paulista")</f>
        <v>Jardim Paulista</v>
      </c>
    </row>
    <row r="4535" customFormat="false" ht="15.75" hidden="false" customHeight="false" outlineLevel="0" collapsed="false">
      <c r="A4535" s="2" t="n">
        <v>186638</v>
      </c>
      <c r="B4535" s="2" t="s">
        <v>3675</v>
      </c>
      <c r="C4535" s="2" t="n">
        <v>3</v>
      </c>
      <c r="D4535" s="2" t="n">
        <v>2</v>
      </c>
      <c r="E4535" s="2" t="n">
        <v>2</v>
      </c>
      <c r="F4535" s="2" t="n">
        <v>96</v>
      </c>
      <c r="G4535" s="2" t="s">
        <v>646</v>
      </c>
      <c r="H4535" s="2" t="str">
        <f aca="false">IFERROR(__xludf.dummyfunction("IF(I4585="""", """", REGEXEXTRACT(I4585, ""Padrao/([^/]+)""))"),"Centro")</f>
        <v>Centro</v>
      </c>
    </row>
    <row r="4536" customFormat="false" ht="15.75" hidden="false" customHeight="false" outlineLevel="0" collapsed="false">
      <c r="A4536" s="2" t="n">
        <v>186527</v>
      </c>
      <c r="B4536" s="2" t="s">
        <v>3676</v>
      </c>
      <c r="C4536" s="2" t="n">
        <v>3</v>
      </c>
      <c r="D4536" s="2" t="n">
        <v>3</v>
      </c>
      <c r="E4536" s="2" t="n">
        <v>2</v>
      </c>
      <c r="F4536" s="2" t="n">
        <v>105</v>
      </c>
      <c r="G4536" s="2" t="s">
        <v>646</v>
      </c>
      <c r="H4536" s="2" t="str">
        <f aca="false">IFERROR(__xludf.dummyfunction("IF(I4586="""", """", REGEXEXTRACT(I4586, ""Padrao/([^/]+)""))"),"Jardim Paulistano")</f>
        <v>Jardim Paulistano</v>
      </c>
    </row>
    <row r="4537" customFormat="false" ht="15.75" hidden="false" customHeight="false" outlineLevel="0" collapsed="false">
      <c r="A4537" s="2" t="n">
        <v>181850</v>
      </c>
      <c r="B4537" s="2" t="s">
        <v>3677</v>
      </c>
      <c r="C4537" s="2" t="n">
        <v>2</v>
      </c>
      <c r="D4537" s="2" t="n">
        <v>2</v>
      </c>
      <c r="E4537" s="2" t="n">
        <v>1</v>
      </c>
      <c r="F4537" s="2" t="n">
        <v>56</v>
      </c>
      <c r="G4537" s="2" t="s">
        <v>646</v>
      </c>
      <c r="H4537" s="2" t="str">
        <f aca="false">IFERROR(__xludf.dummyfunction("IF(I4587="""", """", REGEXEXTRACT(I4587, ""Padrao/([^/]+)""))"),"Parque Sao Sebastiao")</f>
        <v>Parque Sao Sebastiao</v>
      </c>
    </row>
    <row r="4538" customFormat="false" ht="15.75" hidden="false" customHeight="false" outlineLevel="0" collapsed="false">
      <c r="A4538" s="2" t="n">
        <v>176270</v>
      </c>
      <c r="B4538" s="2" t="s">
        <v>602</v>
      </c>
      <c r="C4538" s="2" t="n">
        <v>3</v>
      </c>
      <c r="D4538" s="2" t="n">
        <v>2</v>
      </c>
      <c r="E4538" s="2" t="n">
        <v>1</v>
      </c>
      <c r="F4538" s="2" t="n">
        <v>116</v>
      </c>
      <c r="G4538" s="2" t="s">
        <v>646</v>
      </c>
      <c r="H4538" s="2" t="str">
        <f aca="false">IFERROR(__xludf.dummyfunction("IF(I4588="""", """", REGEXEXTRACT(I4588, ""Padrao/([^/]+)""))"),"Centro")</f>
        <v>Centro</v>
      </c>
    </row>
    <row r="4539" customFormat="false" ht="15.75" hidden="false" customHeight="false" outlineLevel="0" collapsed="false">
      <c r="A4539" s="2" t="n">
        <v>164843</v>
      </c>
      <c r="B4539" s="2" t="s">
        <v>3678</v>
      </c>
      <c r="C4539" s="2" t="n">
        <v>3</v>
      </c>
      <c r="D4539" s="2" t="n">
        <v>2</v>
      </c>
      <c r="E4539" s="2" t="n">
        <v>1</v>
      </c>
      <c r="F4539" s="2" t="n">
        <v>111</v>
      </c>
      <c r="G4539" s="2" t="s">
        <v>646</v>
      </c>
      <c r="H4539" s="2" t="str">
        <f aca="false">IFERROR(__xludf.dummyfunction("IF(I4589="""", """", REGEXEXTRACT(I4589, ""Padrao/([^/]+)""))"),"Centro")</f>
        <v>Centro</v>
      </c>
    </row>
    <row r="4540" customFormat="false" ht="15.75" hidden="false" customHeight="false" outlineLevel="0" collapsed="false">
      <c r="A4540" s="2" t="n">
        <v>144974</v>
      </c>
      <c r="B4540" s="2" t="s">
        <v>3679</v>
      </c>
      <c r="C4540" s="2" t="n">
        <v>3</v>
      </c>
      <c r="D4540" s="2" t="n">
        <v>2</v>
      </c>
      <c r="E4540" s="2" t="n">
        <v>1</v>
      </c>
      <c r="F4540" s="2" t="n">
        <v>92</v>
      </c>
      <c r="G4540" s="2" t="s">
        <v>646</v>
      </c>
      <c r="H4540" s="2" t="str">
        <f aca="false">IFERROR(__xludf.dummyfunction("IF(I4590="""", """", REGEXEXTRACT(I4590, ""Padrao/([^/]+)""))"),"Jardim Iraja")</f>
        <v>Jardim Iraja</v>
      </c>
    </row>
    <row r="4541" customFormat="false" ht="15.75" hidden="false" customHeight="false" outlineLevel="0" collapsed="false">
      <c r="A4541" s="2" t="n">
        <v>101537</v>
      </c>
      <c r="B4541" s="2" t="s">
        <v>162</v>
      </c>
      <c r="C4541" s="2" t="n">
        <v>2</v>
      </c>
      <c r="D4541" s="2" t="n">
        <v>2</v>
      </c>
      <c r="E4541" s="2" t="n">
        <v>1</v>
      </c>
      <c r="F4541" s="2" t="n">
        <v>80</v>
      </c>
      <c r="G4541" s="2" t="s">
        <v>646</v>
      </c>
      <c r="H4541" s="2" t="str">
        <f aca="false">IFERROR(__xludf.dummyfunction("IF(I4591="""", """", REGEXEXTRACT(I4591, ""Padrao/([^/]+)""))"),"Centro")</f>
        <v>Centro</v>
      </c>
    </row>
    <row r="4542" customFormat="false" ht="15.75" hidden="false" customHeight="false" outlineLevel="0" collapsed="false">
      <c r="A4542" s="2" t="n">
        <v>97508</v>
      </c>
      <c r="B4542" s="2" t="s">
        <v>3680</v>
      </c>
      <c r="C4542" s="2" t="n">
        <v>3</v>
      </c>
      <c r="D4542" s="2" t="n">
        <v>3</v>
      </c>
      <c r="E4542" s="2" t="n">
        <v>2</v>
      </c>
      <c r="F4542" s="2" t="n">
        <v>127</v>
      </c>
      <c r="G4542" s="2" t="s">
        <v>646</v>
      </c>
      <c r="H4542" s="2" t="str">
        <f aca="false">IFERROR(__xludf.dummyfunction("IF(I4592="""", """", REGEXEXTRACT(I4592, ""Padrao/([^/]+)""))"),"Jardim Paulista")</f>
        <v>Jardim Paulista</v>
      </c>
    </row>
    <row r="4543" customFormat="false" ht="15.75" hidden="false" customHeight="false" outlineLevel="0" collapsed="false">
      <c r="A4543" s="2" t="n">
        <v>95465</v>
      </c>
      <c r="B4543" s="2" t="s">
        <v>3681</v>
      </c>
      <c r="C4543" s="2" t="n">
        <v>1</v>
      </c>
      <c r="D4543" s="2" t="n">
        <v>1</v>
      </c>
      <c r="E4543" s="2" t="n">
        <v>1</v>
      </c>
      <c r="F4543" s="2" t="n">
        <v>46</v>
      </c>
      <c r="G4543" s="2" t="s">
        <v>646</v>
      </c>
      <c r="H4543" s="2" t="str">
        <f aca="false">IFERROR(__xludf.dummyfunction("IF(I4593="""", """", REGEXEXTRACT(I4593, ""Padrao/([^/]+)""))"),"Jardim California")</f>
        <v>Jardim California</v>
      </c>
    </row>
    <row r="4544" customFormat="false" ht="15.75" hidden="false" customHeight="false" outlineLevel="0" collapsed="false">
      <c r="A4544" s="2" t="n">
        <v>95000</v>
      </c>
      <c r="B4544" s="2" t="s">
        <v>162</v>
      </c>
      <c r="C4544" s="2" t="n">
        <v>3</v>
      </c>
      <c r="D4544" s="2" t="n">
        <v>2</v>
      </c>
      <c r="E4544" s="2" t="n">
        <v>2</v>
      </c>
      <c r="F4544" s="2" t="n">
        <v>75</v>
      </c>
      <c r="G4544" s="2" t="s">
        <v>646</v>
      </c>
      <c r="H4544" s="2" t="str">
        <f aca="false">IFERROR(__xludf.dummyfunction("IF(I4594="""", """", REGEXEXTRACT(I4594, ""Padrao/([^/]+)""))"),"Jardim Botanico")</f>
        <v>Jardim Botanico</v>
      </c>
    </row>
    <row r="4545" customFormat="false" ht="15.75" hidden="false" customHeight="false" outlineLevel="0" collapsed="false">
      <c r="A4545" s="2" t="n">
        <v>94445</v>
      </c>
      <c r="B4545" s="2" t="s">
        <v>3682</v>
      </c>
      <c r="C4545" s="2" t="n">
        <v>1</v>
      </c>
      <c r="D4545" s="2" t="n">
        <v>1</v>
      </c>
      <c r="E4545" s="2" t="n">
        <v>1</v>
      </c>
      <c r="F4545" s="2" t="n">
        <v>44</v>
      </c>
      <c r="G4545" s="2" t="s">
        <v>646</v>
      </c>
      <c r="H4545" s="2" t="str">
        <f aca="false">IFERROR(__xludf.dummyfunction("IF(I4595="""", """", REGEXEXTRACT(I4595, ""Padrao/([^/]+)""))"),"Nova Alianca")</f>
        <v>Nova Alianca</v>
      </c>
    </row>
    <row r="4546" customFormat="false" ht="15.75" hidden="false" customHeight="false" outlineLevel="0" collapsed="false">
      <c r="A4546" s="2" t="n">
        <v>57542</v>
      </c>
      <c r="B4546" s="2" t="s">
        <v>3683</v>
      </c>
      <c r="C4546" s="2" t="n">
        <v>3</v>
      </c>
      <c r="D4546" s="2" t="n">
        <v>3</v>
      </c>
      <c r="E4546" s="2" t="n">
        <v>1</v>
      </c>
      <c r="F4546" s="2" t="n">
        <v>94</v>
      </c>
      <c r="G4546" s="2" t="s">
        <v>646</v>
      </c>
      <c r="H4546" s="2" t="str">
        <f aca="false">IFERROR(__xludf.dummyfunction("IF(I4597="""", """", REGEXEXTRACT(I4597, ""Padrao/([^/]+)""))"),"Jardim Iraja")</f>
        <v>Jardim Iraja</v>
      </c>
    </row>
    <row r="4547" customFormat="false" ht="15.75" hidden="false" customHeight="false" outlineLevel="0" collapsed="false">
      <c r="A4547" s="2" t="n">
        <v>54365</v>
      </c>
      <c r="B4547" s="2" t="s">
        <v>2444</v>
      </c>
      <c r="C4547" s="2" t="n">
        <v>2</v>
      </c>
      <c r="D4547" s="2" t="n">
        <v>2</v>
      </c>
      <c r="E4547" s="2" t="n">
        <v>1</v>
      </c>
      <c r="F4547" s="2" t="n">
        <v>95</v>
      </c>
      <c r="G4547" s="2" t="s">
        <v>646</v>
      </c>
      <c r="H4547" s="2" t="str">
        <f aca="false">IFERROR(__xludf.dummyfunction("IF(I4598="""", """", REGEXEXTRACT(I4598, ""Padrao/([^/]+)""))"),"Centro")</f>
        <v>Centro</v>
      </c>
    </row>
    <row r="4548" customFormat="false" ht="15.75" hidden="false" customHeight="false" outlineLevel="0" collapsed="false">
      <c r="A4548" s="2" t="n">
        <v>229469</v>
      </c>
      <c r="B4548" s="2" t="s">
        <v>3684</v>
      </c>
      <c r="C4548" s="2" t="n">
        <v>2</v>
      </c>
      <c r="D4548" s="2" t="n">
        <v>2</v>
      </c>
      <c r="E4548" s="2" t="n">
        <v>1</v>
      </c>
      <c r="F4548" s="2" t="n">
        <v>58</v>
      </c>
      <c r="G4548" s="2" t="s">
        <v>3685</v>
      </c>
      <c r="H4548" s="2" t="str">
        <f aca="false">IFERROR(__xludf.dummyfunction("IF(I4599="""", """", REGEXEXTRACT(I4599, ""Padrao/([^/]+)""))"),"Quinta da Primavera")</f>
        <v>Quinta da Primavera</v>
      </c>
    </row>
    <row r="4549" customFormat="false" ht="15.75" hidden="false" customHeight="false" outlineLevel="0" collapsed="false">
      <c r="A4549" s="2" t="n">
        <v>143756</v>
      </c>
      <c r="B4549" s="2" t="s">
        <v>3686</v>
      </c>
      <c r="C4549" s="2" t="n">
        <v>3</v>
      </c>
      <c r="D4549" s="2" t="n">
        <v>3</v>
      </c>
      <c r="E4549" s="2" t="n">
        <v>1</v>
      </c>
      <c r="F4549" s="2" t="n">
        <v>210</v>
      </c>
      <c r="G4549" s="2" t="s">
        <v>644</v>
      </c>
      <c r="H4549" s="2" t="str">
        <f aca="false">IFERROR(__xludf.dummyfunction("IF(I4600="""", """", REGEXEXTRACT(I4600, ""Padrao/([^/]+)""))"),"Vila Seixas")</f>
        <v>Vila Seixas</v>
      </c>
    </row>
    <row r="4550" customFormat="false" ht="15.75" hidden="false" customHeight="false" outlineLevel="0" collapsed="false">
      <c r="A4550" s="2" t="n">
        <v>186092</v>
      </c>
      <c r="B4550" s="2" t="s">
        <v>3687</v>
      </c>
      <c r="C4550" s="2" t="n">
        <v>3</v>
      </c>
      <c r="D4550" s="2" t="n">
        <v>2</v>
      </c>
      <c r="E4550" s="2" t="n">
        <v>1</v>
      </c>
      <c r="F4550" s="2" t="n">
        <v>102</v>
      </c>
      <c r="G4550" s="2" t="s">
        <v>1534</v>
      </c>
      <c r="H4550" s="2" t="str">
        <f aca="false">IFERROR(__xludf.dummyfunction("IF(I4601="""", """", REGEXEXTRACT(I4601, ""Padrao/([^/]+)""))"),"Jardim Iraja")</f>
        <v>Jardim Iraja</v>
      </c>
    </row>
    <row r="4551" customFormat="false" ht="15.75" hidden="false" customHeight="false" outlineLevel="0" collapsed="false">
      <c r="A4551" s="2" t="n">
        <v>241040</v>
      </c>
      <c r="B4551" s="2" t="s">
        <v>3688</v>
      </c>
      <c r="C4551" s="2" t="n">
        <v>2</v>
      </c>
      <c r="D4551" s="2" t="n">
        <v>2</v>
      </c>
      <c r="E4551" s="2" t="n">
        <v>1</v>
      </c>
      <c r="F4551" s="2" t="n">
        <v>67</v>
      </c>
      <c r="G4551" s="2" t="s">
        <v>3689</v>
      </c>
      <c r="H4551" s="2" t="str">
        <f aca="false">IFERROR(__xludf.dummyfunction("IF(I4602="""", """", REGEXEXTRACT(I4602, ""Padrao/([^/]+)""))"),"Ribeirania")</f>
        <v>Ribeirania</v>
      </c>
    </row>
    <row r="4552" customFormat="false" ht="15.75" hidden="false" customHeight="false" outlineLevel="0" collapsed="false">
      <c r="A4552" s="2" t="n">
        <v>237131</v>
      </c>
      <c r="B4552" s="2" t="s">
        <v>3690</v>
      </c>
      <c r="C4552" s="2" t="n">
        <v>2</v>
      </c>
      <c r="D4552" s="2" t="n">
        <v>3</v>
      </c>
      <c r="E4552" s="2" t="n">
        <v>1</v>
      </c>
      <c r="F4552" s="2" t="n">
        <v>90</v>
      </c>
      <c r="G4552" s="2" t="s">
        <v>3689</v>
      </c>
      <c r="H4552" s="2" t="str">
        <f aca="false">IFERROR(__xludf.dummyfunction("IF(I4603="""", """", REGEXEXTRACT(I4603, ""Padrao/([^/]+)""))"),"Centro")</f>
        <v>Centro</v>
      </c>
    </row>
    <row r="4553" customFormat="false" ht="15.75" hidden="false" customHeight="false" outlineLevel="0" collapsed="false">
      <c r="A4553" s="2" t="n">
        <v>236744</v>
      </c>
      <c r="B4553" s="2" t="s">
        <v>3691</v>
      </c>
      <c r="C4553" s="2" t="n">
        <v>2</v>
      </c>
      <c r="D4553" s="2" t="n">
        <v>2</v>
      </c>
      <c r="E4553" s="2" t="n">
        <v>1</v>
      </c>
      <c r="F4553" s="2" t="n">
        <v>68</v>
      </c>
      <c r="G4553" s="2" t="s">
        <v>3689</v>
      </c>
      <c r="H4553" s="2" t="str">
        <f aca="false">IFERROR(__xludf.dummyfunction("IF(I4604="""", """", REGEXEXTRACT(I4604, ""Padrao/([^/]+)""))"),"Nova Alianca")</f>
        <v>Nova Alianca</v>
      </c>
    </row>
    <row r="4554" customFormat="false" ht="15.75" hidden="false" customHeight="false" outlineLevel="0" collapsed="false">
      <c r="A4554" s="2" t="n">
        <v>107975</v>
      </c>
      <c r="B4554" s="2" t="s">
        <v>162</v>
      </c>
      <c r="C4554" s="2" t="n">
        <v>2</v>
      </c>
      <c r="D4554" s="2" t="n">
        <v>2</v>
      </c>
      <c r="E4554" s="2" t="n">
        <v>1</v>
      </c>
      <c r="F4554" s="2" t="n">
        <v>69</v>
      </c>
      <c r="G4554" s="2" t="s">
        <v>3689</v>
      </c>
      <c r="H4554" s="2" t="str">
        <f aca="false">IFERROR(__xludf.dummyfunction("IF(I4605="""", """", REGEXEXTRACT(I4605, ""Padrao/([^/]+)""))"),"Jardim Botanico")</f>
        <v>Jardim Botanico</v>
      </c>
    </row>
    <row r="4555" customFormat="false" ht="15.75" hidden="false" customHeight="false" outlineLevel="0" collapsed="false">
      <c r="A4555" s="2" t="n">
        <v>103121</v>
      </c>
      <c r="B4555" s="2" t="s">
        <v>3601</v>
      </c>
      <c r="C4555" s="2" t="n">
        <v>3</v>
      </c>
      <c r="D4555" s="2" t="n">
        <v>4</v>
      </c>
      <c r="E4555" s="2" t="n">
        <v>1</v>
      </c>
      <c r="F4555" s="2" t="n">
        <v>116</v>
      </c>
      <c r="G4555" s="2" t="s">
        <v>3689</v>
      </c>
      <c r="H4555" s="2" t="str">
        <f aca="false">IFERROR(__xludf.dummyfunction("IF(I4606="""", """", REGEXEXTRACT(I4606, ""Padrao/([^/]+)""))"),"Centro")</f>
        <v>Centro</v>
      </c>
    </row>
    <row r="4556" customFormat="false" ht="15.75" hidden="false" customHeight="false" outlineLevel="0" collapsed="false">
      <c r="A4556" s="2" t="n">
        <v>92144</v>
      </c>
      <c r="B4556" s="2" t="s">
        <v>162</v>
      </c>
      <c r="C4556" s="2" t="n">
        <v>3</v>
      </c>
      <c r="D4556" s="2" t="n">
        <v>3</v>
      </c>
      <c r="E4556" s="2" t="n">
        <v>2</v>
      </c>
      <c r="F4556" s="2" t="n">
        <v>96</v>
      </c>
      <c r="G4556" s="2" t="s">
        <v>3689</v>
      </c>
      <c r="H4556" s="2" t="str">
        <f aca="false">IFERROR(__xludf.dummyfunction("IF(I4607="""", """", REGEXEXTRACT(I4607, ""Padrao/([^/]+)""))"),"Higienopolis")</f>
        <v>Higienopolis</v>
      </c>
    </row>
    <row r="4557" customFormat="false" ht="15.75" hidden="false" customHeight="false" outlineLevel="0" collapsed="false">
      <c r="A4557" s="2" t="n">
        <v>89546</v>
      </c>
      <c r="B4557" s="2" t="s">
        <v>3692</v>
      </c>
      <c r="C4557" s="2" t="n">
        <v>3</v>
      </c>
      <c r="D4557" s="2" t="n">
        <v>2</v>
      </c>
      <c r="E4557" s="2" t="n">
        <v>1</v>
      </c>
      <c r="F4557" s="2" t="n">
        <v>100</v>
      </c>
      <c r="G4557" s="2" t="s">
        <v>3689</v>
      </c>
      <c r="H4557" s="2" t="str">
        <f aca="false">IFERROR(__xludf.dummyfunction("IF(I4608="""", """", REGEXEXTRACT(I4608, ""Padrao/([^/]+)""))"),"Santa Cruz do Jose Jacques")</f>
        <v>Santa Cruz do Jose Jacques</v>
      </c>
    </row>
    <row r="4558" customFormat="false" ht="15.75" hidden="false" customHeight="false" outlineLevel="0" collapsed="false">
      <c r="A4558" s="2" t="n">
        <v>59174</v>
      </c>
      <c r="B4558" s="2" t="s">
        <v>3693</v>
      </c>
      <c r="C4558" s="2" t="n">
        <v>2</v>
      </c>
      <c r="D4558" s="2" t="n">
        <v>1</v>
      </c>
      <c r="E4558" s="2" t="n">
        <v>2</v>
      </c>
      <c r="F4558" s="2" t="n">
        <v>81</v>
      </c>
      <c r="G4558" s="2" t="s">
        <v>3689</v>
      </c>
      <c r="H4558" s="2" t="str">
        <f aca="false">IFERROR(__xludf.dummyfunction("IF(I4609="""", """", REGEXEXTRACT(I4609, ""Padrao/([^/]+)""))"),"Jardim Paulista")</f>
        <v>Jardim Paulista</v>
      </c>
    </row>
    <row r="4559" customFormat="false" ht="15.75" hidden="false" customHeight="false" outlineLevel="0" collapsed="false">
      <c r="A4559" s="2" t="n">
        <v>244880</v>
      </c>
      <c r="B4559" s="2" t="s">
        <v>3694</v>
      </c>
      <c r="C4559" s="2" t="n">
        <v>2</v>
      </c>
      <c r="D4559" s="2" t="n">
        <v>1</v>
      </c>
      <c r="E4559" s="2" t="n">
        <v>1</v>
      </c>
      <c r="F4559" s="2" t="n">
        <v>67</v>
      </c>
      <c r="G4559" s="2" t="s">
        <v>3695</v>
      </c>
      <c r="H4559" s="2" t="str">
        <f aca="false">IFERROR(__xludf.dummyfunction("IF(I4610="""", """", REGEXEXTRACT(I4610, ""Padrao/([^/]+)""))"),"Nova Ribeirania")</f>
        <v>Nova Ribeirania</v>
      </c>
    </row>
    <row r="4560" customFormat="false" ht="15.75" hidden="false" customHeight="false" outlineLevel="0" collapsed="false">
      <c r="A4560" s="2" t="n">
        <v>214769</v>
      </c>
      <c r="B4560" s="2" t="s">
        <v>3696</v>
      </c>
      <c r="C4560" s="2" t="n">
        <v>2</v>
      </c>
      <c r="D4560" s="2" t="n">
        <v>2</v>
      </c>
      <c r="E4560" s="2" t="n">
        <v>1</v>
      </c>
      <c r="F4560" s="2" t="n">
        <v>59</v>
      </c>
      <c r="G4560" s="2" t="s">
        <v>3697</v>
      </c>
      <c r="H4560" s="2" t="str">
        <f aca="false">IFERROR(__xludf.dummyfunction("IF(I4611="""", """", REGEXEXTRACT(I4611, ""Padrao/([^/]+)""))"),"Santa Cruz do Jose Jacques")</f>
        <v>Santa Cruz do Jose Jacques</v>
      </c>
    </row>
    <row r="4561" customFormat="false" ht="15.75" hidden="false" customHeight="false" outlineLevel="0" collapsed="false">
      <c r="A4561" s="2" t="n">
        <v>239381</v>
      </c>
      <c r="B4561" s="2" t="s">
        <v>3698</v>
      </c>
      <c r="C4561" s="2" t="n">
        <v>2</v>
      </c>
      <c r="D4561" s="2" t="n">
        <v>2</v>
      </c>
      <c r="E4561" s="2" t="n">
        <v>1</v>
      </c>
      <c r="F4561" s="2" t="n">
        <v>58</v>
      </c>
      <c r="G4561" s="2" t="s">
        <v>3699</v>
      </c>
      <c r="H4561" s="2" t="str">
        <f aca="false">IFERROR(__xludf.dummyfunction("IF(I4612="""", """", REGEXEXTRACT(I4612, ""Padrao/([^/]+)""))"),"Jardim Sumare")</f>
        <v>Jardim Sumare</v>
      </c>
    </row>
    <row r="4562" customFormat="false" ht="15.75" hidden="false" customHeight="false" outlineLevel="0" collapsed="false">
      <c r="A4562" s="2" t="n">
        <v>238106</v>
      </c>
      <c r="B4562" s="2" t="s">
        <v>3700</v>
      </c>
      <c r="C4562" s="2" t="n">
        <v>3</v>
      </c>
      <c r="D4562" s="2" t="n">
        <v>2</v>
      </c>
      <c r="E4562" s="2" t="n">
        <v>1</v>
      </c>
      <c r="F4562" s="2" t="n">
        <v>114</v>
      </c>
      <c r="G4562" s="2" t="s">
        <v>3699</v>
      </c>
      <c r="H4562" s="2" t="str">
        <f aca="false">IFERROR(__xludf.dummyfunction("IF(I4613="""", """", REGEXEXTRACT(I4613, ""Padrao/([^/]+)""))"),"Centro")</f>
        <v>Centro</v>
      </c>
    </row>
    <row r="4563" customFormat="false" ht="15.75" hidden="false" customHeight="false" outlineLevel="0" collapsed="false">
      <c r="A4563" s="2" t="n">
        <v>223214</v>
      </c>
      <c r="B4563" s="2" t="s">
        <v>3701</v>
      </c>
      <c r="C4563" s="2" t="n">
        <v>3</v>
      </c>
      <c r="D4563" s="2" t="n">
        <v>3</v>
      </c>
      <c r="E4563" s="2" t="n">
        <v>2</v>
      </c>
      <c r="F4563" s="2" t="n">
        <v>103</v>
      </c>
      <c r="G4563" s="2" t="s">
        <v>3699</v>
      </c>
      <c r="H4563" s="2" t="str">
        <f aca="false">IFERROR(__xludf.dummyfunction("IF(I4614="""", """", REGEXEXTRACT(I4614, ""Padrao/([^/]+)""))"),"Vila Seixas")</f>
        <v>Vila Seixas</v>
      </c>
    </row>
    <row r="4564" customFormat="false" ht="15.75" hidden="false" customHeight="false" outlineLevel="0" collapsed="false">
      <c r="A4564" s="2" t="n">
        <v>187271</v>
      </c>
      <c r="B4564" s="2" t="s">
        <v>3639</v>
      </c>
      <c r="C4564" s="2" t="n">
        <v>3</v>
      </c>
      <c r="D4564" s="2" t="n">
        <v>2</v>
      </c>
      <c r="E4564" s="2" t="n">
        <v>1</v>
      </c>
      <c r="F4564" s="2" t="n">
        <v>131</v>
      </c>
      <c r="G4564" s="2" t="s">
        <v>646</v>
      </c>
      <c r="H4564" s="2" t="str">
        <f aca="false">IFERROR(__xludf.dummyfunction("IF(I4615="""", """", REGEXEXTRACT(I4615, ""Padrao/([^/]+)""))"),"Centro")</f>
        <v>Centro</v>
      </c>
    </row>
    <row r="4565" customFormat="false" ht="15.75" hidden="false" customHeight="false" outlineLevel="0" collapsed="false">
      <c r="A4565" s="2" t="n">
        <v>245555</v>
      </c>
      <c r="B4565" s="2" t="s">
        <v>3702</v>
      </c>
      <c r="C4565" s="2" t="n">
        <v>3</v>
      </c>
      <c r="D4565" s="2" t="n">
        <v>2</v>
      </c>
      <c r="E4565" s="2" t="n">
        <v>1</v>
      </c>
      <c r="F4565" s="2" t="n">
        <v>87</v>
      </c>
      <c r="G4565" s="2" t="s">
        <v>3703</v>
      </c>
      <c r="H4565" s="2" t="str">
        <f aca="false">IFERROR(__xludf.dummyfunction("IF(I4616="""", """", REGEXEXTRACT(I4616, ""Padrao/([^/]+)""))"),"Jardim Iraja")</f>
        <v>Jardim Iraja</v>
      </c>
    </row>
    <row r="4566" customFormat="false" ht="15.75" hidden="false" customHeight="false" outlineLevel="0" collapsed="false">
      <c r="A4566" s="2" t="n">
        <v>239165</v>
      </c>
      <c r="B4566" s="2" t="s">
        <v>3704</v>
      </c>
      <c r="C4566" s="2" t="n">
        <v>1</v>
      </c>
      <c r="D4566" s="2" t="n">
        <v>1</v>
      </c>
      <c r="E4566" s="2" t="n">
        <v>1</v>
      </c>
      <c r="F4566" s="2" t="n">
        <v>47</v>
      </c>
      <c r="G4566" s="2" t="s">
        <v>3703</v>
      </c>
      <c r="H4566" s="2" t="str">
        <f aca="false">IFERROR(__xludf.dummyfunction("IF(I4617="""", """", REGEXEXTRACT(I4617, ""Padrao/([^/]+)""))"),"Vila Monte Alegre")</f>
        <v>Vila Monte Alegre</v>
      </c>
    </row>
    <row r="4567" customFormat="false" ht="15.75" hidden="false" customHeight="false" outlineLevel="0" collapsed="false">
      <c r="A4567" s="2" t="n">
        <v>230990</v>
      </c>
      <c r="B4567" s="2" t="s">
        <v>3705</v>
      </c>
      <c r="C4567" s="2" t="n">
        <v>3</v>
      </c>
      <c r="D4567" s="2" t="n">
        <v>3</v>
      </c>
      <c r="E4567" s="2" t="n">
        <v>3</v>
      </c>
      <c r="F4567" s="2" t="n">
        <v>127</v>
      </c>
      <c r="G4567" s="2" t="s">
        <v>3703</v>
      </c>
      <c r="H4567" s="2" t="str">
        <f aca="false">IFERROR(__xludf.dummyfunction("IF(I4618="""", """", REGEXEXTRACT(I4618, ""Padrao/([^/]+)""))"),"Campos Eliseos")</f>
        <v>Campos Eliseos</v>
      </c>
    </row>
    <row r="4568" customFormat="false" ht="15.75" hidden="false" customHeight="false" outlineLevel="0" collapsed="false">
      <c r="A4568" s="2" t="n">
        <v>202751</v>
      </c>
      <c r="B4568" s="2" t="s">
        <v>3706</v>
      </c>
      <c r="C4568" s="2" t="n">
        <v>2</v>
      </c>
      <c r="D4568" s="2" t="n">
        <v>2</v>
      </c>
      <c r="E4568" s="2" t="n">
        <v>1</v>
      </c>
      <c r="F4568" s="2" t="n">
        <v>55</v>
      </c>
      <c r="G4568" s="2" t="s">
        <v>3703</v>
      </c>
      <c r="H4568" s="2" t="str">
        <f aca="false">IFERROR(__xludf.dummyfunction("IF(I4619="""", """", REGEXEXTRACT(I4619, ""Padrao/([^/]+)""))"),"Jardim Olhos DAgua")</f>
        <v>Jardim Olhos DAgua</v>
      </c>
    </row>
    <row r="4569" customFormat="false" ht="15.75" hidden="false" customHeight="false" outlineLevel="0" collapsed="false">
      <c r="A4569" s="2" t="n">
        <v>189617</v>
      </c>
      <c r="B4569" s="2" t="s">
        <v>3707</v>
      </c>
      <c r="C4569" s="2" t="n">
        <v>3</v>
      </c>
      <c r="D4569" s="2" t="n">
        <v>2</v>
      </c>
      <c r="E4569" s="2" t="n">
        <v>1</v>
      </c>
      <c r="F4569" s="2" t="n">
        <v>100</v>
      </c>
      <c r="G4569" s="2" t="s">
        <v>3703</v>
      </c>
      <c r="H4569" s="2" t="str">
        <f aca="false">IFERROR(__xludf.dummyfunction("IF(I4620="""", """", REGEXEXTRACT(I4620, ""Padrao/([^/]+)""))"),"Condominio Itamaraty")</f>
        <v>Condominio Itamaraty</v>
      </c>
    </row>
    <row r="4570" customFormat="false" ht="15.75" hidden="false" customHeight="false" outlineLevel="0" collapsed="false">
      <c r="A4570" s="2" t="n">
        <v>182285</v>
      </c>
      <c r="B4570" s="2" t="s">
        <v>1518</v>
      </c>
      <c r="C4570" s="2" t="n">
        <v>3</v>
      </c>
      <c r="D4570" s="2" t="n">
        <v>2</v>
      </c>
      <c r="E4570" s="2" t="n">
        <v>1</v>
      </c>
      <c r="F4570" s="2" t="n">
        <v>96</v>
      </c>
      <c r="G4570" s="2" t="s">
        <v>3703</v>
      </c>
      <c r="H4570" s="2" t="str">
        <f aca="false">IFERROR(__xludf.dummyfunction("IF(I4621="""", """", REGEXEXTRACT(I4621, ""Padrao/([^/]+)""))"),"Centro")</f>
        <v>Centro</v>
      </c>
    </row>
    <row r="4571" customFormat="false" ht="15.75" hidden="false" customHeight="false" outlineLevel="0" collapsed="false">
      <c r="A4571" s="2" t="n">
        <v>177332</v>
      </c>
      <c r="B4571" s="2" t="s">
        <v>3708</v>
      </c>
      <c r="C4571" s="2" t="n">
        <v>2</v>
      </c>
      <c r="D4571" s="2" t="n">
        <v>2</v>
      </c>
      <c r="E4571" s="2" t="n">
        <v>2</v>
      </c>
      <c r="F4571" s="2" t="n">
        <v>66</v>
      </c>
      <c r="G4571" s="2" t="s">
        <v>3703</v>
      </c>
      <c r="H4571" s="2" t="str">
        <f aca="false">IFERROR(__xludf.dummyfunction("IF(I4622="""", """", REGEXEXTRACT(I4622, ""Padrao/([^/]+)""))"),"Nova Ribeirania")</f>
        <v>Nova Ribeirania</v>
      </c>
    </row>
    <row r="4572" customFormat="false" ht="15.75" hidden="false" customHeight="false" outlineLevel="0" collapsed="false">
      <c r="A4572" s="2" t="n">
        <v>121331</v>
      </c>
      <c r="B4572" s="2" t="s">
        <v>3709</v>
      </c>
      <c r="C4572" s="2" t="n">
        <v>3</v>
      </c>
      <c r="D4572" s="2" t="n">
        <v>3</v>
      </c>
      <c r="E4572" s="2" t="n">
        <v>2</v>
      </c>
      <c r="F4572" s="2" t="n">
        <v>83</v>
      </c>
      <c r="G4572" s="2" t="s">
        <v>3703</v>
      </c>
      <c r="H4572" s="2" t="str">
        <f aca="false">IFERROR(__xludf.dummyfunction("IF(I4623="""", """", REGEXEXTRACT(I4623, ""Padrao/([^/]+)""))"),"Centro")</f>
        <v>Centro</v>
      </c>
    </row>
    <row r="4573" customFormat="false" ht="15.75" hidden="false" customHeight="false" outlineLevel="0" collapsed="false">
      <c r="A4573" s="2" t="n">
        <v>104249</v>
      </c>
      <c r="B4573" s="2" t="s">
        <v>3710</v>
      </c>
      <c r="C4573" s="2" t="n">
        <v>3</v>
      </c>
      <c r="D4573" s="2" t="n">
        <v>3</v>
      </c>
      <c r="E4573" s="2" t="n">
        <v>1</v>
      </c>
      <c r="F4573" s="2" t="n">
        <v>122</v>
      </c>
      <c r="G4573" s="2" t="s">
        <v>3703</v>
      </c>
      <c r="H4573" s="2" t="str">
        <f aca="false">IFERROR(__xludf.dummyfunction("IF(I4624="""", """", REGEXEXTRACT(I4624, ""Padrao/([^/]+)""))"),"Centro")</f>
        <v>Centro</v>
      </c>
    </row>
    <row r="4574" customFormat="false" ht="15.75" hidden="false" customHeight="false" outlineLevel="0" collapsed="false">
      <c r="A4574" s="2" t="n">
        <v>59504</v>
      </c>
      <c r="B4574" s="2" t="s">
        <v>3711</v>
      </c>
      <c r="C4574" s="2" t="n">
        <v>2</v>
      </c>
      <c r="D4574" s="2" t="n">
        <v>2</v>
      </c>
      <c r="E4574" s="2" t="n">
        <v>1</v>
      </c>
      <c r="F4574" s="2" t="n">
        <v>61</v>
      </c>
      <c r="G4574" s="2" t="s">
        <v>3703</v>
      </c>
      <c r="H4574" s="2" t="str">
        <f aca="false">IFERROR(__xludf.dummyfunction("IF(I4625="""", """", REGEXEXTRACT(I4625, ""Padrao/([^/]+)""))"),"Nova Alianca")</f>
        <v>Nova Alianca</v>
      </c>
    </row>
    <row r="4575" customFormat="false" ht="15.75" hidden="false" customHeight="false" outlineLevel="0" collapsed="false">
      <c r="A4575" s="2" t="n">
        <v>224897</v>
      </c>
      <c r="B4575" s="2" t="s">
        <v>3712</v>
      </c>
      <c r="C4575" s="2" t="n">
        <v>2</v>
      </c>
      <c r="D4575" s="2" t="n">
        <v>2</v>
      </c>
      <c r="E4575" s="2" t="n">
        <v>1</v>
      </c>
      <c r="F4575" s="2" t="n">
        <v>67</v>
      </c>
      <c r="G4575" s="2" t="s">
        <v>1522</v>
      </c>
      <c r="H4575" s="2" t="str">
        <f aca="false">IFERROR(__xludf.dummyfunction("IF(I4626="""", """", REGEXEXTRACT(I4626, ""Padrao/([^/]+)""))"),"Ribeirania")</f>
        <v>Ribeirania</v>
      </c>
    </row>
    <row r="4576" customFormat="false" ht="15.75" hidden="false" customHeight="false" outlineLevel="0" collapsed="false">
      <c r="A4576" s="2" t="n">
        <v>241679</v>
      </c>
      <c r="B4576" s="2" t="s">
        <v>3713</v>
      </c>
      <c r="C4576" s="2" t="n">
        <v>2</v>
      </c>
      <c r="D4576" s="2" t="n">
        <v>2</v>
      </c>
      <c r="E4576" s="2" t="n">
        <v>2</v>
      </c>
      <c r="F4576" s="2" t="n">
        <v>78</v>
      </c>
      <c r="G4576" s="2" t="s">
        <v>3714</v>
      </c>
      <c r="H4576" s="2" t="str">
        <f aca="false">IFERROR(__xludf.dummyfunction("IF(I4627="""", """", REGEXEXTRACT(I4627, ""Padrao/([^/]+)""))"),"Parque dos Lagos")</f>
        <v>Parque dos Lagos</v>
      </c>
    </row>
    <row r="4577" customFormat="false" ht="15.75" hidden="false" customHeight="false" outlineLevel="0" collapsed="false">
      <c r="A4577" s="2" t="n">
        <v>231077</v>
      </c>
      <c r="B4577" s="2" t="s">
        <v>3715</v>
      </c>
      <c r="C4577" s="2" t="n">
        <v>3</v>
      </c>
      <c r="D4577" s="2" t="n">
        <v>2</v>
      </c>
      <c r="E4577" s="2" t="n">
        <v>1</v>
      </c>
      <c r="F4577" s="2" t="n">
        <v>85</v>
      </c>
      <c r="G4577" s="2" t="s">
        <v>3714</v>
      </c>
      <c r="H4577" s="2" t="str">
        <f aca="false">IFERROR(__xludf.dummyfunction("IF(I4628="""", """", REGEXEXTRACT(I4628, ""Padrao/([^/]+)""))"),"Jardim Paulista")</f>
        <v>Jardim Paulista</v>
      </c>
    </row>
    <row r="4578" customFormat="false" ht="15.75" hidden="false" customHeight="false" outlineLevel="0" collapsed="false">
      <c r="A4578" s="2" t="n">
        <v>155480</v>
      </c>
      <c r="B4578" s="2" t="s">
        <v>3716</v>
      </c>
      <c r="C4578" s="2" t="n">
        <v>3</v>
      </c>
      <c r="D4578" s="2" t="n">
        <v>2</v>
      </c>
      <c r="E4578" s="2" t="n">
        <v>2</v>
      </c>
      <c r="F4578" s="2" t="n">
        <v>68</v>
      </c>
      <c r="G4578" s="2" t="s">
        <v>3714</v>
      </c>
      <c r="H4578" s="2" t="str">
        <f aca="false">IFERROR(__xludf.dummyfunction("IF(I4629="""", """", REGEXEXTRACT(I4629, ""Padrao/([^/]+)""))"),"Jardim Macedo")</f>
        <v>Jardim Macedo</v>
      </c>
    </row>
    <row r="4579" customFormat="false" ht="15.75" hidden="false" customHeight="false" outlineLevel="0" collapsed="false">
      <c r="A4579" s="2" t="n">
        <v>98087</v>
      </c>
      <c r="B4579" s="2" t="s">
        <v>3472</v>
      </c>
      <c r="C4579" s="2" t="n">
        <v>2</v>
      </c>
      <c r="D4579" s="2" t="n">
        <v>1</v>
      </c>
      <c r="E4579" s="2" t="n">
        <v>1</v>
      </c>
      <c r="F4579" s="2" t="n">
        <v>81</v>
      </c>
      <c r="G4579" s="2" t="s">
        <v>3714</v>
      </c>
      <c r="H4579" s="2" t="str">
        <f aca="false">IFERROR(__xludf.dummyfunction("IF(I4630="""", """", REGEXEXTRACT(I4630, ""Padrao/([^/]+)""))"),"Jardim Paulista")</f>
        <v>Jardim Paulista</v>
      </c>
    </row>
    <row r="4580" customFormat="false" ht="15.75" hidden="false" customHeight="false" outlineLevel="0" collapsed="false">
      <c r="A4580" s="2" t="n">
        <v>190733</v>
      </c>
      <c r="B4580" s="2" t="s">
        <v>3717</v>
      </c>
      <c r="C4580" s="2" t="n">
        <v>3</v>
      </c>
      <c r="D4580" s="2" t="n">
        <v>2</v>
      </c>
      <c r="E4580" s="2" t="n">
        <v>1</v>
      </c>
      <c r="F4580" s="2" t="n">
        <v>85</v>
      </c>
      <c r="G4580" s="2" t="s">
        <v>3718</v>
      </c>
      <c r="H4580" s="2" t="str">
        <f aca="false">IFERROR(__xludf.dummyfunction("IF(I4631="""", """", REGEXEXTRACT(I4631, ""Padrao/([^/]+)""))"),"Jardim Macedo")</f>
        <v>Jardim Macedo</v>
      </c>
    </row>
    <row r="4581" customFormat="false" ht="15.75" hidden="false" customHeight="false" outlineLevel="0" collapsed="false">
      <c r="A4581" s="2" t="n">
        <v>232517</v>
      </c>
      <c r="B4581" s="2" t="s">
        <v>3719</v>
      </c>
      <c r="C4581" s="2" t="n">
        <v>1</v>
      </c>
      <c r="D4581" s="2" t="n">
        <v>1</v>
      </c>
      <c r="E4581" s="2" t="n">
        <v>1</v>
      </c>
      <c r="F4581" s="2" t="n">
        <v>39</v>
      </c>
      <c r="G4581" s="2" t="s">
        <v>3720</v>
      </c>
      <c r="H4581" s="2" t="str">
        <f aca="false">IFERROR(__xludf.dummyfunction("IF(I4632="""", """", REGEXEXTRACT(I4632, ""Padrao/([^/]+)""))"),"Jardim Sumare")</f>
        <v>Jardim Sumare</v>
      </c>
    </row>
    <row r="4582" customFormat="false" ht="15.75" hidden="false" customHeight="false" outlineLevel="0" collapsed="false">
      <c r="A4582" s="2" t="n">
        <v>229142</v>
      </c>
      <c r="B4582" s="2" t="s">
        <v>3719</v>
      </c>
      <c r="C4582" s="2" t="n">
        <v>1</v>
      </c>
      <c r="D4582" s="2" t="n">
        <v>1</v>
      </c>
      <c r="E4582" s="2" t="n">
        <v>1</v>
      </c>
      <c r="F4582" s="2" t="n">
        <v>39</v>
      </c>
      <c r="G4582" s="2" t="s">
        <v>3720</v>
      </c>
      <c r="H4582" s="2" t="str">
        <f aca="false">IFERROR(__xludf.dummyfunction("IF(I4633="""", """", REGEXEXTRACT(I4633, ""Padrao/([^/]+)""))"),"Jardim Sumare")</f>
        <v>Jardim Sumare</v>
      </c>
    </row>
    <row r="4583" customFormat="false" ht="15.75" hidden="false" customHeight="false" outlineLevel="0" collapsed="false">
      <c r="A4583" s="2" t="n">
        <v>91556</v>
      </c>
      <c r="B4583" s="2" t="s">
        <v>3721</v>
      </c>
      <c r="C4583" s="2" t="n">
        <v>2</v>
      </c>
      <c r="D4583" s="2" t="n">
        <v>1</v>
      </c>
      <c r="E4583" s="2" t="n">
        <v>2</v>
      </c>
      <c r="F4583" s="2" t="n">
        <v>75</v>
      </c>
      <c r="G4583" s="2" t="s">
        <v>3720</v>
      </c>
      <c r="H4583" s="2" t="str">
        <f aca="false">IFERROR(__xludf.dummyfunction("IF(I4634="""", """", REGEXEXTRACT(I4634, ""Padrao/([^/]+)""))"),"Jardim Paulista")</f>
        <v>Jardim Paulista</v>
      </c>
    </row>
    <row r="4584" customFormat="false" ht="15.75" hidden="false" customHeight="false" outlineLevel="0" collapsed="false">
      <c r="A4584" s="2" t="n">
        <v>191039</v>
      </c>
      <c r="B4584" s="2" t="s">
        <v>3722</v>
      </c>
      <c r="C4584" s="2" t="n">
        <v>2</v>
      </c>
      <c r="D4584" s="2" t="n">
        <v>3</v>
      </c>
      <c r="E4584" s="2" t="n">
        <v>2</v>
      </c>
      <c r="F4584" s="2" t="n">
        <v>54</v>
      </c>
      <c r="G4584" s="2" t="s">
        <v>3723</v>
      </c>
      <c r="H4584" s="2" t="str">
        <f aca="false">IFERROR(__xludf.dummyfunction("IF(I4635="""", """", REGEXEXTRACT(I4635, ""Padrao/([^/]+)""))"),"Reserva Sul Condominio")</f>
        <v>Reserva Sul Condominio</v>
      </c>
    </row>
    <row r="4585" customFormat="false" ht="15.75" hidden="false" customHeight="false" outlineLevel="0" collapsed="false">
      <c r="A4585" s="2" t="n">
        <v>238016</v>
      </c>
      <c r="B4585" s="2" t="s">
        <v>3724</v>
      </c>
      <c r="C4585" s="2" t="n">
        <v>2</v>
      </c>
      <c r="D4585" s="2" t="n">
        <v>2</v>
      </c>
      <c r="E4585" s="2" t="n">
        <v>1</v>
      </c>
      <c r="F4585" s="2" t="n">
        <v>56</v>
      </c>
      <c r="G4585" s="2" t="s">
        <v>3725</v>
      </c>
      <c r="H4585" s="2" t="str">
        <f aca="false">IFERROR(__xludf.dummyfunction("IF(I4636="""", """", REGEXEXTRACT(I4636, ""Padrao/([^/]+)""))"),"Parque Industrial Lagoinha")</f>
        <v>Parque Industrial Lagoinha</v>
      </c>
    </row>
    <row r="4586" customFormat="false" ht="15.75" hidden="false" customHeight="false" outlineLevel="0" collapsed="false">
      <c r="A4586" s="2" t="n">
        <v>220331</v>
      </c>
      <c r="B4586" s="2" t="s">
        <v>3726</v>
      </c>
      <c r="C4586" s="2" t="n">
        <v>3</v>
      </c>
      <c r="D4586" s="2" t="n">
        <v>3</v>
      </c>
      <c r="E4586" s="2" t="n">
        <v>1</v>
      </c>
      <c r="F4586" s="2" t="n">
        <v>127</v>
      </c>
      <c r="G4586" s="2" t="s">
        <v>3725</v>
      </c>
      <c r="H4586" s="2" t="str">
        <f aca="false">IFERROR(__xludf.dummyfunction("IF(I4637="""", """", REGEXEXTRACT(I4637, ""Padrao/([^/]+)""))"),"Vila Seixas")</f>
        <v>Vila Seixas</v>
      </c>
    </row>
    <row r="4587" customFormat="false" ht="15.75" hidden="false" customHeight="false" outlineLevel="0" collapsed="false">
      <c r="A4587" s="2" t="n">
        <v>142829</v>
      </c>
      <c r="B4587" s="2" t="s">
        <v>3727</v>
      </c>
      <c r="C4587" s="2" t="n">
        <v>2</v>
      </c>
      <c r="D4587" s="2" t="n">
        <v>2</v>
      </c>
      <c r="E4587" s="2" t="n">
        <v>1</v>
      </c>
      <c r="F4587" s="2" t="n">
        <v>68</v>
      </c>
      <c r="G4587" s="2" t="s">
        <v>575</v>
      </c>
      <c r="H4587" s="2" t="str">
        <f aca="false">IFERROR(__xludf.dummyfunction("IF(I4638="""", """", REGEXEXTRACT(I4638, ""Padrao/([^/]+)""))"),"Jardim Castelo Branco")</f>
        <v>Jardim Castelo Branco</v>
      </c>
    </row>
    <row r="4588" customFormat="false" ht="15.75" hidden="false" customHeight="false" outlineLevel="0" collapsed="false">
      <c r="A4588" s="2" t="n">
        <v>154805</v>
      </c>
      <c r="B4588" s="2" t="s">
        <v>3728</v>
      </c>
      <c r="C4588" s="2" t="n">
        <v>3</v>
      </c>
      <c r="D4588" s="2" t="n">
        <v>3</v>
      </c>
      <c r="E4588" s="2" t="n">
        <v>1</v>
      </c>
      <c r="F4588" s="2" t="n">
        <v>164</v>
      </c>
      <c r="G4588" s="2" t="s">
        <v>2992</v>
      </c>
      <c r="H4588" s="2" t="str">
        <f aca="false">IFERROR(__xludf.dummyfunction("IF(I4639="""", """", REGEXEXTRACT(I4639, ""Padrao/([^/]+)""))"),"Centro")</f>
        <v>Centro</v>
      </c>
    </row>
    <row r="4589" customFormat="false" ht="15.75" hidden="false" customHeight="false" outlineLevel="0" collapsed="false">
      <c r="A4589" s="2" t="n">
        <v>234047</v>
      </c>
      <c r="B4589" s="2" t="s">
        <v>3729</v>
      </c>
      <c r="C4589" s="2" t="n">
        <v>2</v>
      </c>
      <c r="D4589" s="2" t="n">
        <v>2</v>
      </c>
      <c r="E4589" s="2" t="n">
        <v>2</v>
      </c>
      <c r="F4589" s="2" t="n">
        <v>64</v>
      </c>
      <c r="G4589" s="2" t="s">
        <v>626</v>
      </c>
      <c r="H4589" s="2" t="str">
        <f aca="false">IFERROR(__xludf.dummyfunction("IF(I4640="""", """", REGEXEXTRACT(I4640, ""Padrao/([^/]+)""))"),"Jardim Botanico")</f>
        <v>Jardim Botanico</v>
      </c>
    </row>
    <row r="4590" customFormat="false" ht="15.75" hidden="false" customHeight="false" outlineLevel="0" collapsed="false">
      <c r="A4590" s="2" t="n">
        <v>237353</v>
      </c>
      <c r="B4590" s="2" t="s">
        <v>3160</v>
      </c>
      <c r="C4590" s="2" t="n">
        <v>2</v>
      </c>
      <c r="D4590" s="2" t="n">
        <v>2</v>
      </c>
      <c r="E4590" s="2" t="n">
        <v>1</v>
      </c>
      <c r="F4590" s="2" t="n">
        <v>55</v>
      </c>
      <c r="G4590" s="2" t="s">
        <v>1593</v>
      </c>
      <c r="H4590" s="2" t="str">
        <f aca="false">IFERROR(__xludf.dummyfunction("IF(I4641="""", """", REGEXEXTRACT(I4641, ""Padrao/([^/]+)""))"),"Jardim Olhos DAgua")</f>
        <v>Jardim Olhos DAgua</v>
      </c>
    </row>
    <row r="4591" customFormat="false" ht="15.75" hidden="false" customHeight="false" outlineLevel="0" collapsed="false">
      <c r="A4591" s="2" t="n">
        <v>111902</v>
      </c>
      <c r="B4591" s="2" t="s">
        <v>3730</v>
      </c>
      <c r="C4591" s="2" t="n">
        <v>2</v>
      </c>
      <c r="D4591" s="2" t="n">
        <v>2</v>
      </c>
      <c r="E4591" s="2" t="n">
        <v>1</v>
      </c>
      <c r="F4591" s="2" t="n">
        <v>129</v>
      </c>
      <c r="G4591" s="2" t="s">
        <v>1468</v>
      </c>
      <c r="H4591" s="2" t="str">
        <f aca="false">IFERROR(__xludf.dummyfunction("IF(I4642="""", """", REGEXEXTRACT(I4642, ""Padrao/([^/]+)""))"),"Centro")</f>
        <v>Centro</v>
      </c>
    </row>
    <row r="4592" customFormat="false" ht="15.75" hidden="false" customHeight="false" outlineLevel="0" collapsed="false">
      <c r="A4592" s="2" t="n">
        <v>103769</v>
      </c>
      <c r="B4592" s="2" t="s">
        <v>3731</v>
      </c>
      <c r="C4592" s="2" t="n">
        <v>3</v>
      </c>
      <c r="D4592" s="2" t="n">
        <v>2</v>
      </c>
      <c r="E4592" s="2" t="n">
        <v>2</v>
      </c>
      <c r="F4592" s="2" t="n">
        <v>120</v>
      </c>
      <c r="G4592" s="2" t="s">
        <v>1468</v>
      </c>
      <c r="H4592" s="2" t="str">
        <f aca="false">IFERROR(__xludf.dummyfunction("IF(I4643="""", """", REGEXEXTRACT(I4643, ""Padrao/([^/]+)""))"),"Centro")</f>
        <v>Centro</v>
      </c>
    </row>
    <row r="4593" customFormat="false" ht="15.75" hidden="false" customHeight="false" outlineLevel="0" collapsed="false">
      <c r="A4593" s="2" t="n">
        <v>53453</v>
      </c>
      <c r="B4593" s="2" t="s">
        <v>3732</v>
      </c>
      <c r="C4593" s="2" t="n">
        <v>3</v>
      </c>
      <c r="D4593" s="2" t="n">
        <v>4</v>
      </c>
      <c r="E4593" s="2" t="n">
        <v>2</v>
      </c>
      <c r="F4593" s="2" t="n">
        <v>170</v>
      </c>
      <c r="G4593" s="2" t="s">
        <v>1468</v>
      </c>
      <c r="H4593" s="2" t="str">
        <f aca="false">IFERROR(__xludf.dummyfunction("IF(I4644="""", """", REGEXEXTRACT(I4644, ""Padrao/([^/]+)""))"),"Parque dos Bandeirantes")</f>
        <v>Parque dos Bandeirantes</v>
      </c>
    </row>
    <row r="4594" customFormat="false" ht="15.75" hidden="false" customHeight="false" outlineLevel="0" collapsed="false">
      <c r="A4594" s="2" t="n">
        <v>181679</v>
      </c>
      <c r="B4594" s="2" t="s">
        <v>3733</v>
      </c>
      <c r="C4594" s="2" t="n">
        <v>3</v>
      </c>
      <c r="D4594" s="2" t="n">
        <v>2</v>
      </c>
      <c r="E4594" s="2" t="n">
        <v>1</v>
      </c>
      <c r="F4594" s="2" t="n">
        <v>87</v>
      </c>
      <c r="G4594" s="2" t="s">
        <v>1509</v>
      </c>
      <c r="H4594" s="2" t="str">
        <f aca="false">IFERROR(__xludf.dummyfunction("IF(I4645="""", """", REGEXEXTRACT(I4645, ""Padrao/([^/]+)""))"),"Jardim Iraja")</f>
        <v>Jardim Iraja</v>
      </c>
    </row>
    <row r="4595" customFormat="false" ht="15.75" hidden="false" customHeight="false" outlineLevel="0" collapsed="false">
      <c r="A4595" s="2" t="n">
        <v>83717</v>
      </c>
      <c r="B4595" s="2" t="s">
        <v>3734</v>
      </c>
      <c r="C4595" s="2" t="n">
        <v>3</v>
      </c>
      <c r="D4595" s="2" t="n">
        <v>3</v>
      </c>
      <c r="E4595" s="2" t="n">
        <v>1</v>
      </c>
      <c r="F4595" s="2" t="n">
        <v>171</v>
      </c>
      <c r="G4595" s="2" t="s">
        <v>1509</v>
      </c>
      <c r="H4595" s="2" t="str">
        <f aca="false">IFERROR(__xludf.dummyfunction("IF(I4646="""", """", REGEXEXTRACT(I4646, ""Padrao/([^/]+)""))"),"Centro")</f>
        <v>Centro</v>
      </c>
    </row>
    <row r="4596" customFormat="false" ht="15.75" hidden="false" customHeight="false" outlineLevel="0" collapsed="false">
      <c r="A4596" s="2" t="n">
        <v>104342</v>
      </c>
      <c r="B4596" s="2" t="s">
        <v>643</v>
      </c>
      <c r="C4596" s="2" t="n">
        <v>1</v>
      </c>
      <c r="D4596" s="2" t="n">
        <v>2</v>
      </c>
      <c r="E4596" s="2" t="n">
        <v>1</v>
      </c>
      <c r="F4596" s="2" t="n">
        <v>59</v>
      </c>
      <c r="G4596" s="2" t="s">
        <v>644</v>
      </c>
      <c r="H4596" s="2" t="str">
        <f aca="false">IFERROR(__xludf.dummyfunction("IF(I4647="""", """", REGEXEXTRACT(I4647, ""Padrao/([^/]+)""))"),"City Ribeirao")</f>
        <v>City Ribeirao</v>
      </c>
    </row>
    <row r="4597" customFormat="false" ht="15.75" hidden="false" customHeight="false" outlineLevel="0" collapsed="false">
      <c r="A4597" s="2" t="n">
        <v>232304</v>
      </c>
      <c r="B4597" s="2" t="s">
        <v>3735</v>
      </c>
      <c r="C4597" s="2" t="n">
        <v>2</v>
      </c>
      <c r="D4597" s="2" t="n">
        <v>2</v>
      </c>
      <c r="E4597" s="2" t="n">
        <v>1</v>
      </c>
      <c r="F4597" s="2" t="n">
        <v>63</v>
      </c>
      <c r="G4597" s="2" t="s">
        <v>3736</v>
      </c>
      <c r="H4597" s="2" t="str">
        <f aca="false">IFERROR(__xludf.dummyfunction("IF(I4648="""", """", REGEXEXTRACT(I4648, ""Padrao/([^/]+)""))"),"Centro")</f>
        <v>Centro</v>
      </c>
    </row>
    <row r="4598" customFormat="false" ht="15.75" hidden="false" customHeight="false" outlineLevel="0" collapsed="false">
      <c r="A4598" s="2" t="n">
        <v>244442</v>
      </c>
      <c r="B4598" s="2" t="s">
        <v>3737</v>
      </c>
      <c r="C4598" s="2" t="n">
        <v>3</v>
      </c>
      <c r="D4598" s="2" t="n">
        <v>3</v>
      </c>
      <c r="E4598" s="2" t="n">
        <v>1</v>
      </c>
      <c r="F4598" s="2" t="n">
        <v>285</v>
      </c>
      <c r="G4598" s="2" t="s">
        <v>648</v>
      </c>
      <c r="H4598" s="2" t="str">
        <f aca="false">IFERROR(__xludf.dummyfunction("IF(I4649="""", """", REGEXEXTRACT(I4649, ""Padrao/([^/]+)""))"),"Centro")</f>
        <v>Centro</v>
      </c>
    </row>
    <row r="4599" customFormat="false" ht="15.75" hidden="false" customHeight="false" outlineLevel="0" collapsed="false">
      <c r="A4599" s="2" t="n">
        <v>244217</v>
      </c>
      <c r="B4599" s="2" t="s">
        <v>3738</v>
      </c>
      <c r="C4599" s="2" t="n">
        <v>3</v>
      </c>
      <c r="D4599" s="2" t="n">
        <v>2</v>
      </c>
      <c r="E4599" s="2" t="n">
        <v>2</v>
      </c>
      <c r="F4599" s="2" t="n">
        <v>119</v>
      </c>
      <c r="G4599" s="2" t="s">
        <v>648</v>
      </c>
      <c r="H4599" s="2" t="str">
        <f aca="false">IFERROR(__xludf.dummyfunction("IF(I4650="""", """", REGEXEXTRACT(I4650, ""Padrao/([^/]+)""))"),"Jardim Sumare")</f>
        <v>Jardim Sumare</v>
      </c>
    </row>
    <row r="4600" customFormat="false" ht="15.75" hidden="false" customHeight="false" outlineLevel="0" collapsed="false">
      <c r="A4600" s="2" t="n">
        <v>243707</v>
      </c>
      <c r="B4600" s="2" t="s">
        <v>3160</v>
      </c>
      <c r="C4600" s="2" t="n">
        <v>2</v>
      </c>
      <c r="D4600" s="2" t="n">
        <v>2</v>
      </c>
      <c r="E4600" s="2" t="n">
        <v>1</v>
      </c>
      <c r="F4600" s="2" t="n">
        <v>55</v>
      </c>
      <c r="G4600" s="2" t="s">
        <v>648</v>
      </c>
      <c r="H4600" s="2" t="str">
        <f aca="false">IFERROR(__xludf.dummyfunction("IF(I4651="""", """", REGEXEXTRACT(I4651, ""Padrao/([^/]+)""))"),"Jardim Olhos DAgua")</f>
        <v>Jardim Olhos DAgua</v>
      </c>
    </row>
    <row r="4601" customFormat="false" ht="15.75" hidden="false" customHeight="false" outlineLevel="0" collapsed="false">
      <c r="A4601" s="2" t="n">
        <v>243002</v>
      </c>
      <c r="B4601" s="2" t="s">
        <v>162</v>
      </c>
      <c r="C4601" s="2" t="n">
        <v>2</v>
      </c>
      <c r="D4601" s="2" t="n">
        <v>2</v>
      </c>
      <c r="E4601" s="2" t="n">
        <v>1</v>
      </c>
      <c r="F4601" s="2" t="n">
        <v>88</v>
      </c>
      <c r="G4601" s="2" t="s">
        <v>648</v>
      </c>
      <c r="H4601" s="2" t="str">
        <f aca="false">IFERROR(__xludf.dummyfunction("IF(I4652="""", """", REGEXEXTRACT(I4652, ""Padrao/([^/]+)""))"),"Jardim Botanico")</f>
        <v>Jardim Botanico</v>
      </c>
    </row>
    <row r="4602" customFormat="false" ht="15.75" hidden="false" customHeight="false" outlineLevel="0" collapsed="false">
      <c r="A4602" s="2" t="n">
        <v>242558</v>
      </c>
      <c r="B4602" s="2" t="s">
        <v>2864</v>
      </c>
      <c r="C4602" s="2" t="n">
        <v>3</v>
      </c>
      <c r="D4602" s="2" t="n">
        <v>2</v>
      </c>
      <c r="E4602" s="2" t="n">
        <v>1</v>
      </c>
      <c r="F4602" s="2" t="n">
        <v>73</v>
      </c>
      <c r="G4602" s="2" t="s">
        <v>648</v>
      </c>
      <c r="H4602" s="2" t="str">
        <f aca="false">IFERROR(__xludf.dummyfunction("IF(I4653="""", """", REGEXEXTRACT(I4653, ""Padrao/([^/]+)""))"),"Jardim Antartica")</f>
        <v>Jardim Antartica</v>
      </c>
    </row>
    <row r="4603" customFormat="false" ht="15.75" hidden="false" customHeight="false" outlineLevel="0" collapsed="false">
      <c r="A4603" s="2" t="n">
        <v>239378</v>
      </c>
      <c r="B4603" s="2" t="s">
        <v>3739</v>
      </c>
      <c r="C4603" s="2" t="n">
        <v>3</v>
      </c>
      <c r="D4603" s="2" t="n">
        <v>2</v>
      </c>
      <c r="E4603" s="2" t="n">
        <v>1</v>
      </c>
      <c r="F4603" s="2" t="n">
        <v>95</v>
      </c>
      <c r="G4603" s="2" t="s">
        <v>648</v>
      </c>
      <c r="H4603" s="2" t="str">
        <f aca="false">IFERROR(__xludf.dummyfunction("IF(I4654="""", """", REGEXEXTRACT(I4654, ""Padrao/([^/]+)""))"),"Jardim Iraja")</f>
        <v>Jardim Iraja</v>
      </c>
    </row>
    <row r="4604" customFormat="false" ht="15.75" hidden="false" customHeight="false" outlineLevel="0" collapsed="false">
      <c r="A4604" s="2" t="n">
        <v>239351</v>
      </c>
      <c r="B4604" s="2" t="s">
        <v>3740</v>
      </c>
      <c r="C4604" s="2" t="n">
        <v>3</v>
      </c>
      <c r="D4604" s="2" t="n">
        <v>3</v>
      </c>
      <c r="E4604" s="2" t="n">
        <v>1</v>
      </c>
      <c r="F4604" s="2" t="n">
        <v>119</v>
      </c>
      <c r="G4604" s="2" t="s">
        <v>648</v>
      </c>
      <c r="H4604" s="2" t="str">
        <f aca="false">IFERROR(__xludf.dummyfunction("IF(I4655="""", """", REGEXEXTRACT(I4655, ""Padrao/([^/]+)""))"),"Alto da Boa Vista")</f>
        <v>Alto da Boa Vista</v>
      </c>
    </row>
    <row r="4605" customFormat="false" ht="15.75" hidden="false" customHeight="false" outlineLevel="0" collapsed="false">
      <c r="A4605" s="2" t="n">
        <v>235796</v>
      </c>
      <c r="B4605" s="2" t="s">
        <v>3741</v>
      </c>
      <c r="C4605" s="2" t="n">
        <v>2</v>
      </c>
      <c r="D4605" s="2" t="n">
        <v>2</v>
      </c>
      <c r="E4605" s="2" t="n">
        <v>1</v>
      </c>
      <c r="F4605" s="2" t="n">
        <v>55</v>
      </c>
      <c r="G4605" s="2" t="s">
        <v>648</v>
      </c>
      <c r="H4605" s="2" t="str">
        <f aca="false">IFERROR(__xludf.dummyfunction("IF(I4656="""", """", REGEXEXTRACT(I4656, ""Padrao/([^/]+)""))"),"Jardim Olhos DAgua")</f>
        <v>Jardim Olhos DAgua</v>
      </c>
    </row>
    <row r="4606" customFormat="false" ht="15.75" hidden="false" customHeight="false" outlineLevel="0" collapsed="false">
      <c r="A4606" s="2" t="n">
        <v>235133</v>
      </c>
      <c r="B4606" s="2" t="s">
        <v>3742</v>
      </c>
      <c r="C4606" s="2" t="n">
        <v>3</v>
      </c>
      <c r="D4606" s="2" t="n">
        <v>3</v>
      </c>
      <c r="E4606" s="2" t="n">
        <v>2</v>
      </c>
      <c r="F4606" s="2" t="n">
        <v>97</v>
      </c>
      <c r="G4606" s="2" t="s">
        <v>648</v>
      </c>
      <c r="H4606" s="2" t="str">
        <f aca="false">IFERROR(__xludf.dummyfunction("IF(I4657="""", """", REGEXEXTRACT(I4657, ""Padrao/([^/]+)""))"),"Vila Seixas")</f>
        <v>Vila Seixas</v>
      </c>
    </row>
    <row r="4607" customFormat="false" ht="15.75" hidden="false" customHeight="false" outlineLevel="0" collapsed="false">
      <c r="A4607" s="2" t="n">
        <v>232124</v>
      </c>
      <c r="B4607" s="2" t="s">
        <v>3411</v>
      </c>
      <c r="C4607" s="2" t="n">
        <v>1</v>
      </c>
      <c r="D4607" s="2" t="n">
        <v>1</v>
      </c>
      <c r="E4607" s="2" t="n">
        <v>1</v>
      </c>
      <c r="F4607" s="2" t="n">
        <v>49</v>
      </c>
      <c r="G4607" s="2" t="s">
        <v>648</v>
      </c>
      <c r="H4607" s="2" t="str">
        <f aca="false">IFERROR(__xludf.dummyfunction("IF(I4658="""", """", REGEXEXTRACT(I4658, ""Padrao/([^/]+)""))"),"Ribeirania")</f>
        <v>Ribeirania</v>
      </c>
    </row>
    <row r="4608" customFormat="false" ht="15.75" hidden="false" customHeight="false" outlineLevel="0" collapsed="false">
      <c r="A4608" s="2" t="n">
        <v>228308</v>
      </c>
      <c r="B4608" s="2" t="s">
        <v>3743</v>
      </c>
      <c r="C4608" s="2" t="n">
        <v>3</v>
      </c>
      <c r="D4608" s="2" t="n">
        <v>4</v>
      </c>
      <c r="E4608" s="2" t="n">
        <v>2</v>
      </c>
      <c r="F4608" s="2" t="n">
        <v>135</v>
      </c>
      <c r="G4608" s="2" t="s">
        <v>648</v>
      </c>
      <c r="H4608" s="2" t="str">
        <f aca="false">IFERROR(__xludf.dummyfunction("IF(I4659="""", """", REGEXEXTRACT(I4659, ""Padrao/([^/]+)""))"),"Jardim Sumare")</f>
        <v>Jardim Sumare</v>
      </c>
    </row>
    <row r="4609" customFormat="false" ht="15.75" hidden="false" customHeight="false" outlineLevel="0" collapsed="false">
      <c r="A4609" s="2" t="n">
        <v>225386</v>
      </c>
      <c r="B4609" s="2" t="s">
        <v>3744</v>
      </c>
      <c r="C4609" s="2" t="n">
        <v>2</v>
      </c>
      <c r="D4609" s="2" t="n">
        <v>2</v>
      </c>
      <c r="E4609" s="2" t="n">
        <v>1</v>
      </c>
      <c r="F4609" s="2" t="n">
        <v>66</v>
      </c>
      <c r="G4609" s="2" t="s">
        <v>648</v>
      </c>
      <c r="H4609" s="2" t="str">
        <f aca="false">IFERROR(__xludf.dummyfunction("IF(I4660="""", """", REGEXEXTRACT(I4660, ""Padrao/([^/]+)""))"),"Ribeirania")</f>
        <v>Ribeirania</v>
      </c>
    </row>
    <row r="4610" customFormat="false" ht="15.75" hidden="false" customHeight="false" outlineLevel="0" collapsed="false">
      <c r="A4610" s="2" t="n">
        <v>218477</v>
      </c>
      <c r="B4610" s="2" t="s">
        <v>3745</v>
      </c>
      <c r="C4610" s="2" t="n">
        <v>2</v>
      </c>
      <c r="D4610" s="2" t="n">
        <v>2</v>
      </c>
      <c r="E4610" s="2" t="n">
        <v>1</v>
      </c>
      <c r="F4610" s="2" t="n">
        <v>72</v>
      </c>
      <c r="G4610" s="2" t="s">
        <v>648</v>
      </c>
      <c r="H4610" s="2" t="str">
        <f aca="false">IFERROR(__xludf.dummyfunction("IF(I4661="""", """", REGEXEXTRACT(I4661, ""Padrao/([^/]+)""))"),"Jardim Paulistano")</f>
        <v>Jardim Paulistano</v>
      </c>
    </row>
    <row r="4611" customFormat="false" ht="15.75" hidden="false" customHeight="false" outlineLevel="0" collapsed="false">
      <c r="A4611" s="2" t="n">
        <v>215681</v>
      </c>
      <c r="B4611" s="2" t="s">
        <v>3746</v>
      </c>
      <c r="C4611" s="2" t="n">
        <v>2</v>
      </c>
      <c r="D4611" s="2" t="n">
        <v>2</v>
      </c>
      <c r="E4611" s="2" t="n">
        <v>2</v>
      </c>
      <c r="F4611" s="2" t="n">
        <v>64</v>
      </c>
      <c r="G4611" s="2" t="s">
        <v>648</v>
      </c>
      <c r="H4611" s="2" t="str">
        <f aca="false">IFERROR(__xludf.dummyfunction("IF(I4662="""", """", REGEXEXTRACT(I4662, ""Padrao/([^/]+)""))"),"Vila Seixas")</f>
        <v>Vila Seixas</v>
      </c>
    </row>
    <row r="4612" customFormat="false" ht="15.75" hidden="false" customHeight="false" outlineLevel="0" collapsed="false">
      <c r="A4612" s="2" t="n">
        <v>213527</v>
      </c>
      <c r="B4612" s="2" t="s">
        <v>3726</v>
      </c>
      <c r="C4612" s="2" t="n">
        <v>3</v>
      </c>
      <c r="D4612" s="2" t="n">
        <v>3</v>
      </c>
      <c r="E4612" s="2" t="n">
        <v>1</v>
      </c>
      <c r="F4612" s="2" t="n">
        <v>127</v>
      </c>
      <c r="G4612" s="2" t="s">
        <v>648</v>
      </c>
      <c r="H4612" s="2" t="str">
        <f aca="false">IFERROR(__xludf.dummyfunction("IF(I4663="""", """", REGEXEXTRACT(I4663, ""Padrao/([^/]+)""))"),"Centro")</f>
        <v>Centro</v>
      </c>
    </row>
    <row r="4613" customFormat="false" ht="15.75" hidden="false" customHeight="false" outlineLevel="0" collapsed="false">
      <c r="A4613" s="2" t="n">
        <v>213287</v>
      </c>
      <c r="B4613" s="2" t="s">
        <v>3611</v>
      </c>
      <c r="C4613" s="2" t="n">
        <v>2</v>
      </c>
      <c r="D4613" s="2" t="n">
        <v>2</v>
      </c>
      <c r="E4613" s="2" t="n">
        <v>1</v>
      </c>
      <c r="F4613" s="2" t="n">
        <v>55</v>
      </c>
      <c r="G4613" s="2" t="s">
        <v>648</v>
      </c>
      <c r="H4613" s="2" t="str">
        <f aca="false">IFERROR(__xludf.dummyfunction("IF(I4664="""", """", REGEXEXTRACT(I4664, ""Padrao/([^/]+)""))"),"Residencial Monterrey")</f>
        <v>Residencial Monterrey</v>
      </c>
    </row>
    <row r="4614" customFormat="false" ht="15.75" hidden="false" customHeight="false" outlineLevel="0" collapsed="false">
      <c r="A4614" s="2" t="n">
        <v>210662</v>
      </c>
      <c r="B4614" s="2" t="s">
        <v>3747</v>
      </c>
      <c r="C4614" s="2" t="n">
        <v>4</v>
      </c>
      <c r="D4614" s="2" t="n">
        <v>3</v>
      </c>
      <c r="E4614" s="2" t="n">
        <v>2</v>
      </c>
      <c r="F4614" s="2" t="n">
        <v>142</v>
      </c>
      <c r="G4614" s="2" t="s">
        <v>648</v>
      </c>
      <c r="H4614" s="2" t="str">
        <f aca="false">IFERROR(__xludf.dummyfunction("IF(I4665="""", """", REGEXEXTRACT(I4665, ""Padrao/([^/]+)""))"),"Centro")</f>
        <v>Centro</v>
      </c>
    </row>
    <row r="4615" customFormat="false" ht="15.75" hidden="false" customHeight="false" outlineLevel="0" collapsed="false">
      <c r="A4615" s="2" t="n">
        <v>201896</v>
      </c>
      <c r="B4615" s="2" t="s">
        <v>3748</v>
      </c>
      <c r="C4615" s="2" t="n">
        <v>2</v>
      </c>
      <c r="D4615" s="2" t="n">
        <v>3</v>
      </c>
      <c r="E4615" s="2" t="n">
        <v>2</v>
      </c>
      <c r="F4615" s="2" t="n">
        <v>48</v>
      </c>
      <c r="G4615" s="2" t="s">
        <v>648</v>
      </c>
      <c r="H4615" s="2" t="str">
        <f aca="false">IFERROR(__xludf.dummyfunction("IF(I4666="""", """", REGEXEXTRACT(I4666, ""Padrao/([^/]+)""))"),"Condominio Vila Florenca")</f>
        <v>Condominio Vila Florenca</v>
      </c>
    </row>
    <row r="4616" customFormat="false" ht="15.75" hidden="false" customHeight="false" outlineLevel="0" collapsed="false">
      <c r="A4616" s="2" t="n">
        <v>201065</v>
      </c>
      <c r="B4616" s="2" t="s">
        <v>2376</v>
      </c>
      <c r="C4616" s="2" t="n">
        <v>3</v>
      </c>
      <c r="D4616" s="2" t="n">
        <v>3</v>
      </c>
      <c r="E4616" s="2" t="n">
        <v>1</v>
      </c>
      <c r="F4616" s="2" t="n">
        <v>162</v>
      </c>
      <c r="G4616" s="2" t="s">
        <v>648</v>
      </c>
      <c r="H4616" s="2" t="str">
        <f aca="false">IFERROR(__xludf.dummyfunction("IF(I4667="""", """", REGEXEXTRACT(I4667, ""Padrao/([^/]+)""))"),"Centro")</f>
        <v>Centro</v>
      </c>
    </row>
    <row r="4617" customFormat="false" ht="15.75" hidden="false" customHeight="false" outlineLevel="0" collapsed="false">
      <c r="A4617" s="2" t="n">
        <v>199562</v>
      </c>
      <c r="B4617" s="2" t="s">
        <v>602</v>
      </c>
      <c r="C4617" s="2" t="n">
        <v>3</v>
      </c>
      <c r="D4617" s="2" t="n">
        <v>1</v>
      </c>
      <c r="E4617" s="2" t="n">
        <v>1</v>
      </c>
      <c r="F4617" s="2" t="n">
        <v>116</v>
      </c>
      <c r="G4617" s="2" t="s">
        <v>648</v>
      </c>
      <c r="H4617" s="2" t="str">
        <f aca="false">IFERROR(__xludf.dummyfunction("IF(I4668="""", """", REGEXEXTRACT(I4668, ""Padrao/([^/]+)""))"),"Centro")</f>
        <v>Centro</v>
      </c>
    </row>
    <row r="4618" customFormat="false" ht="15.75" hidden="false" customHeight="false" outlineLevel="0" collapsed="false">
      <c r="A4618" s="2" t="n">
        <v>193745</v>
      </c>
      <c r="B4618" s="2" t="s">
        <v>3749</v>
      </c>
      <c r="C4618" s="2" t="n">
        <v>3</v>
      </c>
      <c r="D4618" s="2" t="n">
        <v>3</v>
      </c>
      <c r="E4618" s="2" t="n">
        <v>1</v>
      </c>
      <c r="F4618" s="2" t="n">
        <v>92</v>
      </c>
      <c r="G4618" s="2" t="s">
        <v>648</v>
      </c>
      <c r="H4618" s="2" t="str">
        <f aca="false">IFERROR(__xludf.dummyfunction("IF(I4669="""", """", REGEXEXTRACT(I4669, ""Padrao/([^/]+)""))"),"Jardim Paulistano")</f>
        <v>Jardim Paulistano</v>
      </c>
    </row>
    <row r="4619" customFormat="false" ht="15.75" hidden="false" customHeight="false" outlineLevel="0" collapsed="false">
      <c r="A4619" s="2" t="n">
        <v>191603</v>
      </c>
      <c r="B4619" s="2" t="s">
        <v>3750</v>
      </c>
      <c r="C4619" s="2" t="n">
        <v>3</v>
      </c>
      <c r="D4619" s="2" t="n">
        <v>2</v>
      </c>
      <c r="E4619" s="2" t="n">
        <v>1</v>
      </c>
      <c r="F4619" s="2" t="n">
        <v>97</v>
      </c>
      <c r="G4619" s="2" t="s">
        <v>648</v>
      </c>
      <c r="H4619" s="2" t="str">
        <f aca="false">IFERROR(__xludf.dummyfunction("IF(I4670="""", """", REGEXEXTRACT(I4670, ""Padrao/([^/]+)""))"),"Centro")</f>
        <v>Centro</v>
      </c>
    </row>
    <row r="4620" customFormat="false" ht="15.75" hidden="false" customHeight="false" outlineLevel="0" collapsed="false">
      <c r="A4620" s="2" t="n">
        <v>191009</v>
      </c>
      <c r="B4620" s="2" t="s">
        <v>3751</v>
      </c>
      <c r="C4620" s="2" t="n">
        <v>3</v>
      </c>
      <c r="D4620" s="2" t="n">
        <v>2</v>
      </c>
      <c r="E4620" s="2" t="n">
        <v>1</v>
      </c>
      <c r="F4620" s="2" t="n">
        <v>90</v>
      </c>
      <c r="G4620" s="2" t="s">
        <v>648</v>
      </c>
      <c r="H4620" s="2" t="str">
        <f aca="false">IFERROR(__xludf.dummyfunction("IF(I4671="""", """", REGEXEXTRACT(I4671, ""Padrao/([^/]+)""))"),"Residencial e Comercial Palmares")</f>
        <v>Residencial e Comercial Palmares</v>
      </c>
    </row>
    <row r="4621" customFormat="false" ht="15.75" hidden="false" customHeight="false" outlineLevel="0" collapsed="false">
      <c r="A4621" s="2" t="n">
        <v>190862</v>
      </c>
      <c r="B4621" s="2" t="s">
        <v>3611</v>
      </c>
      <c r="C4621" s="2" t="n">
        <v>2</v>
      </c>
      <c r="D4621" s="2" t="n">
        <v>2</v>
      </c>
      <c r="E4621" s="2" t="n">
        <v>1</v>
      </c>
      <c r="F4621" s="2" t="n">
        <v>55</v>
      </c>
      <c r="G4621" s="2" t="s">
        <v>648</v>
      </c>
      <c r="H4621" s="2" t="str">
        <f aca="false">IFERROR(__xludf.dummyfunction("IF(I4672="""", """", REGEXEXTRACT(I4672, ""Padrao/([^/]+)""))"),"Residencial Monterrey")</f>
        <v>Residencial Monterrey</v>
      </c>
    </row>
    <row r="4622" customFormat="false" ht="15.75" hidden="false" customHeight="false" outlineLevel="0" collapsed="false">
      <c r="A4622" s="2" t="n">
        <v>189587</v>
      </c>
      <c r="B4622" s="2" t="s">
        <v>3752</v>
      </c>
      <c r="C4622" s="2" t="n">
        <v>3</v>
      </c>
      <c r="D4622" s="2" t="n">
        <v>2</v>
      </c>
      <c r="E4622" s="2" t="n">
        <v>2</v>
      </c>
      <c r="F4622" s="2" t="n">
        <v>104</v>
      </c>
      <c r="G4622" s="2" t="s">
        <v>648</v>
      </c>
      <c r="H4622" s="2" t="str">
        <f aca="false">IFERROR(__xludf.dummyfunction("IF(I4673="""", """", REGEXEXTRACT(I4673, ""Padrao/([^/]+)""))"),"Lagoinha")</f>
        <v>Lagoinha</v>
      </c>
    </row>
    <row r="4623" customFormat="false" ht="15.75" hidden="false" customHeight="false" outlineLevel="0" collapsed="false">
      <c r="A4623" s="2" t="n">
        <v>188825</v>
      </c>
      <c r="B4623" s="2" t="s">
        <v>602</v>
      </c>
      <c r="C4623" s="2" t="n">
        <v>3</v>
      </c>
      <c r="D4623" s="2" t="n">
        <v>3</v>
      </c>
      <c r="E4623" s="2" t="n">
        <v>1</v>
      </c>
      <c r="F4623" s="2" t="n">
        <v>100</v>
      </c>
      <c r="G4623" s="2" t="s">
        <v>648</v>
      </c>
      <c r="H4623" s="2" t="str">
        <f aca="false">IFERROR(__xludf.dummyfunction("IF(I4674="""", """", REGEXEXTRACT(I4674, ""Padrao/([^/]+)""))"),"Centro")</f>
        <v>Centro</v>
      </c>
    </row>
    <row r="4624" customFormat="false" ht="15.75" hidden="false" customHeight="false" outlineLevel="0" collapsed="false">
      <c r="A4624" s="2" t="n">
        <v>182822</v>
      </c>
      <c r="B4624" s="2" t="s">
        <v>3753</v>
      </c>
      <c r="C4624" s="2" t="n">
        <v>3</v>
      </c>
      <c r="D4624" s="2" t="n">
        <v>2</v>
      </c>
      <c r="E4624" s="2" t="n">
        <v>1</v>
      </c>
      <c r="F4624" s="2" t="n">
        <v>86</v>
      </c>
      <c r="G4624" s="2" t="s">
        <v>648</v>
      </c>
      <c r="H4624" s="2" t="str">
        <f aca="false">IFERROR(__xludf.dummyfunction("IF(I4675="""", """", REGEXEXTRACT(I4675, ""Padrao/([^/]+)""))"),"Residencial e Comercial Palmares")</f>
        <v>Residencial e Comercial Palmares</v>
      </c>
    </row>
    <row r="4625" customFormat="false" ht="15.75" hidden="false" customHeight="false" outlineLevel="0" collapsed="false">
      <c r="A4625" s="2" t="n">
        <v>181313</v>
      </c>
      <c r="B4625" s="2" t="s">
        <v>3754</v>
      </c>
      <c r="C4625" s="2" t="n">
        <v>2</v>
      </c>
      <c r="D4625" s="2" t="n">
        <v>2</v>
      </c>
      <c r="E4625" s="2" t="n">
        <v>1</v>
      </c>
      <c r="F4625" s="2" t="n">
        <v>69</v>
      </c>
      <c r="G4625" s="2" t="s">
        <v>648</v>
      </c>
      <c r="H4625" s="2" t="str">
        <f aca="false">IFERROR(__xludf.dummyfunction("IF(I4676="""", """", REGEXEXTRACT(I4676, ""Padrao/([^/]+)""))"),"Jardim Botanico")</f>
        <v>Jardim Botanico</v>
      </c>
    </row>
    <row r="4626" customFormat="false" ht="15.75" hidden="false" customHeight="false" outlineLevel="0" collapsed="false">
      <c r="A4626" s="2" t="n">
        <v>181223</v>
      </c>
      <c r="B4626" s="2" t="s">
        <v>2000</v>
      </c>
      <c r="C4626" s="2" t="n">
        <v>2</v>
      </c>
      <c r="D4626" s="2" t="n">
        <v>3</v>
      </c>
      <c r="E4626" s="2" t="n">
        <v>2</v>
      </c>
      <c r="F4626" s="2" t="n">
        <v>64</v>
      </c>
      <c r="G4626" s="2" t="s">
        <v>648</v>
      </c>
      <c r="H4626" s="2" t="str">
        <f aca="false">IFERROR(__xludf.dummyfunction("IF(I4677="""", """", REGEXEXTRACT(I4677, ""Padrao/([^/]+)""))"),"Jardim Botanico")</f>
        <v>Jardim Botanico</v>
      </c>
    </row>
    <row r="4627" customFormat="false" ht="15.75" hidden="false" customHeight="false" outlineLevel="0" collapsed="false">
      <c r="A4627" s="2" t="n">
        <v>179117</v>
      </c>
      <c r="B4627" s="2" t="s">
        <v>162</v>
      </c>
      <c r="C4627" s="2" t="n">
        <v>2</v>
      </c>
      <c r="D4627" s="2" t="n">
        <v>3</v>
      </c>
      <c r="E4627" s="2" t="n">
        <v>2</v>
      </c>
      <c r="F4627" s="2" t="n">
        <v>65</v>
      </c>
      <c r="G4627" s="2" t="s">
        <v>648</v>
      </c>
      <c r="H4627" s="2" t="str">
        <f aca="false">IFERROR(__xludf.dummyfunction("IF(I4678="""", """", REGEXEXTRACT(I4678, ""Padrao/([^/]+)""))"),"Jardim Paulista")</f>
        <v>Jardim Paulista</v>
      </c>
    </row>
    <row r="4628" customFormat="false" ht="15.75" hidden="false" customHeight="false" outlineLevel="0" collapsed="false">
      <c r="A4628" s="2" t="n">
        <v>175112</v>
      </c>
      <c r="B4628" s="2" t="s">
        <v>3755</v>
      </c>
      <c r="C4628" s="2" t="n">
        <v>3</v>
      </c>
      <c r="D4628" s="2" t="n">
        <v>3</v>
      </c>
      <c r="E4628" s="2" t="n">
        <v>2</v>
      </c>
      <c r="F4628" s="2" t="n">
        <v>165</v>
      </c>
      <c r="G4628" s="2" t="s">
        <v>648</v>
      </c>
      <c r="H4628" s="2" t="str">
        <f aca="false">IFERROR(__xludf.dummyfunction("IF(I4679="""", """", REGEXEXTRACT(I4679, ""Padrao/([^/]+)""))"),"Centro")</f>
        <v>Centro</v>
      </c>
    </row>
    <row r="4629" customFormat="false" ht="15.75" hidden="false" customHeight="false" outlineLevel="0" collapsed="false">
      <c r="A4629" s="2" t="n">
        <v>174887</v>
      </c>
      <c r="B4629" s="2" t="s">
        <v>3756</v>
      </c>
      <c r="C4629" s="2" t="n">
        <v>2</v>
      </c>
      <c r="D4629" s="2" t="n">
        <v>1</v>
      </c>
      <c r="E4629" s="2" t="n">
        <v>1</v>
      </c>
      <c r="F4629" s="2" t="n">
        <v>67</v>
      </c>
      <c r="G4629" s="2" t="s">
        <v>648</v>
      </c>
      <c r="H4629" s="2" t="str">
        <f aca="false">IFERROR(__xludf.dummyfunction("IF(I4680="""", """", REGEXEXTRACT(I4680, ""Padrao/([^/]+)""))"),"Jardim Iraja")</f>
        <v>Jardim Iraja</v>
      </c>
    </row>
    <row r="4630" customFormat="false" ht="15.75" hidden="false" customHeight="false" outlineLevel="0" collapsed="false">
      <c r="A4630" s="2" t="n">
        <v>174620</v>
      </c>
      <c r="B4630" s="2" t="s">
        <v>1442</v>
      </c>
      <c r="C4630" s="2" t="n">
        <v>2</v>
      </c>
      <c r="D4630" s="2" t="n">
        <v>2</v>
      </c>
      <c r="E4630" s="2" t="n">
        <v>1</v>
      </c>
      <c r="F4630" s="2" t="n">
        <v>56</v>
      </c>
      <c r="G4630" s="2" t="s">
        <v>648</v>
      </c>
      <c r="H4630" s="2" t="str">
        <f aca="false">IFERROR(__xludf.dummyfunction("IF(I4681="""", """", REGEXEXTRACT(I4681, ""Padrao/([^/]+)""))"),"Vila Ana Maria")</f>
        <v>Vila Ana Maria</v>
      </c>
    </row>
    <row r="4631" customFormat="false" ht="15.75" hidden="false" customHeight="false" outlineLevel="0" collapsed="false">
      <c r="A4631" s="2" t="n">
        <v>172352</v>
      </c>
      <c r="B4631" s="2" t="s">
        <v>847</v>
      </c>
      <c r="C4631" s="2" t="n">
        <v>2</v>
      </c>
      <c r="D4631" s="2" t="n">
        <v>2</v>
      </c>
      <c r="E4631" s="2" t="n">
        <v>2</v>
      </c>
      <c r="F4631" s="2" t="n">
        <v>81</v>
      </c>
      <c r="G4631" s="2" t="s">
        <v>648</v>
      </c>
      <c r="H4631" s="2" t="str">
        <f aca="false">IFERROR(__xludf.dummyfunction("IF(I4682="""", """", REGEXEXTRACT(I4682, ""Padrao/([^/]+)""))"),"Jardim Paulista")</f>
        <v>Jardim Paulista</v>
      </c>
    </row>
    <row r="4632" customFormat="false" ht="15.75" hidden="false" customHeight="false" outlineLevel="0" collapsed="false">
      <c r="A4632" s="2" t="n">
        <v>171170</v>
      </c>
      <c r="B4632" s="2" t="s">
        <v>602</v>
      </c>
      <c r="C4632" s="2" t="n">
        <v>3</v>
      </c>
      <c r="D4632" s="2" t="n">
        <v>3</v>
      </c>
      <c r="E4632" s="2" t="n">
        <v>1</v>
      </c>
      <c r="F4632" s="2" t="n">
        <v>216</v>
      </c>
      <c r="G4632" s="2" t="s">
        <v>648</v>
      </c>
      <c r="H4632" s="2" t="str">
        <f aca="false">IFERROR(__xludf.dummyfunction("IF(I4683="""", """", REGEXEXTRACT(I4683, ""Padrao/([^/]+)""))"),"Centro")</f>
        <v>Centro</v>
      </c>
    </row>
    <row r="4633" customFormat="false" ht="15.75" hidden="false" customHeight="false" outlineLevel="0" collapsed="false">
      <c r="A4633" s="2" t="n">
        <v>169178</v>
      </c>
      <c r="B4633" s="2" t="s">
        <v>1299</v>
      </c>
      <c r="C4633" s="2" t="n">
        <v>2</v>
      </c>
      <c r="D4633" s="2" t="n">
        <v>2</v>
      </c>
      <c r="E4633" s="2" t="n">
        <v>2</v>
      </c>
      <c r="F4633" s="2" t="n">
        <v>70</v>
      </c>
      <c r="G4633" s="2" t="s">
        <v>648</v>
      </c>
      <c r="H4633" s="2" t="str">
        <f aca="false">IFERROR(__xludf.dummyfunction("IF(I4684="""", """", REGEXEXTRACT(I4684, ""Padrao/([^/]+)""))"),"Jardim Macedo")</f>
        <v>Jardim Macedo</v>
      </c>
    </row>
    <row r="4634" customFormat="false" ht="15.75" hidden="false" customHeight="false" outlineLevel="0" collapsed="false">
      <c r="A4634" s="2" t="n">
        <v>165563</v>
      </c>
      <c r="B4634" s="2" t="s">
        <v>3757</v>
      </c>
      <c r="C4634" s="2" t="n">
        <v>3</v>
      </c>
      <c r="D4634" s="2" t="n">
        <v>2</v>
      </c>
      <c r="E4634" s="2" t="n">
        <v>1</v>
      </c>
      <c r="F4634" s="2" t="n">
        <v>90</v>
      </c>
      <c r="G4634" s="2" t="s">
        <v>648</v>
      </c>
      <c r="H4634" s="2" t="str">
        <f aca="false">IFERROR(__xludf.dummyfunction("IF(I4685="""", """", REGEXEXTRACT(I4685, ""Padrao/([^/]+)""))"),"Residencial e Comercial Palmares")</f>
        <v>Residencial e Comercial Palmares</v>
      </c>
    </row>
    <row r="4635" customFormat="false" ht="15.75" hidden="false" customHeight="false" outlineLevel="0" collapsed="false">
      <c r="A4635" s="2" t="n">
        <v>164252</v>
      </c>
      <c r="B4635" s="2" t="s">
        <v>3758</v>
      </c>
      <c r="C4635" s="2" t="n">
        <v>2</v>
      </c>
      <c r="D4635" s="2" t="n">
        <v>2</v>
      </c>
      <c r="E4635" s="2" t="n">
        <v>1</v>
      </c>
      <c r="F4635" s="2" t="n">
        <v>71</v>
      </c>
      <c r="G4635" s="2" t="s">
        <v>648</v>
      </c>
      <c r="H4635" s="2" t="str">
        <f aca="false">IFERROR(__xludf.dummyfunction("IF(I4686="""", """", REGEXEXTRACT(I4686, ""Padrao/([^/]+)""))"),"Nova Alianca")</f>
        <v>Nova Alianca</v>
      </c>
    </row>
    <row r="4636" customFormat="false" ht="15.75" hidden="false" customHeight="false" outlineLevel="0" collapsed="false">
      <c r="A4636" s="2" t="n">
        <v>163148</v>
      </c>
      <c r="B4636" s="2" t="s">
        <v>3759</v>
      </c>
      <c r="C4636" s="2" t="n">
        <v>3</v>
      </c>
      <c r="D4636" s="2" t="n">
        <v>2</v>
      </c>
      <c r="E4636" s="2" t="n">
        <v>1</v>
      </c>
      <c r="F4636" s="2" t="n">
        <v>86</v>
      </c>
      <c r="G4636" s="2" t="s">
        <v>648</v>
      </c>
      <c r="H4636" s="2" t="str">
        <f aca="false">IFERROR(__xludf.dummyfunction("IF(I4687="""", """", REGEXEXTRACT(I4687, ""Padrao/([^/]+)""))"),"Residencial e Comercial Palmares")</f>
        <v>Residencial e Comercial Palmares</v>
      </c>
    </row>
    <row r="4637" customFormat="false" ht="15.75" hidden="false" customHeight="false" outlineLevel="0" collapsed="false">
      <c r="A4637" s="2" t="n">
        <v>162839</v>
      </c>
      <c r="B4637" s="2" t="s">
        <v>3760</v>
      </c>
      <c r="C4637" s="2" t="n">
        <v>3</v>
      </c>
      <c r="D4637" s="2" t="n">
        <v>4</v>
      </c>
      <c r="E4637" s="2" t="n">
        <v>1</v>
      </c>
      <c r="F4637" s="2" t="n">
        <v>135</v>
      </c>
      <c r="G4637" s="2" t="s">
        <v>648</v>
      </c>
      <c r="H4637" s="2" t="str">
        <f aca="false">IFERROR(__xludf.dummyfunction("IF(I4688="""", """", REGEXEXTRACT(I4688, ""Padrao/([^/]+)""))"),"Jardim Paulistano")</f>
        <v>Jardim Paulistano</v>
      </c>
    </row>
    <row r="4638" customFormat="false" ht="15.75" hidden="false" customHeight="false" outlineLevel="0" collapsed="false">
      <c r="A4638" s="2" t="n">
        <v>145007</v>
      </c>
      <c r="B4638" s="2" t="s">
        <v>3761</v>
      </c>
      <c r="C4638" s="2" t="n">
        <v>2</v>
      </c>
      <c r="D4638" s="2" t="n">
        <v>2</v>
      </c>
      <c r="E4638" s="2" t="n">
        <v>2</v>
      </c>
      <c r="F4638" s="2" t="n">
        <v>82</v>
      </c>
      <c r="G4638" s="2" t="s">
        <v>648</v>
      </c>
      <c r="H4638" s="2" t="str">
        <f aca="false">IFERROR(__xludf.dummyfunction("IF(I4689="""", """", REGEXEXTRACT(I4689, ""Padrao/([^/]+)""))"),"Jardim Paulista")</f>
        <v>Jardim Paulista</v>
      </c>
    </row>
    <row r="4639" customFormat="false" ht="15.75" hidden="false" customHeight="false" outlineLevel="0" collapsed="false">
      <c r="A4639" s="2" t="n">
        <v>140180</v>
      </c>
      <c r="B4639" s="2" t="s">
        <v>3762</v>
      </c>
      <c r="C4639" s="2" t="n">
        <v>3</v>
      </c>
      <c r="D4639" s="2" t="n">
        <v>2</v>
      </c>
      <c r="E4639" s="2" t="n">
        <v>1</v>
      </c>
      <c r="F4639" s="2" t="n">
        <v>100</v>
      </c>
      <c r="G4639" s="2" t="s">
        <v>648</v>
      </c>
      <c r="H4639" s="2" t="str">
        <f aca="false">IFERROR(__xludf.dummyfunction("IF(I4690="""", """", REGEXEXTRACT(I4690, ""Padrao/([^/]+)""))"),"Jardim Iraja")</f>
        <v>Jardim Iraja</v>
      </c>
    </row>
    <row r="4640" customFormat="false" ht="15.75" hidden="false" customHeight="false" outlineLevel="0" collapsed="false">
      <c r="A4640" s="2" t="n">
        <v>138299</v>
      </c>
      <c r="B4640" s="2" t="s">
        <v>3763</v>
      </c>
      <c r="C4640" s="2" t="n">
        <v>2</v>
      </c>
      <c r="D4640" s="2" t="n">
        <v>2</v>
      </c>
      <c r="E4640" s="2" t="n">
        <v>1</v>
      </c>
      <c r="F4640" s="2" t="n">
        <v>70</v>
      </c>
      <c r="G4640" s="2" t="s">
        <v>648</v>
      </c>
      <c r="H4640" s="2" t="str">
        <f aca="false">IFERROR(__xludf.dummyfunction("IF(I4691="""", """", REGEXEXTRACT(I4691, ""Padrao/([^/]+)""))"),"Jardim Botanico")</f>
        <v>Jardim Botanico</v>
      </c>
    </row>
    <row r="4641" customFormat="false" ht="15.75" hidden="false" customHeight="false" outlineLevel="0" collapsed="false">
      <c r="A4641" s="2" t="n">
        <v>136451</v>
      </c>
      <c r="B4641" s="2" t="s">
        <v>3764</v>
      </c>
      <c r="C4641" s="2" t="n">
        <v>2</v>
      </c>
      <c r="D4641" s="2" t="n">
        <v>3</v>
      </c>
      <c r="E4641" s="2" t="n">
        <v>1</v>
      </c>
      <c r="F4641" s="2" t="n">
        <v>142</v>
      </c>
      <c r="G4641" s="2" t="s">
        <v>648</v>
      </c>
      <c r="H4641" s="2" t="str">
        <f aca="false">IFERROR(__xludf.dummyfunction("IF(I4692="""", """", REGEXEXTRACT(I4692, ""Padrao/([^/]+)""))"),"Jardim Itapora")</f>
        <v>Jardim Itapora</v>
      </c>
    </row>
    <row r="4642" customFormat="false" ht="15.75" hidden="false" customHeight="false" outlineLevel="0" collapsed="false">
      <c r="A4642" s="2" t="n">
        <v>135959</v>
      </c>
      <c r="B4642" s="2" t="s">
        <v>3765</v>
      </c>
      <c r="C4642" s="2" t="n">
        <v>3</v>
      </c>
      <c r="D4642" s="2" t="n">
        <v>3</v>
      </c>
      <c r="E4642" s="2" t="n">
        <v>1</v>
      </c>
      <c r="F4642" s="2" t="n">
        <v>120</v>
      </c>
      <c r="G4642" s="2" t="s">
        <v>648</v>
      </c>
      <c r="H4642" s="2" t="str">
        <f aca="false">IFERROR(__xludf.dummyfunction("IF(I4693="""", """", REGEXEXTRACT(I4693, ""Padrao/([^/]+)""))"),"Centro")</f>
        <v>Centro</v>
      </c>
    </row>
    <row r="4643" customFormat="false" ht="15.75" hidden="false" customHeight="false" outlineLevel="0" collapsed="false">
      <c r="A4643" s="2" t="n">
        <v>133817</v>
      </c>
      <c r="B4643" s="2" t="s">
        <v>3766</v>
      </c>
      <c r="C4643" s="2" t="n">
        <v>4</v>
      </c>
      <c r="D4643" s="2" t="n">
        <v>3</v>
      </c>
      <c r="E4643" s="2" t="n">
        <v>1</v>
      </c>
      <c r="F4643" s="2" t="n">
        <v>132</v>
      </c>
      <c r="G4643" s="2" t="s">
        <v>648</v>
      </c>
      <c r="H4643" s="2" t="str">
        <f aca="false">IFERROR(__xludf.dummyfunction("IF(I4694="""", """", REGEXEXTRACT(I4694, ""Padrao/([^/]+)""))"),"Centro")</f>
        <v>Centro</v>
      </c>
    </row>
    <row r="4644" customFormat="false" ht="15.75" hidden="false" customHeight="false" outlineLevel="0" collapsed="false">
      <c r="A4644" s="2" t="n">
        <v>123392</v>
      </c>
      <c r="B4644" s="2" t="s">
        <v>2000</v>
      </c>
      <c r="C4644" s="2" t="n">
        <v>2</v>
      </c>
      <c r="D4644" s="2" t="n">
        <v>3</v>
      </c>
      <c r="E4644" s="2" t="n">
        <v>1</v>
      </c>
      <c r="F4644" s="2" t="n">
        <v>90</v>
      </c>
      <c r="G4644" s="2" t="s">
        <v>648</v>
      </c>
      <c r="H4644" s="2" t="str">
        <f aca="false">IFERROR(__xludf.dummyfunction("IF(I4695="""", """", REGEXEXTRACT(I4695, ""Padrao/([^/]+)""))"),"Jardim Botanico")</f>
        <v>Jardim Botanico</v>
      </c>
    </row>
    <row r="4645" customFormat="false" ht="15.75" hidden="false" customHeight="false" outlineLevel="0" collapsed="false">
      <c r="A4645" s="2" t="n">
        <v>120701</v>
      </c>
      <c r="B4645" s="2" t="s">
        <v>3767</v>
      </c>
      <c r="C4645" s="2" t="n">
        <v>2</v>
      </c>
      <c r="D4645" s="2" t="n">
        <v>2</v>
      </c>
      <c r="E4645" s="2" t="n">
        <v>1</v>
      </c>
      <c r="F4645" s="2" t="n">
        <v>70</v>
      </c>
      <c r="G4645" s="2" t="s">
        <v>648</v>
      </c>
      <c r="H4645" s="2" t="str">
        <f aca="false">IFERROR(__xludf.dummyfunction("IF(I4696="""", """", REGEXEXTRACT(I4696, ""Padrao/([^/]+)""))"),"Jardim Novo Mundo")</f>
        <v>Jardim Novo Mundo</v>
      </c>
    </row>
    <row r="4646" customFormat="false" ht="15.75" hidden="false" customHeight="false" outlineLevel="0" collapsed="false">
      <c r="A4646" s="2" t="n">
        <v>119036</v>
      </c>
      <c r="B4646" s="2" t="s">
        <v>2000</v>
      </c>
      <c r="C4646" s="2" t="n">
        <v>3</v>
      </c>
      <c r="D4646" s="2" t="n">
        <v>2</v>
      </c>
      <c r="E4646" s="2" t="n">
        <v>2</v>
      </c>
      <c r="F4646" s="2" t="n">
        <v>75</v>
      </c>
      <c r="G4646" s="2" t="s">
        <v>648</v>
      </c>
      <c r="H4646" s="2" t="str">
        <f aca="false">IFERROR(__xludf.dummyfunction("IF(I4697="""", """", REGEXEXTRACT(I4697, ""Padrao/([^/]+)""))"),"Jardim Botanico")</f>
        <v>Jardim Botanico</v>
      </c>
    </row>
    <row r="4647" customFormat="false" ht="15.75" hidden="false" customHeight="false" outlineLevel="0" collapsed="false">
      <c r="A4647" s="2" t="n">
        <v>118337</v>
      </c>
      <c r="B4647" s="2" t="s">
        <v>3768</v>
      </c>
      <c r="C4647" s="2" t="n">
        <v>2</v>
      </c>
      <c r="D4647" s="2" t="n">
        <v>2</v>
      </c>
      <c r="E4647" s="2" t="n">
        <v>1</v>
      </c>
      <c r="F4647" s="2" t="n">
        <v>62</v>
      </c>
      <c r="G4647" s="2" t="s">
        <v>648</v>
      </c>
      <c r="H4647" s="2" t="str">
        <f aca="false">IFERROR(__xludf.dummyfunction("IF(I4698="""", """", REGEXEXTRACT(I4698, ""Padrao/([^/]+)""))"),"Bosque das Juritis")</f>
        <v>Bosque das Juritis</v>
      </c>
    </row>
    <row r="4648" customFormat="false" ht="15.75" hidden="false" customHeight="false" outlineLevel="0" collapsed="false">
      <c r="A4648" s="2" t="n">
        <v>114500</v>
      </c>
      <c r="B4648" s="2" t="s">
        <v>3751</v>
      </c>
      <c r="C4648" s="2" t="n">
        <v>3</v>
      </c>
      <c r="D4648" s="2" t="n">
        <v>2</v>
      </c>
      <c r="E4648" s="2" t="n">
        <v>1</v>
      </c>
      <c r="F4648" s="2" t="n">
        <v>90</v>
      </c>
      <c r="G4648" s="2" t="s">
        <v>648</v>
      </c>
      <c r="H4648" s="2" t="str">
        <f aca="false">IFERROR(__xludf.dummyfunction("IF(I4699="""", """", REGEXEXTRACT(I4699, ""Padrao/([^/]+)""))"),"Residencial e Comercial Palmares")</f>
        <v>Residencial e Comercial Palmares</v>
      </c>
    </row>
    <row r="4649" customFormat="false" ht="15.75" hidden="false" customHeight="false" outlineLevel="0" collapsed="false">
      <c r="A4649" s="2" t="n">
        <v>112544</v>
      </c>
      <c r="B4649" s="2" t="s">
        <v>3769</v>
      </c>
      <c r="C4649" s="2" t="n">
        <v>3</v>
      </c>
      <c r="D4649" s="2" t="n">
        <v>2</v>
      </c>
      <c r="E4649" s="2" t="n">
        <v>1</v>
      </c>
      <c r="F4649" s="2" t="n">
        <v>81</v>
      </c>
      <c r="G4649" s="2" t="s">
        <v>648</v>
      </c>
      <c r="H4649" s="2" t="str">
        <f aca="false">IFERROR(__xludf.dummyfunction("IF(I4700="""", """", REGEXEXTRACT(I4700, ""Padrao/([^/]+)""))"),"Sumarezinho")</f>
        <v>Sumarezinho</v>
      </c>
    </row>
    <row r="4650" customFormat="false" ht="15.75" hidden="false" customHeight="false" outlineLevel="0" collapsed="false">
      <c r="A4650" s="2" t="n">
        <v>105146</v>
      </c>
      <c r="B4650" s="2" t="s">
        <v>2970</v>
      </c>
      <c r="C4650" s="2" t="n">
        <v>3</v>
      </c>
      <c r="D4650" s="2" t="n">
        <v>3</v>
      </c>
      <c r="E4650" s="2" t="n">
        <v>1</v>
      </c>
      <c r="F4650" s="2" t="n">
        <v>107</v>
      </c>
      <c r="G4650" s="2" t="s">
        <v>648</v>
      </c>
      <c r="H4650" s="2" t="str">
        <f aca="false">IFERROR(__xludf.dummyfunction("IF(I4701="""", """", REGEXEXTRACT(I4701, ""Padrao/([^/]+)""))"),"Centro")</f>
        <v>Centro</v>
      </c>
    </row>
    <row r="4651" customFormat="false" ht="15.75" hidden="false" customHeight="false" outlineLevel="0" collapsed="false">
      <c r="A4651" s="2" t="n">
        <v>104621</v>
      </c>
      <c r="B4651" s="2" t="s">
        <v>3770</v>
      </c>
      <c r="C4651" s="2" t="n">
        <v>3</v>
      </c>
      <c r="D4651" s="2" t="n">
        <v>3</v>
      </c>
      <c r="E4651" s="2" t="n">
        <v>2</v>
      </c>
      <c r="F4651" s="2" t="n">
        <v>85</v>
      </c>
      <c r="G4651" s="2" t="s">
        <v>648</v>
      </c>
      <c r="H4651" s="2" t="str">
        <f aca="false">IFERROR(__xludf.dummyfunction("IF(I4702="""", """", REGEXEXTRACT(I4702, ""Padrao/([^/]+)""))"),"Santa Cruz do Jose Jacques")</f>
        <v>Santa Cruz do Jose Jacques</v>
      </c>
    </row>
    <row r="4652" customFormat="false" ht="15.75" hidden="false" customHeight="false" outlineLevel="0" collapsed="false">
      <c r="A4652" s="2" t="n">
        <v>95795</v>
      </c>
      <c r="B4652" s="2" t="s">
        <v>162</v>
      </c>
      <c r="C4652" s="2" t="n">
        <v>3</v>
      </c>
      <c r="D4652" s="2" t="n">
        <v>2</v>
      </c>
      <c r="E4652" s="2" t="n">
        <v>2</v>
      </c>
      <c r="F4652" s="2" t="n">
        <v>104</v>
      </c>
      <c r="G4652" s="2" t="s">
        <v>648</v>
      </c>
      <c r="H4652" s="2" t="str">
        <f aca="false">IFERROR(__xludf.dummyfunction("IF(I4703="""", """", REGEXEXTRACT(I4703, ""Padrao/([^/]+)""))"),"Parque Industrial Lagoinha")</f>
        <v>Parque Industrial Lagoinha</v>
      </c>
    </row>
    <row r="4653" customFormat="false" ht="15.75" hidden="false" customHeight="false" outlineLevel="0" collapsed="false">
      <c r="A4653" s="2" t="n">
        <v>95642</v>
      </c>
      <c r="B4653" s="2" t="s">
        <v>2540</v>
      </c>
      <c r="C4653" s="2" t="n">
        <v>3</v>
      </c>
      <c r="D4653" s="2" t="n">
        <v>2</v>
      </c>
      <c r="E4653" s="2" t="n">
        <v>2</v>
      </c>
      <c r="F4653" s="2" t="n">
        <v>120</v>
      </c>
      <c r="G4653" s="2" t="s">
        <v>648</v>
      </c>
      <c r="H4653" s="2" t="str">
        <f aca="false">IFERROR(__xludf.dummyfunction("IF(I4704="""", """", REGEXEXTRACT(I4704, ""Padrao/([^/]+)""))"),"Centro")</f>
        <v>Centro</v>
      </c>
    </row>
    <row r="4654" customFormat="false" ht="15.75" hidden="false" customHeight="false" outlineLevel="0" collapsed="false">
      <c r="A4654" s="2" t="n">
        <v>94385</v>
      </c>
      <c r="B4654" s="2" t="s">
        <v>3771</v>
      </c>
      <c r="C4654" s="2" t="n">
        <v>3</v>
      </c>
      <c r="D4654" s="2" t="n">
        <v>2</v>
      </c>
      <c r="E4654" s="2" t="n">
        <v>2</v>
      </c>
      <c r="F4654" s="2" t="n">
        <v>98</v>
      </c>
      <c r="G4654" s="2" t="s">
        <v>648</v>
      </c>
      <c r="H4654" s="2" t="str">
        <f aca="false">IFERROR(__xludf.dummyfunction("IF(I4705="""", """", REGEXEXTRACT(I4705, ""Padrao/([^/]+)""))"),"Santa Cruz do Jose Jacques")</f>
        <v>Santa Cruz do Jose Jacques</v>
      </c>
    </row>
    <row r="4655" customFormat="false" ht="15.75" hidden="false" customHeight="false" outlineLevel="0" collapsed="false">
      <c r="A4655" s="2" t="n">
        <v>85124</v>
      </c>
      <c r="B4655" s="2" t="s">
        <v>1139</v>
      </c>
      <c r="C4655" s="2" t="n">
        <v>3</v>
      </c>
      <c r="D4655" s="2" t="n">
        <v>3</v>
      </c>
      <c r="E4655" s="2" t="n">
        <v>2</v>
      </c>
      <c r="F4655" s="2" t="n">
        <v>111</v>
      </c>
      <c r="G4655" s="2" t="s">
        <v>648</v>
      </c>
      <c r="H4655" s="2" t="str">
        <f aca="false">IFERROR(__xludf.dummyfunction("IF(I4706="""", """", REGEXEXTRACT(I4706, ""Padrao/([^/]+)""))"),"Republica")</f>
        <v>Republica</v>
      </c>
    </row>
    <row r="4656" customFormat="false" ht="15.75" hidden="false" customHeight="false" outlineLevel="0" collapsed="false">
      <c r="A4656" s="2" t="n">
        <v>59558</v>
      </c>
      <c r="B4656" s="2" t="s">
        <v>1406</v>
      </c>
      <c r="C4656" s="2" t="n">
        <v>3</v>
      </c>
      <c r="D4656" s="2" t="n">
        <v>4</v>
      </c>
      <c r="E4656" s="2" t="n">
        <v>1</v>
      </c>
      <c r="F4656" s="2" t="n">
        <v>125</v>
      </c>
      <c r="G4656" s="2" t="s">
        <v>648</v>
      </c>
      <c r="H4656" s="2" t="str">
        <f aca="false">IFERROR(__xludf.dummyfunction("IF(I4707="""", """", REGEXEXTRACT(I4707, ""Padrao/([^/]+)""))"),"Centro")</f>
        <v>Centro</v>
      </c>
    </row>
    <row r="4657" customFormat="false" ht="15.75" hidden="false" customHeight="false" outlineLevel="0" collapsed="false">
      <c r="A4657" s="2" t="n">
        <v>58415</v>
      </c>
      <c r="B4657" s="2" t="s">
        <v>3772</v>
      </c>
      <c r="C4657" s="2" t="n">
        <v>3</v>
      </c>
      <c r="D4657" s="2" t="n">
        <v>3</v>
      </c>
      <c r="E4657" s="2" t="n">
        <v>2</v>
      </c>
      <c r="F4657" s="2" t="n">
        <v>108</v>
      </c>
      <c r="G4657" s="2" t="s">
        <v>648</v>
      </c>
      <c r="H4657" s="2" t="str">
        <f aca="false">IFERROR(__xludf.dummyfunction("IF(I4708="""", """", REGEXEXTRACT(I4708, ""Padrao/([^/]+)""))"),"Jardim Sao Luiz")</f>
        <v>Jardim Sao Luiz</v>
      </c>
    </row>
    <row r="4658" customFormat="false" ht="15.75" hidden="false" customHeight="false" outlineLevel="0" collapsed="false">
      <c r="A4658" s="2" t="n">
        <v>25556</v>
      </c>
      <c r="B4658" s="2" t="s">
        <v>3773</v>
      </c>
      <c r="C4658" s="2" t="n">
        <v>3</v>
      </c>
      <c r="D4658" s="2" t="n">
        <v>4</v>
      </c>
      <c r="E4658" s="2" t="n">
        <v>2</v>
      </c>
      <c r="F4658" s="2" t="n">
        <v>122</v>
      </c>
      <c r="G4658" s="2" t="s">
        <v>648</v>
      </c>
      <c r="H4658" s="2" t="str">
        <f aca="false">IFERROR(__xludf.dummyfunction("IF(I4709="""", """", REGEXEXTRACT(I4709, ""Padrao/([^/]+)""))"),"Centro")</f>
        <v>Centro</v>
      </c>
    </row>
    <row r="4659" customFormat="false" ht="15.75" hidden="false" customHeight="false" outlineLevel="0" collapsed="false">
      <c r="A4659" s="2" t="n">
        <v>207488</v>
      </c>
      <c r="B4659" s="2" t="s">
        <v>3774</v>
      </c>
      <c r="C4659" s="2" t="n">
        <v>2</v>
      </c>
      <c r="D4659" s="2" t="n">
        <v>2</v>
      </c>
      <c r="E4659" s="2" t="n">
        <v>2</v>
      </c>
      <c r="F4659" s="2" t="n">
        <v>75</v>
      </c>
      <c r="G4659" s="2" t="s">
        <v>648</v>
      </c>
      <c r="H4659" s="2" t="str">
        <f aca="false">IFERROR(__xludf.dummyfunction("IF(I4710="""", """", REGEXEXTRACT(I4710, ""Padrao/([^/]+)""))"),"Jardim Botanico")</f>
        <v>Jardim Botanico</v>
      </c>
    </row>
    <row r="4660" customFormat="false" ht="15.75" hidden="false" customHeight="false" outlineLevel="0" collapsed="false">
      <c r="A4660" s="2" t="n">
        <v>120686</v>
      </c>
      <c r="B4660" s="2" t="s">
        <v>3775</v>
      </c>
      <c r="C4660" s="2" t="n">
        <v>2</v>
      </c>
      <c r="D4660" s="2" t="n">
        <v>2</v>
      </c>
      <c r="E4660" s="2" t="n">
        <v>1</v>
      </c>
      <c r="F4660" s="2" t="n">
        <v>70</v>
      </c>
      <c r="G4660" s="2" t="s">
        <v>3776</v>
      </c>
      <c r="H4660" s="2" t="str">
        <f aca="false">IFERROR(__xludf.dummyfunction("IF(I4711="""", """", REGEXEXTRACT(I4711, ""Padrao/([^/]+)""))"),"Jardim Novo Mundo")</f>
        <v>Jardim Novo Mundo</v>
      </c>
    </row>
    <row r="4661" customFormat="false" ht="15.75" hidden="false" customHeight="false" outlineLevel="0" collapsed="false">
      <c r="A4661" s="2" t="n">
        <v>129665</v>
      </c>
      <c r="B4661" s="2" t="s">
        <v>3777</v>
      </c>
      <c r="C4661" s="2" t="n">
        <v>2</v>
      </c>
      <c r="D4661" s="2" t="n">
        <v>2</v>
      </c>
      <c r="E4661" s="2" t="n">
        <v>2</v>
      </c>
      <c r="F4661" s="2" t="n">
        <v>92</v>
      </c>
      <c r="G4661" s="2" t="s">
        <v>1534</v>
      </c>
      <c r="H4661" s="2" t="str">
        <f aca="false">IFERROR(__xludf.dummyfunction("IF(I4712="""", """", REGEXEXTRACT(I4712, ""Padrao/([^/]+)""))"),"Jardim Paulistano")</f>
        <v>Jardim Paulistano</v>
      </c>
    </row>
    <row r="4662" customFormat="false" ht="15.75" hidden="false" customHeight="false" outlineLevel="0" collapsed="false">
      <c r="A4662" s="2" t="n">
        <v>236597</v>
      </c>
      <c r="B4662" s="2" t="s">
        <v>3778</v>
      </c>
      <c r="C4662" s="2" t="n">
        <v>2</v>
      </c>
      <c r="D4662" s="2" t="n">
        <v>2</v>
      </c>
      <c r="E4662" s="2" t="n">
        <v>1</v>
      </c>
      <c r="F4662" s="2" t="n">
        <v>70</v>
      </c>
      <c r="G4662" s="2" t="s">
        <v>646</v>
      </c>
      <c r="H4662" s="2" t="str">
        <f aca="false">IFERROR(__xludf.dummyfunction("IF(I4713="""", """", REGEXEXTRACT(I4713, ""Padrao/([^/]+)""))"),"Vila Ana Maria")</f>
        <v>Vila Ana Maria</v>
      </c>
    </row>
    <row r="4663" customFormat="false" ht="15.75" hidden="false" customHeight="false" outlineLevel="0" collapsed="false">
      <c r="A4663" s="2" t="n">
        <v>214634</v>
      </c>
      <c r="B4663" s="2" t="s">
        <v>3712</v>
      </c>
      <c r="C4663" s="2" t="n">
        <v>2</v>
      </c>
      <c r="D4663" s="2" t="n">
        <v>2</v>
      </c>
      <c r="E4663" s="2" t="n">
        <v>1</v>
      </c>
      <c r="F4663" s="2" t="n">
        <v>67</v>
      </c>
      <c r="G4663" s="2" t="s">
        <v>2677</v>
      </c>
      <c r="H4663" s="2" t="str">
        <f aca="false">IFERROR(__xludf.dummyfunction("IF(I4714="""", """", REGEXEXTRACT(I4714, ""Padrao/([^/]+)""))"),"Ribeirania")</f>
        <v>Ribeirania</v>
      </c>
    </row>
    <row r="4664" customFormat="false" ht="15.75" hidden="false" customHeight="false" outlineLevel="0" collapsed="false">
      <c r="A4664" s="2" t="n">
        <v>214631</v>
      </c>
      <c r="B4664" s="2" t="s">
        <v>3712</v>
      </c>
      <c r="C4664" s="2" t="n">
        <v>2</v>
      </c>
      <c r="D4664" s="2" t="n">
        <v>2</v>
      </c>
      <c r="E4664" s="2" t="n">
        <v>1</v>
      </c>
      <c r="F4664" s="2" t="n">
        <v>67</v>
      </c>
      <c r="G4664" s="2" t="s">
        <v>2677</v>
      </c>
      <c r="H4664" s="2" t="str">
        <f aca="false">IFERROR(__xludf.dummyfunction("IF(I4715="""", """", REGEXEXTRACT(I4715, ""Padrao/([^/]+)""))"),"Ribeirania")</f>
        <v>Ribeirania</v>
      </c>
    </row>
    <row r="4665" customFormat="false" ht="15.75" hidden="false" customHeight="false" outlineLevel="0" collapsed="false">
      <c r="A4665" s="2" t="n">
        <v>209060</v>
      </c>
      <c r="B4665" s="2" t="s">
        <v>3779</v>
      </c>
      <c r="C4665" s="2" t="n">
        <v>2</v>
      </c>
      <c r="D4665" s="2" t="n">
        <v>2</v>
      </c>
      <c r="E4665" s="2" t="n">
        <v>1</v>
      </c>
      <c r="F4665" s="2" t="n">
        <v>76</v>
      </c>
      <c r="G4665" s="2" t="s">
        <v>2677</v>
      </c>
      <c r="H4665" s="2" t="str">
        <f aca="false">IFERROR(__xludf.dummyfunction("IF(I4716="""", """", REGEXEXTRACT(I4716, ""Padrao/([^/]+)""))"),"Vila Ana Maria")</f>
        <v>Vila Ana Maria</v>
      </c>
    </row>
    <row r="4666" customFormat="false" ht="15.75" hidden="false" customHeight="false" outlineLevel="0" collapsed="false">
      <c r="A4666" s="2" t="n">
        <v>202874</v>
      </c>
      <c r="B4666" s="2" t="s">
        <v>3780</v>
      </c>
      <c r="C4666" s="2" t="n">
        <v>3</v>
      </c>
      <c r="D4666" s="2" t="n">
        <v>2</v>
      </c>
      <c r="E4666" s="2" t="n">
        <v>1</v>
      </c>
      <c r="F4666" s="2" t="n">
        <v>68</v>
      </c>
      <c r="G4666" s="2" t="s">
        <v>2677</v>
      </c>
      <c r="H4666" s="2" t="str">
        <f aca="false">IFERROR(__xludf.dummyfunction("IF(I4717="""", """", REGEXEXTRACT(I4717, ""Padrao/([^/]+)""))"),"Parque Industrial Lagoinha")</f>
        <v>Parque Industrial Lagoinha</v>
      </c>
    </row>
    <row r="4667" customFormat="false" ht="15.75" hidden="false" customHeight="false" outlineLevel="0" collapsed="false">
      <c r="A4667" s="2" t="n">
        <v>197219</v>
      </c>
      <c r="B4667" s="2" t="s">
        <v>3781</v>
      </c>
      <c r="C4667" s="2" t="n">
        <v>3</v>
      </c>
      <c r="D4667" s="2" t="n">
        <v>2</v>
      </c>
      <c r="E4667" s="2" t="n">
        <v>2</v>
      </c>
      <c r="F4667" s="2" t="n">
        <v>71</v>
      </c>
      <c r="G4667" s="2" t="s">
        <v>2677</v>
      </c>
      <c r="H4667" s="2" t="str">
        <f aca="false">IFERROR(__xludf.dummyfunction("IF(I4718="""", """", REGEXEXTRACT(I4718, ""Padrao/([^/]+)""))"),"Alto da Boa Vista")</f>
        <v>Alto da Boa Vista</v>
      </c>
    </row>
    <row r="4668" customFormat="false" ht="15.75" hidden="false" customHeight="false" outlineLevel="0" collapsed="false">
      <c r="A4668" s="2" t="n">
        <v>164171</v>
      </c>
      <c r="B4668" s="2" t="s">
        <v>3782</v>
      </c>
      <c r="C4668" s="2" t="n">
        <v>3</v>
      </c>
      <c r="D4668" s="2" t="n">
        <v>2</v>
      </c>
      <c r="E4668" s="2" t="n">
        <v>2</v>
      </c>
      <c r="F4668" s="2" t="n">
        <v>109</v>
      </c>
      <c r="G4668" s="2" t="s">
        <v>2677</v>
      </c>
      <c r="H4668" s="2" t="str">
        <f aca="false">IFERROR(__xludf.dummyfunction("IF(I4719="""", """", REGEXEXTRACT(I4719, ""Padrao/([^/]+)""))"),"Bosque das Juritis")</f>
        <v>Bosque das Juritis</v>
      </c>
    </row>
    <row r="4669" customFormat="false" ht="15.75" hidden="false" customHeight="false" outlineLevel="0" collapsed="false">
      <c r="A4669" s="2" t="n">
        <v>161936</v>
      </c>
      <c r="B4669" s="2" t="s">
        <v>3783</v>
      </c>
      <c r="C4669" s="2" t="n">
        <v>2</v>
      </c>
      <c r="D4669" s="2" t="n">
        <v>2</v>
      </c>
      <c r="E4669" s="2" t="n">
        <v>2</v>
      </c>
      <c r="F4669" s="2" t="n">
        <v>69</v>
      </c>
      <c r="G4669" s="2" t="s">
        <v>2677</v>
      </c>
      <c r="H4669" s="2" t="str">
        <f aca="false">IFERROR(__xludf.dummyfunction("IF(I4720="""", """", REGEXEXTRACT(I4720, ""Padrao/([^/]+)""))"),"Vila Monte Alegre")</f>
        <v>Vila Monte Alegre</v>
      </c>
    </row>
    <row r="4670" customFormat="false" ht="15.75" hidden="false" customHeight="false" outlineLevel="0" collapsed="false">
      <c r="A4670" s="2" t="n">
        <v>134525</v>
      </c>
      <c r="B4670" s="2" t="s">
        <v>3784</v>
      </c>
      <c r="C4670" s="2" t="n">
        <v>3</v>
      </c>
      <c r="D4670" s="2" t="n">
        <v>2</v>
      </c>
      <c r="E4670" s="2" t="n">
        <v>1</v>
      </c>
      <c r="F4670" s="2" t="n">
        <v>138</v>
      </c>
      <c r="G4670" s="2" t="s">
        <v>1534</v>
      </c>
      <c r="H4670" s="2" t="str">
        <f aca="false">IFERROR(__xludf.dummyfunction("IF(I4721="""", """", REGEXEXTRACT(I4721, ""Padrao/([^/]+)""))"),"Vila Seixas")</f>
        <v>Vila Seixas</v>
      </c>
    </row>
    <row r="4671" customFormat="false" ht="15.75" hidden="false" customHeight="false" outlineLevel="0" collapsed="false">
      <c r="A4671" s="2" t="n">
        <v>178514</v>
      </c>
      <c r="B4671" s="2" t="s">
        <v>3785</v>
      </c>
      <c r="C4671" s="2" t="n">
        <v>3</v>
      </c>
      <c r="D4671" s="2" t="n">
        <v>2</v>
      </c>
      <c r="E4671" s="2" t="n">
        <v>1</v>
      </c>
      <c r="F4671" s="2" t="n">
        <v>102</v>
      </c>
      <c r="G4671" s="2" t="s">
        <v>646</v>
      </c>
      <c r="H4671" s="2" t="str">
        <f aca="false">IFERROR(__xludf.dummyfunction("IF(I4722="""", """", REGEXEXTRACT(I4722, ""Padrao/([^/]+)""))"),"Vila Seixas")</f>
        <v>Vila Seixas</v>
      </c>
    </row>
    <row r="4672" customFormat="false" ht="15.75" hidden="false" customHeight="false" outlineLevel="0" collapsed="false">
      <c r="A4672" s="2" t="n">
        <v>243092</v>
      </c>
      <c r="B4672" s="2" t="s">
        <v>3786</v>
      </c>
      <c r="C4672" s="2" t="n">
        <v>2</v>
      </c>
      <c r="D4672" s="2" t="n">
        <v>2</v>
      </c>
      <c r="E4672" s="2" t="n">
        <v>1</v>
      </c>
      <c r="F4672" s="2" t="n">
        <v>55</v>
      </c>
      <c r="G4672" s="2" t="s">
        <v>1551</v>
      </c>
      <c r="H4672" s="2" t="str">
        <f aca="false">IFERROR(__xludf.dummyfunction("IF(I4723="""", """", REGEXEXTRACT(I4723, ""Padrao/([^/]+)""))"),"Residencial Monterrey")</f>
        <v>Residencial Monterrey</v>
      </c>
    </row>
    <row r="4673" customFormat="false" ht="15.75" hidden="false" customHeight="false" outlineLevel="0" collapsed="false">
      <c r="A4673" s="2" t="n">
        <v>239141</v>
      </c>
      <c r="B4673" s="2" t="s">
        <v>3787</v>
      </c>
      <c r="C4673" s="2" t="n">
        <v>3</v>
      </c>
      <c r="D4673" s="2" t="n">
        <v>2</v>
      </c>
      <c r="E4673" s="2" t="n">
        <v>2</v>
      </c>
      <c r="F4673" s="2" t="n">
        <v>75</v>
      </c>
      <c r="G4673" s="2" t="s">
        <v>1551</v>
      </c>
      <c r="H4673" s="2" t="str">
        <f aca="false">IFERROR(__xludf.dummyfunction("IF(I4724="""", """", REGEXEXTRACT(I4724, ""Padrao/([^/]+)""))"),"Jardim Botanico")</f>
        <v>Jardim Botanico</v>
      </c>
    </row>
    <row r="4674" customFormat="false" ht="15.75" hidden="false" customHeight="false" outlineLevel="0" collapsed="false">
      <c r="A4674" s="2" t="n">
        <v>238736</v>
      </c>
      <c r="B4674" s="2" t="s">
        <v>3788</v>
      </c>
      <c r="C4674" s="2" t="n">
        <v>3</v>
      </c>
      <c r="D4674" s="2" t="n">
        <v>2</v>
      </c>
      <c r="E4674" s="2" t="n">
        <v>1</v>
      </c>
      <c r="F4674" s="2" t="n">
        <v>87</v>
      </c>
      <c r="G4674" s="2" t="s">
        <v>1551</v>
      </c>
      <c r="H4674" s="2" t="str">
        <f aca="false">IFERROR(__xludf.dummyfunction("IF(I4725="""", """", REGEXEXTRACT(I4725, ""Padrao/([^/]+)""))"),"Parque Industrial Lagoinha")</f>
        <v>Parque Industrial Lagoinha</v>
      </c>
    </row>
    <row r="4675" customFormat="false" ht="15.75" hidden="false" customHeight="false" outlineLevel="0" collapsed="false">
      <c r="A4675" s="2" t="n">
        <v>237758</v>
      </c>
      <c r="B4675" s="2" t="s">
        <v>162</v>
      </c>
      <c r="C4675" s="2" t="n">
        <v>2</v>
      </c>
      <c r="D4675" s="2" t="n">
        <v>2</v>
      </c>
      <c r="E4675" s="2" t="n">
        <v>1</v>
      </c>
      <c r="F4675" s="2" t="n">
        <v>61</v>
      </c>
      <c r="G4675" s="2" t="s">
        <v>1551</v>
      </c>
      <c r="H4675" s="2" t="str">
        <f aca="false">IFERROR(__xludf.dummyfunction("IF(I4726="""", """", REGEXEXTRACT(I4726, ""Padrao/([^/]+)""))"),"Ribeirania")</f>
        <v>Ribeirania</v>
      </c>
    </row>
    <row r="4676" customFormat="false" ht="15.75" hidden="false" customHeight="false" outlineLevel="0" collapsed="false">
      <c r="A4676" s="2" t="n">
        <v>234902</v>
      </c>
      <c r="B4676" s="2" t="s">
        <v>3789</v>
      </c>
      <c r="C4676" s="2" t="n">
        <v>2</v>
      </c>
      <c r="D4676" s="2" t="n">
        <v>2</v>
      </c>
      <c r="E4676" s="2" t="n">
        <v>1</v>
      </c>
      <c r="F4676" s="2" t="n">
        <v>59</v>
      </c>
      <c r="G4676" s="2" t="s">
        <v>1551</v>
      </c>
      <c r="H4676" s="2" t="str">
        <f aca="false">IFERROR(__xludf.dummyfunction("IF(I4727="""", """", REGEXEXTRACT(I4727, ""Padrao/([^/]+)""))"),"Quintas de Sao Jose")</f>
        <v>Quintas de Sao Jose</v>
      </c>
    </row>
    <row r="4677" customFormat="false" ht="15.75" hidden="false" customHeight="false" outlineLevel="0" collapsed="false">
      <c r="A4677" s="2" t="n">
        <v>234452</v>
      </c>
      <c r="B4677" s="2" t="s">
        <v>3790</v>
      </c>
      <c r="C4677" s="2" t="n">
        <v>3</v>
      </c>
      <c r="D4677" s="2" t="n">
        <v>3</v>
      </c>
      <c r="E4677" s="2" t="n">
        <v>1</v>
      </c>
      <c r="F4677" s="2" t="n">
        <v>134</v>
      </c>
      <c r="G4677" s="2" t="s">
        <v>1551</v>
      </c>
      <c r="H4677" s="2" t="str">
        <f aca="false">IFERROR(__xludf.dummyfunction("IF(I4728="""", """", REGEXEXTRACT(I4728, ""Padrao/([^/]+)""))"),"Centro")</f>
        <v>Centro</v>
      </c>
    </row>
    <row r="4678" customFormat="false" ht="15.75" hidden="false" customHeight="false" outlineLevel="0" collapsed="false">
      <c r="A4678" s="2" t="n">
        <v>229724</v>
      </c>
      <c r="B4678" s="2" t="s">
        <v>3791</v>
      </c>
      <c r="C4678" s="2" t="n">
        <v>2</v>
      </c>
      <c r="D4678" s="2" t="n">
        <v>3</v>
      </c>
      <c r="E4678" s="2" t="n">
        <v>2</v>
      </c>
      <c r="F4678" s="2" t="n">
        <v>88</v>
      </c>
      <c r="G4678" s="2" t="s">
        <v>1551</v>
      </c>
      <c r="H4678" s="2" t="str">
        <f aca="false">IFERROR(__xludf.dummyfunction("IF(I4729="""", """", REGEXEXTRACT(I4729, ""Padrao/([^/]+)""))"),"Parque dos Bandeirantes")</f>
        <v>Parque dos Bandeirantes</v>
      </c>
    </row>
    <row r="4679" customFormat="false" ht="15.75" hidden="false" customHeight="false" outlineLevel="0" collapsed="false">
      <c r="A4679" s="2" t="n">
        <v>208760</v>
      </c>
      <c r="B4679" s="2" t="s">
        <v>3792</v>
      </c>
      <c r="C4679" s="2" t="n">
        <v>3</v>
      </c>
      <c r="D4679" s="2" t="n">
        <v>3</v>
      </c>
      <c r="E4679" s="2" t="n">
        <v>1</v>
      </c>
      <c r="F4679" s="2" t="n">
        <v>105</v>
      </c>
      <c r="G4679" s="2" t="s">
        <v>1551</v>
      </c>
      <c r="H4679" s="2" t="str">
        <f aca="false">IFERROR(__xludf.dummyfunction("IF(I4730="""", """", REGEXEXTRACT(I4730, ""Padrao/([^/]+)""))"),"Jardim Botanico")</f>
        <v>Jardim Botanico</v>
      </c>
    </row>
    <row r="4680" customFormat="false" ht="15.75" hidden="false" customHeight="false" outlineLevel="0" collapsed="false">
      <c r="A4680" s="2" t="n">
        <v>199217</v>
      </c>
      <c r="B4680" s="2" t="s">
        <v>602</v>
      </c>
      <c r="C4680" s="2" t="n">
        <v>2</v>
      </c>
      <c r="D4680" s="2" t="n">
        <v>2</v>
      </c>
      <c r="E4680" s="2" t="n">
        <v>1</v>
      </c>
      <c r="F4680" s="2" t="n">
        <v>132</v>
      </c>
      <c r="G4680" s="2" t="s">
        <v>1551</v>
      </c>
      <c r="H4680" s="2" t="str">
        <f aca="false">IFERROR(__xludf.dummyfunction("IF(I4731="""", """", REGEXEXTRACT(I4731, ""Padrao/([^/]+)""))"),"Centro")</f>
        <v>Centro</v>
      </c>
    </row>
    <row r="4681" customFormat="false" ht="15.75" hidden="false" customHeight="false" outlineLevel="0" collapsed="false">
      <c r="A4681" s="2" t="n">
        <v>180509</v>
      </c>
      <c r="B4681" s="2" t="s">
        <v>3793</v>
      </c>
      <c r="C4681" s="2" t="n">
        <v>2</v>
      </c>
      <c r="D4681" s="2" t="n">
        <v>3</v>
      </c>
      <c r="E4681" s="2" t="n">
        <v>2</v>
      </c>
      <c r="F4681" s="2" t="n">
        <v>92</v>
      </c>
      <c r="G4681" s="2" t="s">
        <v>1551</v>
      </c>
      <c r="H4681" s="2" t="str">
        <f aca="false">IFERROR(__xludf.dummyfunction("IF(I4732="""", """", REGEXEXTRACT(I4732, ""Padrao/([^/]+)""))"),"Jardim Botanico")</f>
        <v>Jardim Botanico</v>
      </c>
    </row>
    <row r="4682" customFormat="false" ht="15.75" hidden="false" customHeight="false" outlineLevel="0" collapsed="false">
      <c r="A4682" s="2" t="n">
        <v>140291</v>
      </c>
      <c r="B4682" s="2" t="s">
        <v>3599</v>
      </c>
      <c r="C4682" s="2" t="n">
        <v>2</v>
      </c>
      <c r="D4682" s="2" t="n">
        <v>2</v>
      </c>
      <c r="E4682" s="2" t="n">
        <v>1</v>
      </c>
      <c r="F4682" s="2" t="n">
        <v>70</v>
      </c>
      <c r="G4682" s="2" t="s">
        <v>1551</v>
      </c>
      <c r="H4682" s="2" t="str">
        <f aca="false">IFERROR(__xludf.dummyfunction("IF(I4733="""", """", REGEXEXTRACT(I4733, ""Padrao/([^/]+)""))"),"Jardim Sao Luiz")</f>
        <v>Jardim Sao Luiz</v>
      </c>
    </row>
    <row r="4683" customFormat="false" ht="15.75" hidden="false" customHeight="false" outlineLevel="0" collapsed="false">
      <c r="A4683" s="2" t="n">
        <v>122195</v>
      </c>
      <c r="B4683" s="2" t="s">
        <v>3794</v>
      </c>
      <c r="C4683" s="2" t="n">
        <v>3</v>
      </c>
      <c r="D4683" s="2" t="n">
        <v>2</v>
      </c>
      <c r="E4683" s="2" t="n">
        <v>2</v>
      </c>
      <c r="F4683" s="2" t="n">
        <v>76</v>
      </c>
      <c r="G4683" s="2" t="s">
        <v>1551</v>
      </c>
      <c r="H4683" s="2" t="str">
        <f aca="false">IFERROR(__xludf.dummyfunction("IF(I4734="""", """", REGEXEXTRACT(I4734, ""Padrao/([^/]+)""))"),"Jardim Botanico")</f>
        <v>Jardim Botanico</v>
      </c>
    </row>
    <row r="4684" customFormat="false" ht="15.75" hidden="false" customHeight="false" outlineLevel="0" collapsed="false">
      <c r="A4684" s="2" t="n">
        <v>116030</v>
      </c>
      <c r="B4684" s="2" t="s">
        <v>3795</v>
      </c>
      <c r="C4684" s="2" t="n">
        <v>2</v>
      </c>
      <c r="D4684" s="2" t="n">
        <v>3</v>
      </c>
      <c r="E4684" s="2" t="n">
        <v>2</v>
      </c>
      <c r="F4684" s="2" t="n">
        <v>85</v>
      </c>
      <c r="G4684" s="2" t="s">
        <v>1551</v>
      </c>
      <c r="H4684" s="2" t="str">
        <f aca="false">IFERROR(__xludf.dummyfunction("IF(I4735="""", """", REGEXEXTRACT(I4735, ""Padrao/([^/]+)""))"),"Vila Seixas")</f>
        <v>Vila Seixas</v>
      </c>
    </row>
    <row r="4685" customFormat="false" ht="15.75" hidden="false" customHeight="false" outlineLevel="0" collapsed="false">
      <c r="A4685" s="2" t="n">
        <v>111785</v>
      </c>
      <c r="B4685" s="2" t="s">
        <v>3796</v>
      </c>
      <c r="C4685" s="2" t="n">
        <v>3</v>
      </c>
      <c r="D4685" s="2" t="n">
        <v>2</v>
      </c>
      <c r="E4685" s="2" t="n">
        <v>1</v>
      </c>
      <c r="F4685" s="2" t="n">
        <v>71</v>
      </c>
      <c r="G4685" s="2" t="s">
        <v>1551</v>
      </c>
      <c r="H4685" s="2" t="str">
        <f aca="false">IFERROR(__xludf.dummyfunction("IF(I4736="""", """", REGEXEXTRACT(I4736, ""Padrao/([^/]+)""))"),"Alto da Boa Vista")</f>
        <v>Alto da Boa Vista</v>
      </c>
    </row>
    <row r="4686" customFormat="false" ht="15.75" hidden="false" customHeight="false" outlineLevel="0" collapsed="false">
      <c r="A4686" s="2" t="n">
        <v>103304</v>
      </c>
      <c r="B4686" s="2" t="s">
        <v>3797</v>
      </c>
      <c r="C4686" s="2" t="n">
        <v>3</v>
      </c>
      <c r="D4686" s="2" t="n">
        <v>2</v>
      </c>
      <c r="E4686" s="2" t="n">
        <v>2</v>
      </c>
      <c r="F4686" s="2" t="n">
        <v>93</v>
      </c>
      <c r="G4686" s="2" t="s">
        <v>1551</v>
      </c>
      <c r="H4686" s="2" t="str">
        <f aca="false">IFERROR(__xludf.dummyfunction("IF(I4737="""", """", REGEXEXTRACT(I4737, ""Padrao/([^/]+)""))"),"Santa Cruz do Jose Jacques")</f>
        <v>Santa Cruz do Jose Jacques</v>
      </c>
    </row>
    <row r="4687" customFormat="false" ht="15.75" hidden="false" customHeight="false" outlineLevel="0" collapsed="false">
      <c r="A4687" s="2" t="n">
        <v>86522</v>
      </c>
      <c r="B4687" s="2" t="s">
        <v>3272</v>
      </c>
      <c r="C4687" s="2" t="n">
        <v>2</v>
      </c>
      <c r="D4687" s="2" t="n">
        <v>2</v>
      </c>
      <c r="E4687" s="2" t="n">
        <v>2</v>
      </c>
      <c r="F4687" s="2" t="n">
        <v>80</v>
      </c>
      <c r="G4687" s="2" t="s">
        <v>1551</v>
      </c>
      <c r="H4687" s="2" t="str">
        <f aca="false">IFERROR(__xludf.dummyfunction("IF(I4738="""", """", REGEXEXTRACT(I4738, ""Padrao/([^/]+)""))"),"Centro")</f>
        <v>Centro</v>
      </c>
    </row>
    <row r="4688" customFormat="false" ht="15.75" hidden="false" customHeight="false" outlineLevel="0" collapsed="false">
      <c r="A4688" s="2" t="n">
        <v>82664</v>
      </c>
      <c r="B4688" s="2" t="s">
        <v>162</v>
      </c>
      <c r="C4688" s="2" t="n">
        <v>3</v>
      </c>
      <c r="D4688" s="2" t="n">
        <v>3</v>
      </c>
      <c r="E4688" s="2" t="n">
        <v>2</v>
      </c>
      <c r="F4688" s="2" t="n">
        <v>96</v>
      </c>
      <c r="G4688" s="2" t="s">
        <v>1551</v>
      </c>
      <c r="H4688" s="2" t="str">
        <f aca="false">IFERROR(__xludf.dummyfunction("IF(I4739="""", """", REGEXEXTRACT(I4739, ""Padrao/([^/]+)""))"),"Higienopolis")</f>
        <v>Higienopolis</v>
      </c>
    </row>
    <row r="4689" customFormat="false" ht="15.75" hidden="false" customHeight="false" outlineLevel="0" collapsed="false">
      <c r="A4689" s="2" t="n">
        <v>79040</v>
      </c>
      <c r="B4689" s="2" t="s">
        <v>3798</v>
      </c>
      <c r="C4689" s="2" t="n">
        <v>3</v>
      </c>
      <c r="D4689" s="2" t="n">
        <v>3</v>
      </c>
      <c r="E4689" s="2" t="n">
        <v>2</v>
      </c>
      <c r="F4689" s="2" t="n">
        <v>93</v>
      </c>
      <c r="G4689" s="2" t="s">
        <v>1551</v>
      </c>
      <c r="H4689" s="2" t="str">
        <f aca="false">IFERROR(__xludf.dummyfunction("IF(I4740="""", """", REGEXEXTRACT(I4740, ""Padrao/([^/]+)""))"),"Santa Cruz do Jose Jacques")</f>
        <v>Santa Cruz do Jose Jacques</v>
      </c>
    </row>
    <row r="4690" customFormat="false" ht="15.75" hidden="false" customHeight="false" outlineLevel="0" collapsed="false">
      <c r="A4690" s="2" t="n">
        <v>76532</v>
      </c>
      <c r="B4690" s="2" t="s">
        <v>3799</v>
      </c>
      <c r="C4690" s="2" t="n">
        <v>2</v>
      </c>
      <c r="D4690" s="2" t="n">
        <v>2</v>
      </c>
      <c r="E4690" s="2" t="n">
        <v>1</v>
      </c>
      <c r="F4690" s="2" t="n">
        <v>70</v>
      </c>
      <c r="G4690" s="2" t="s">
        <v>1551</v>
      </c>
      <c r="H4690" s="2" t="str">
        <f aca="false">IFERROR(__xludf.dummyfunction("IF(I4741="""", """", REGEXEXTRACT(I4741, ""Padrao/([^/]+)""))"),"Nova Alianca")</f>
        <v>Nova Alianca</v>
      </c>
    </row>
    <row r="4691" customFormat="false" ht="15.75" hidden="false" customHeight="false" outlineLevel="0" collapsed="false">
      <c r="A4691" s="2" t="n">
        <v>68408</v>
      </c>
      <c r="B4691" s="2" t="s">
        <v>3800</v>
      </c>
      <c r="C4691" s="2" t="n">
        <v>2</v>
      </c>
      <c r="D4691" s="2" t="n">
        <v>2</v>
      </c>
      <c r="E4691" s="2" t="n">
        <v>2</v>
      </c>
      <c r="F4691" s="2" t="n">
        <v>83</v>
      </c>
      <c r="G4691" s="2" t="s">
        <v>1551</v>
      </c>
      <c r="H4691" s="2" t="str">
        <f aca="false">IFERROR(__xludf.dummyfunction("IF(I4742="""", """", REGEXEXTRACT(I4742, ""Padrao/([^/]+)""))"),"Jardim Botanico")</f>
        <v>Jardim Botanico</v>
      </c>
    </row>
    <row r="4692" customFormat="false" ht="15.75" hidden="false" customHeight="false" outlineLevel="0" collapsed="false">
      <c r="A4692" s="2" t="n">
        <v>170288</v>
      </c>
      <c r="B4692" s="2" t="s">
        <v>1356</v>
      </c>
      <c r="C4692" s="2" t="n">
        <v>1</v>
      </c>
      <c r="D4692" s="2" t="n">
        <v>1</v>
      </c>
      <c r="E4692" s="2" t="n">
        <v>1</v>
      </c>
      <c r="F4692" s="2" t="n">
        <v>62</v>
      </c>
      <c r="G4692" s="2" t="s">
        <v>3801</v>
      </c>
      <c r="H4692" s="2" t="str">
        <f aca="false">IFERROR(__xludf.dummyfunction("IF(I4743="""", """", REGEXEXTRACT(I4743, ""Padrao/([^/]+)""))"),"Nova Alianca")</f>
        <v>Nova Alianca</v>
      </c>
    </row>
    <row r="4693" customFormat="false" ht="15.75" hidden="false" customHeight="false" outlineLevel="0" collapsed="false">
      <c r="A4693" s="2" t="n">
        <v>235928</v>
      </c>
      <c r="B4693" s="2" t="s">
        <v>3802</v>
      </c>
      <c r="C4693" s="2" t="n">
        <v>2</v>
      </c>
      <c r="D4693" s="2" t="n">
        <v>2</v>
      </c>
      <c r="E4693" s="2" t="n">
        <v>1</v>
      </c>
      <c r="F4693" s="2" t="n">
        <v>76</v>
      </c>
      <c r="G4693" s="2" t="s">
        <v>3803</v>
      </c>
      <c r="H4693" s="2" t="str">
        <f aca="false">IFERROR(__xludf.dummyfunction("IF(I4744="""", """", REGEXEXTRACT(I4744, ""Padrao/([^/]+)""))"),"Vila Ana Maria")</f>
        <v>Vila Ana Maria</v>
      </c>
    </row>
    <row r="4694" customFormat="false" ht="15.75" hidden="false" customHeight="false" outlineLevel="0" collapsed="false">
      <c r="A4694" s="2" t="n">
        <v>131297</v>
      </c>
      <c r="B4694" s="2" t="s">
        <v>3804</v>
      </c>
      <c r="C4694" s="2" t="n">
        <v>2</v>
      </c>
      <c r="D4694" s="2" t="n">
        <v>2</v>
      </c>
      <c r="E4694" s="2" t="n">
        <v>1</v>
      </c>
      <c r="F4694" s="2" t="n">
        <v>73</v>
      </c>
      <c r="G4694" s="2" t="s">
        <v>3805</v>
      </c>
      <c r="H4694" s="2" t="str">
        <f aca="false">IFERROR(__xludf.dummyfunction("IF(I4745="""", """", REGEXEXTRACT(I4745, ""Padrao/([^/]+)""))"),"Ribeirania")</f>
        <v>Ribeirania</v>
      </c>
    </row>
    <row r="4695" customFormat="false" ht="15.75" hidden="false" customHeight="false" outlineLevel="0" collapsed="false">
      <c r="A4695" s="2" t="n">
        <v>194849</v>
      </c>
      <c r="B4695" s="2" t="s">
        <v>3806</v>
      </c>
      <c r="C4695" s="2" t="n">
        <v>3</v>
      </c>
      <c r="D4695" s="2" t="n">
        <v>2</v>
      </c>
      <c r="E4695" s="2" t="n">
        <v>1</v>
      </c>
      <c r="F4695" s="2" t="n">
        <v>85</v>
      </c>
      <c r="G4695" s="2" t="s">
        <v>3807</v>
      </c>
      <c r="H4695" s="2" t="str">
        <f aca="false">IFERROR(__xludf.dummyfunction("IF(I4746="""", """", REGEXEXTRACT(I4746, ""Padrao/([^/]+)""))"),"Jardim Botanico")</f>
        <v>Jardim Botanico</v>
      </c>
    </row>
    <row r="4696" customFormat="false" ht="15.75" hidden="false" customHeight="false" outlineLevel="0" collapsed="false">
      <c r="A4696" s="2" t="n">
        <v>78554</v>
      </c>
      <c r="B4696" s="2" t="s">
        <v>3808</v>
      </c>
      <c r="C4696" s="2" t="n">
        <v>2</v>
      </c>
      <c r="D4696" s="2" t="n">
        <v>3</v>
      </c>
      <c r="E4696" s="2" t="n">
        <v>2</v>
      </c>
      <c r="F4696" s="2" t="n">
        <v>93</v>
      </c>
      <c r="G4696" s="2" t="s">
        <v>3807</v>
      </c>
      <c r="H4696" s="2" t="str">
        <f aca="false">IFERROR(__xludf.dummyfunction("IF(I4747="""", """", REGEXEXTRACT(I4747, ""Padrao/([^/]+)""))"),"Jardim Anhanguera")</f>
        <v>Jardim Anhanguera</v>
      </c>
    </row>
    <row r="4697" customFormat="false" ht="15.75" hidden="false" customHeight="false" outlineLevel="0" collapsed="false">
      <c r="A4697" s="2" t="n">
        <v>188681</v>
      </c>
      <c r="B4697" s="2" t="s">
        <v>3809</v>
      </c>
      <c r="C4697" s="2" t="n">
        <v>2</v>
      </c>
      <c r="D4697" s="2" t="n">
        <v>2</v>
      </c>
      <c r="E4697" s="2" t="n">
        <v>2</v>
      </c>
      <c r="F4697" s="2" t="n">
        <v>74</v>
      </c>
      <c r="G4697" s="2" t="s">
        <v>648</v>
      </c>
      <c r="H4697" s="2" t="str">
        <f aca="false">IFERROR(__xludf.dummyfunction("IF(I4748="""", """", REGEXEXTRACT(I4748, ""Padrao/([^/]+)""))"),"Parque dos Lagos")</f>
        <v>Parque dos Lagos</v>
      </c>
    </row>
    <row r="4698" customFormat="false" ht="15.75" hidden="false" customHeight="false" outlineLevel="0" collapsed="false">
      <c r="A4698" s="2" t="n">
        <v>82700</v>
      </c>
      <c r="B4698" s="2" t="s">
        <v>3810</v>
      </c>
      <c r="C4698" s="2" t="n">
        <v>3</v>
      </c>
      <c r="D4698" s="2" t="n">
        <v>2</v>
      </c>
      <c r="E4698" s="2" t="n">
        <v>1</v>
      </c>
      <c r="F4698" s="2" t="n">
        <v>109</v>
      </c>
      <c r="G4698" s="2" t="s">
        <v>618</v>
      </c>
      <c r="H4698" s="2" t="str">
        <f aca="false">IFERROR(__xludf.dummyfunction("IF(I4749="""", """", REGEXEXTRACT(I4749, ""Padrao/([^/]+)""))"),"Centro")</f>
        <v>Centro</v>
      </c>
    </row>
    <row r="4699" customFormat="false" ht="15.75" hidden="false" customHeight="false" outlineLevel="0" collapsed="false">
      <c r="A4699" s="2" t="n">
        <v>93614</v>
      </c>
      <c r="B4699" s="2" t="s">
        <v>3811</v>
      </c>
      <c r="C4699" s="2" t="n">
        <v>1</v>
      </c>
      <c r="D4699" s="2" t="n">
        <v>1</v>
      </c>
      <c r="E4699" s="2" t="n">
        <v>1</v>
      </c>
      <c r="F4699" s="2" t="n">
        <v>58</v>
      </c>
      <c r="G4699" s="2" t="s">
        <v>1534</v>
      </c>
      <c r="H4699" s="2" t="str">
        <f aca="false">IFERROR(__xludf.dummyfunction("IF(I4750="""", """", REGEXEXTRACT(I4750, ""Padrao/([^/]+)""))"),"Bosque das Juritis")</f>
        <v>Bosque das Juritis</v>
      </c>
    </row>
    <row r="4700" customFormat="false" ht="15.75" hidden="false" customHeight="false" outlineLevel="0" collapsed="false">
      <c r="A4700" s="2" t="n">
        <v>231179</v>
      </c>
      <c r="B4700" s="2" t="s">
        <v>3812</v>
      </c>
      <c r="C4700" s="2" t="n">
        <v>2</v>
      </c>
      <c r="D4700" s="2" t="n">
        <v>2</v>
      </c>
      <c r="E4700" s="2" t="n">
        <v>1</v>
      </c>
      <c r="F4700" s="2" t="n">
        <v>80</v>
      </c>
      <c r="G4700" s="2" t="s">
        <v>1571</v>
      </c>
      <c r="H4700" s="2" t="str">
        <f aca="false">IFERROR(__xludf.dummyfunction("IF(I4751="""", """", REGEXEXTRACT(I4751, ""Padrao/([^/]+)""))"),"Campos Eliseos")</f>
        <v>Campos Eliseos</v>
      </c>
    </row>
    <row r="4701" customFormat="false" ht="15.75" hidden="false" customHeight="false" outlineLevel="0" collapsed="false">
      <c r="A4701" s="2" t="n">
        <v>224312</v>
      </c>
      <c r="B4701" s="2" t="s">
        <v>3813</v>
      </c>
      <c r="C4701" s="2" t="n">
        <v>3</v>
      </c>
      <c r="D4701" s="2" t="n">
        <v>2</v>
      </c>
      <c r="E4701" s="2" t="n">
        <v>1</v>
      </c>
      <c r="F4701" s="2" t="n">
        <v>180</v>
      </c>
      <c r="G4701" s="2" t="s">
        <v>1571</v>
      </c>
      <c r="H4701" s="2" t="str">
        <f aca="false">IFERROR(__xludf.dummyfunction("IF(I4752="""", """", REGEXEXTRACT(I4752, ""Padrao/([^/]+)""))"),"Centro")</f>
        <v>Centro</v>
      </c>
    </row>
    <row r="4702" customFormat="false" ht="15.75" hidden="false" customHeight="false" outlineLevel="0" collapsed="false">
      <c r="A4702" s="2" t="n">
        <v>213626</v>
      </c>
      <c r="B4702" s="2" t="s">
        <v>2540</v>
      </c>
      <c r="C4702" s="2" t="n">
        <v>3</v>
      </c>
      <c r="D4702" s="2" t="n">
        <v>3</v>
      </c>
      <c r="E4702" s="2" t="n">
        <v>2</v>
      </c>
      <c r="F4702" s="2" t="n">
        <v>120</v>
      </c>
      <c r="G4702" s="2" t="s">
        <v>1571</v>
      </c>
      <c r="H4702" s="2" t="str">
        <f aca="false">IFERROR(__xludf.dummyfunction("IF(I4753="""", """", REGEXEXTRACT(I4753, ""Padrao/([^/]+)""))"),"Centro")</f>
        <v>Centro</v>
      </c>
    </row>
    <row r="4703" customFormat="false" ht="15.75" hidden="false" customHeight="false" outlineLevel="0" collapsed="false">
      <c r="A4703" s="2" t="n">
        <v>199214</v>
      </c>
      <c r="B4703" s="2" t="s">
        <v>3814</v>
      </c>
      <c r="C4703" s="2" t="n">
        <v>3</v>
      </c>
      <c r="D4703" s="2" t="n">
        <v>3</v>
      </c>
      <c r="E4703" s="2" t="n">
        <v>1</v>
      </c>
      <c r="F4703" s="2" t="n">
        <v>158</v>
      </c>
      <c r="G4703" s="2" t="s">
        <v>1571</v>
      </c>
      <c r="H4703" s="2" t="str">
        <f aca="false">IFERROR(__xludf.dummyfunction("IF(I4754="""", """", REGEXEXTRACT(I4754, ""Padrao/([^/]+)""))"),"Centro")</f>
        <v>Centro</v>
      </c>
    </row>
    <row r="4704" customFormat="false" ht="15.75" hidden="false" customHeight="false" outlineLevel="0" collapsed="false">
      <c r="A4704" s="2" t="n">
        <v>190370</v>
      </c>
      <c r="B4704" s="2" t="s">
        <v>3815</v>
      </c>
      <c r="C4704" s="2" t="n">
        <v>3</v>
      </c>
      <c r="D4704" s="2" t="n">
        <v>2</v>
      </c>
      <c r="E4704" s="2" t="n">
        <v>1</v>
      </c>
      <c r="F4704" s="2" t="n">
        <v>80</v>
      </c>
      <c r="G4704" s="2" t="s">
        <v>1571</v>
      </c>
      <c r="H4704" s="2" t="str">
        <f aca="false">IFERROR(__xludf.dummyfunction("IF(I4755="""", """", REGEXEXTRACT(I4755, ""Padrao/([^/]+)""))"),"Vila Mariana")</f>
        <v>Vila Mariana</v>
      </c>
    </row>
    <row r="4705" customFormat="false" ht="15.75" hidden="false" customHeight="false" outlineLevel="0" collapsed="false">
      <c r="A4705" s="2" t="n">
        <v>188558</v>
      </c>
      <c r="B4705" s="2" t="s">
        <v>3816</v>
      </c>
      <c r="C4705" s="2" t="n">
        <v>2</v>
      </c>
      <c r="D4705" s="2" t="n">
        <v>3</v>
      </c>
      <c r="E4705" s="2" t="n">
        <v>2</v>
      </c>
      <c r="F4705" s="2" t="n">
        <v>80</v>
      </c>
      <c r="G4705" s="2" t="s">
        <v>1571</v>
      </c>
      <c r="H4705" s="2" t="str">
        <f aca="false">IFERROR(__xludf.dummyfunction("IF(I4756="""", """", REGEXEXTRACT(I4756, ""Padrao/([^/]+)""))"),"Centro")</f>
        <v>Centro</v>
      </c>
    </row>
    <row r="4706" customFormat="false" ht="15.75" hidden="false" customHeight="false" outlineLevel="0" collapsed="false">
      <c r="A4706" s="2" t="n">
        <v>120191</v>
      </c>
      <c r="B4706" s="2" t="s">
        <v>1101</v>
      </c>
      <c r="C4706" s="2" t="n">
        <v>1</v>
      </c>
      <c r="D4706" s="2" t="n">
        <v>1</v>
      </c>
      <c r="E4706" s="2" t="n">
        <v>1</v>
      </c>
      <c r="F4706" s="2" t="n">
        <v>34</v>
      </c>
      <c r="G4706" s="2" t="s">
        <v>1571</v>
      </c>
      <c r="H4706" s="2" t="str">
        <f aca="false">IFERROR(__xludf.dummyfunction("IF(I4757="""", """", REGEXEXTRACT(I4757, ""Padrao/([^/]+)""))"),"Vila Monte Alegre")</f>
        <v>Vila Monte Alegre</v>
      </c>
    </row>
    <row r="4707" customFormat="false" ht="15.75" hidden="false" customHeight="false" outlineLevel="0" collapsed="false">
      <c r="A4707" s="2" t="n">
        <v>103097</v>
      </c>
      <c r="B4707" s="2" t="s">
        <v>3817</v>
      </c>
      <c r="C4707" s="2" t="n">
        <v>2</v>
      </c>
      <c r="D4707" s="2" t="n">
        <v>2</v>
      </c>
      <c r="E4707" s="2" t="n">
        <v>1</v>
      </c>
      <c r="F4707" s="2" t="n">
        <v>68</v>
      </c>
      <c r="G4707" s="2" t="s">
        <v>1571</v>
      </c>
      <c r="H4707" s="2" t="str">
        <f aca="false">IFERROR(__xludf.dummyfunction("IF(I4758="""", """", REGEXEXTRACT(I4758, ""Padrao/([^/]+)""))"),"Nova Alianca")</f>
        <v>Nova Alianca</v>
      </c>
    </row>
    <row r="4708" customFormat="false" ht="15.75" hidden="false" customHeight="false" outlineLevel="0" collapsed="false">
      <c r="A4708" s="2" t="n">
        <v>75785</v>
      </c>
      <c r="B4708" s="2" t="s">
        <v>3818</v>
      </c>
      <c r="C4708" s="2" t="n">
        <v>3</v>
      </c>
      <c r="D4708" s="2" t="n">
        <v>2</v>
      </c>
      <c r="E4708" s="2" t="n">
        <v>1</v>
      </c>
      <c r="F4708" s="2" t="n">
        <v>93</v>
      </c>
      <c r="G4708" s="2" t="s">
        <v>1571</v>
      </c>
      <c r="H4708" s="2" t="str">
        <f aca="false">IFERROR(__xludf.dummyfunction("IF(I4759="""", """", REGEXEXTRACT(I4759, ""Padrao/([^/]+)""))"),"Presidente Medici")</f>
        <v>Presidente Medici</v>
      </c>
    </row>
    <row r="4709" customFormat="false" ht="15.75" hidden="false" customHeight="false" outlineLevel="0" collapsed="false">
      <c r="A4709" s="2" t="n">
        <v>55319</v>
      </c>
      <c r="B4709" s="2" t="s">
        <v>602</v>
      </c>
      <c r="C4709" s="2" t="n">
        <v>3</v>
      </c>
      <c r="D4709" s="2" t="n">
        <v>2</v>
      </c>
      <c r="E4709" s="2" t="n">
        <v>1</v>
      </c>
      <c r="F4709" s="2" t="n">
        <v>94</v>
      </c>
      <c r="G4709" s="2" t="s">
        <v>1571</v>
      </c>
      <c r="H4709" s="2" t="str">
        <f aca="false">IFERROR(__xludf.dummyfunction("IF(I4760="""", """", REGEXEXTRACT(I4760, ""Padrao/([^/]+)""))"),"Centro")</f>
        <v>Centro</v>
      </c>
    </row>
    <row r="4710" customFormat="false" ht="15.75" hidden="false" customHeight="false" outlineLevel="0" collapsed="false">
      <c r="A4710" s="2" t="n">
        <v>202685</v>
      </c>
      <c r="B4710" s="2" t="s">
        <v>3819</v>
      </c>
      <c r="C4710" s="2" t="n">
        <v>2</v>
      </c>
      <c r="D4710" s="2" t="n">
        <v>2</v>
      </c>
      <c r="E4710" s="2" t="n">
        <v>1</v>
      </c>
      <c r="F4710" s="2" t="n">
        <v>73</v>
      </c>
      <c r="G4710" s="2" t="s">
        <v>1551</v>
      </c>
      <c r="H4710" s="2" t="str">
        <f aca="false">IFERROR(__xludf.dummyfunction("IF(I4761="""", """", REGEXEXTRACT(I4761, ""Padrao/([^/]+)""))"),"Ribeirania")</f>
        <v>Ribeirania</v>
      </c>
    </row>
    <row r="4711" customFormat="false" ht="15.75" hidden="false" customHeight="false" outlineLevel="0" collapsed="false">
      <c r="A4711" s="2" t="n">
        <v>127694</v>
      </c>
      <c r="B4711" s="2" t="s">
        <v>3820</v>
      </c>
      <c r="C4711" s="2" t="n">
        <v>3</v>
      </c>
      <c r="D4711" s="2" t="n">
        <v>4</v>
      </c>
      <c r="E4711" s="2" t="n">
        <v>1</v>
      </c>
      <c r="F4711" s="2" t="n">
        <v>164</v>
      </c>
      <c r="G4711" s="2" t="s">
        <v>639</v>
      </c>
      <c r="H4711" s="2" t="str">
        <f aca="false">IFERROR(__xludf.dummyfunction("IF(I4762="""", """", REGEXEXTRACT(I4762, ""Padrao/([^/]+)""))"),"Centro")</f>
        <v>Centro</v>
      </c>
    </row>
    <row r="4712" customFormat="false" ht="15.75" hidden="false" customHeight="false" outlineLevel="0" collapsed="false">
      <c r="A4712" s="2" t="n">
        <v>68144</v>
      </c>
      <c r="B4712" s="2" t="s">
        <v>3821</v>
      </c>
      <c r="C4712" s="2" t="n">
        <v>3</v>
      </c>
      <c r="D4712" s="2" t="n">
        <v>3</v>
      </c>
      <c r="E4712" s="2" t="n">
        <v>1</v>
      </c>
      <c r="F4712" s="2" t="n">
        <v>121</v>
      </c>
      <c r="G4712" s="2" t="s">
        <v>639</v>
      </c>
      <c r="H4712" s="2" t="str">
        <f aca="false">IFERROR(__xludf.dummyfunction("IF(I4763="""", """", REGEXEXTRACT(I4763, ""Padrao/([^/]+)""))"),"Campos Eliseos")</f>
        <v>Campos Eliseos</v>
      </c>
    </row>
    <row r="4713" customFormat="false" ht="15.75" hidden="false" customHeight="false" outlineLevel="0" collapsed="false">
      <c r="A4713" s="2" t="n">
        <v>131477</v>
      </c>
      <c r="B4713" s="2" t="s">
        <v>3822</v>
      </c>
      <c r="C4713" s="2" t="n">
        <v>3</v>
      </c>
      <c r="D4713" s="2" t="n">
        <v>2</v>
      </c>
      <c r="E4713" s="2" t="n">
        <v>1</v>
      </c>
      <c r="F4713" s="2" t="n">
        <v>97</v>
      </c>
      <c r="G4713" s="2" t="s">
        <v>648</v>
      </c>
      <c r="H4713" s="2" t="str">
        <f aca="false">IFERROR(__xludf.dummyfunction("IF(I4764="""", """", REGEXEXTRACT(I4764, ""Padrao/([^/]+)""))"),"Vila Seixas")</f>
        <v>Vila Seixas</v>
      </c>
    </row>
    <row r="4714" customFormat="false" ht="15.75" hidden="false" customHeight="false" outlineLevel="0" collapsed="false">
      <c r="A4714" s="2" t="n">
        <v>103973</v>
      </c>
      <c r="B4714" s="2" t="s">
        <v>1941</v>
      </c>
      <c r="C4714" s="2" t="n">
        <v>3</v>
      </c>
      <c r="D4714" s="2" t="n">
        <v>3</v>
      </c>
      <c r="E4714" s="2" t="n">
        <v>1</v>
      </c>
      <c r="F4714" s="2" t="n">
        <v>231</v>
      </c>
      <c r="G4714" s="2" t="s">
        <v>648</v>
      </c>
      <c r="H4714" s="2" t="str">
        <f aca="false">IFERROR(__xludf.dummyfunction("IF(I4765="""", """", REGEXEXTRACT(I4765, ""Padrao/([^/]+)""))"),"Centro")</f>
        <v>Centro</v>
      </c>
    </row>
    <row r="4715" customFormat="false" ht="15.75" hidden="false" customHeight="false" outlineLevel="0" collapsed="false">
      <c r="A4715" s="2" t="n">
        <v>243881</v>
      </c>
      <c r="B4715" s="2" t="s">
        <v>3823</v>
      </c>
      <c r="C4715" s="2" t="n">
        <v>2</v>
      </c>
      <c r="D4715" s="2" t="n">
        <v>2</v>
      </c>
      <c r="E4715" s="2" t="n">
        <v>1</v>
      </c>
      <c r="F4715" s="2" t="n">
        <v>56</v>
      </c>
      <c r="G4715" s="2" t="s">
        <v>1581</v>
      </c>
      <c r="H4715" s="2" t="str">
        <f aca="false">IFERROR(__xludf.dummyfunction("IF(I4766="""", """", REGEXEXTRACT(I4766, ""Padrao/([^/]+)""))"),"Sumarezinho")</f>
        <v>Sumarezinho</v>
      </c>
    </row>
    <row r="4716" customFormat="false" ht="15.75" hidden="false" customHeight="false" outlineLevel="0" collapsed="false">
      <c r="A4716" s="2" t="n">
        <v>216449</v>
      </c>
      <c r="B4716" s="2" t="s">
        <v>3824</v>
      </c>
      <c r="C4716" s="2" t="n">
        <v>2</v>
      </c>
      <c r="D4716" s="2" t="n">
        <v>2</v>
      </c>
      <c r="E4716" s="2" t="n">
        <v>1</v>
      </c>
      <c r="F4716" s="2" t="n">
        <v>57</v>
      </c>
      <c r="G4716" s="2" t="s">
        <v>1581</v>
      </c>
      <c r="H4716" s="2" t="str">
        <f aca="false">IFERROR(__xludf.dummyfunction("IF(I4767="""", """", REGEXEXTRACT(I4767, ""Padrao/([^/]+)""))"),"Alto da Boa Vista")</f>
        <v>Alto da Boa Vista</v>
      </c>
    </row>
    <row r="4717" customFormat="false" ht="15.75" hidden="false" customHeight="false" outlineLevel="0" collapsed="false">
      <c r="A4717" s="2" t="n">
        <v>133133</v>
      </c>
      <c r="B4717" s="2" t="s">
        <v>3825</v>
      </c>
      <c r="C4717" s="2" t="n">
        <v>1</v>
      </c>
      <c r="D4717" s="2" t="n">
        <v>1</v>
      </c>
      <c r="E4717" s="2" t="n">
        <v>1</v>
      </c>
      <c r="F4717" s="2" t="n">
        <v>58</v>
      </c>
      <c r="G4717" s="2" t="s">
        <v>1581</v>
      </c>
      <c r="H4717" s="2" t="str">
        <f aca="false">IFERROR(__xludf.dummyfunction("IF(I4769="""", """", REGEXEXTRACT(I4769, ""Padrao/([^/]+)""))"),"Bosque das Juritis")</f>
        <v>Bosque das Juritis</v>
      </c>
    </row>
    <row r="4718" customFormat="false" ht="15.75" hidden="false" customHeight="false" outlineLevel="0" collapsed="false">
      <c r="A4718" s="2" t="n">
        <v>107345</v>
      </c>
      <c r="B4718" s="2" t="s">
        <v>3826</v>
      </c>
      <c r="C4718" s="2" t="n">
        <v>2</v>
      </c>
      <c r="D4718" s="2" t="n">
        <v>2</v>
      </c>
      <c r="E4718" s="2" t="n">
        <v>1</v>
      </c>
      <c r="F4718" s="2" t="n">
        <v>65</v>
      </c>
      <c r="G4718" s="2" t="s">
        <v>1581</v>
      </c>
      <c r="H4718" s="2" t="str">
        <f aca="false">IFERROR(__xludf.dummyfunction("IF(I4770="""", """", REGEXEXTRACT(I4770, ""Padrao/([^/]+)""))"),"Nova Alianca")</f>
        <v>Nova Alianca</v>
      </c>
    </row>
    <row r="4719" customFormat="false" ht="15.75" hidden="false" customHeight="false" outlineLevel="0" collapsed="false">
      <c r="A4719" s="2" t="n">
        <v>98963</v>
      </c>
      <c r="B4719" s="2" t="s">
        <v>776</v>
      </c>
      <c r="C4719" s="2" t="n">
        <v>4</v>
      </c>
      <c r="D4719" s="2" t="n">
        <v>5</v>
      </c>
      <c r="E4719" s="2" t="n">
        <v>2</v>
      </c>
      <c r="F4719" s="2" t="n">
        <v>146</v>
      </c>
      <c r="G4719" s="2" t="s">
        <v>1581</v>
      </c>
      <c r="H4719" s="2" t="str">
        <f aca="false">IFERROR(__xludf.dummyfunction("IF(I4771="""", """", REGEXEXTRACT(I4771, ""Padrao/([^/]+)""))"),"Jardim Paulistano")</f>
        <v>Jardim Paulistano</v>
      </c>
    </row>
    <row r="4720" customFormat="false" ht="15.75" hidden="false" customHeight="false" outlineLevel="0" collapsed="false">
      <c r="A4720" s="2" t="n">
        <v>53249</v>
      </c>
      <c r="B4720" s="2" t="s">
        <v>3334</v>
      </c>
      <c r="C4720" s="2" t="n">
        <v>3</v>
      </c>
      <c r="D4720" s="2" t="n">
        <v>2</v>
      </c>
      <c r="E4720" s="2" t="n">
        <v>1</v>
      </c>
      <c r="F4720" s="2" t="n">
        <v>105</v>
      </c>
      <c r="G4720" s="2" t="s">
        <v>1581</v>
      </c>
      <c r="H4720" s="2" t="str">
        <f aca="false">IFERROR(__xludf.dummyfunction("IF(I4772="""", """", REGEXEXTRACT(I4772, ""Padrao/([^/]+)""))"),"Campos Eliseos")</f>
        <v>Campos Eliseos</v>
      </c>
    </row>
    <row r="4721" customFormat="false" ht="15.75" hidden="false" customHeight="false" outlineLevel="0" collapsed="false">
      <c r="A4721" s="2" t="n">
        <v>216032</v>
      </c>
      <c r="B4721" s="2" t="s">
        <v>3827</v>
      </c>
      <c r="C4721" s="2" t="n">
        <v>2</v>
      </c>
      <c r="D4721" s="2" t="n">
        <v>2</v>
      </c>
      <c r="E4721" s="2" t="n">
        <v>1</v>
      </c>
      <c r="F4721" s="2" t="n">
        <v>63</v>
      </c>
      <c r="G4721" s="2" t="s">
        <v>3828</v>
      </c>
      <c r="H4721" s="2" t="str">
        <f aca="false">IFERROR(__xludf.dummyfunction("IF(I4773="""", """", REGEXEXTRACT(I4773, ""Padrao/([^/]+)""))"),"City Ribeirao")</f>
        <v>City Ribeirao</v>
      </c>
    </row>
    <row r="4722" customFormat="false" ht="15.75" hidden="false" customHeight="false" outlineLevel="0" collapsed="false">
      <c r="A4722" s="2" t="n">
        <v>95147</v>
      </c>
      <c r="B4722" s="2" t="s">
        <v>3829</v>
      </c>
      <c r="C4722" s="2" t="n">
        <v>2</v>
      </c>
      <c r="D4722" s="2" t="n">
        <v>2</v>
      </c>
      <c r="E4722" s="2" t="n">
        <v>1</v>
      </c>
      <c r="F4722" s="2" t="n">
        <v>54</v>
      </c>
      <c r="G4722" s="2" t="s">
        <v>3830</v>
      </c>
      <c r="H4722" s="2" t="str">
        <f aca="false">IFERROR(__xludf.dummyfunction("IF(I4774="""", """", REGEXEXTRACT(I4774, ""Padrao/([^/]+)""))"),"Vila Monte Alegre")</f>
        <v>Vila Monte Alegre</v>
      </c>
    </row>
    <row r="4723" customFormat="false" ht="15.75" hidden="false" customHeight="false" outlineLevel="0" collapsed="false">
      <c r="A4723" s="2" t="n">
        <v>73517</v>
      </c>
      <c r="B4723" s="2" t="s">
        <v>3831</v>
      </c>
      <c r="C4723" s="2" t="n">
        <v>3</v>
      </c>
      <c r="D4723" s="2" t="n">
        <v>1</v>
      </c>
      <c r="E4723" s="2" t="n">
        <v>1</v>
      </c>
      <c r="F4723" s="2" t="n">
        <v>93</v>
      </c>
      <c r="G4723" s="2" t="s">
        <v>1573</v>
      </c>
      <c r="H4723" s="2" t="str">
        <f aca="false">IFERROR(__xludf.dummyfunction("IF(I4775="""", """", REGEXEXTRACT(I4775, ""Padrao/([^/]+)""))"),"Santa Cruz do Jose Jacques")</f>
        <v>Santa Cruz do Jose Jacques</v>
      </c>
    </row>
    <row r="4724" customFormat="false" ht="15.75" hidden="false" customHeight="false" outlineLevel="0" collapsed="false">
      <c r="A4724" s="2" t="n">
        <v>237770</v>
      </c>
      <c r="B4724" s="2" t="s">
        <v>3832</v>
      </c>
      <c r="C4724" s="2" t="n">
        <v>1</v>
      </c>
      <c r="D4724" s="2" t="n">
        <v>2</v>
      </c>
      <c r="E4724" s="2" t="n">
        <v>1</v>
      </c>
      <c r="F4724" s="2" t="n">
        <v>57</v>
      </c>
      <c r="G4724" s="2" t="s">
        <v>646</v>
      </c>
      <c r="H4724" s="2" t="str">
        <f aca="false">IFERROR(__xludf.dummyfunction("IF(I4776="""", """", REGEXEXTRACT(I4776, ""Padrao/([^/]+)""))"),"Nova Alianca")</f>
        <v>Nova Alianca</v>
      </c>
    </row>
    <row r="4725" customFormat="false" ht="15.75" hidden="false" customHeight="false" outlineLevel="0" collapsed="false">
      <c r="A4725" s="2" t="n">
        <v>242633</v>
      </c>
      <c r="B4725" s="2" t="s">
        <v>3833</v>
      </c>
      <c r="C4725" s="2" t="n">
        <v>2</v>
      </c>
      <c r="D4725" s="2" t="n">
        <v>2</v>
      </c>
      <c r="E4725" s="2" t="n">
        <v>1</v>
      </c>
      <c r="F4725" s="2" t="n">
        <v>57</v>
      </c>
      <c r="G4725" s="2" t="s">
        <v>648</v>
      </c>
      <c r="H4725" s="2" t="str">
        <f aca="false">IFERROR(__xludf.dummyfunction("IF(I4777="""", """", REGEXEXTRACT(I4777, ""Padrao/([^/]+)""))"),"Nova Alianca")</f>
        <v>Nova Alianca</v>
      </c>
    </row>
    <row r="4726" customFormat="false" ht="15.75" hidden="false" customHeight="false" outlineLevel="0" collapsed="false">
      <c r="A4726" s="2" t="n">
        <v>234920</v>
      </c>
      <c r="B4726" s="2" t="s">
        <v>3834</v>
      </c>
      <c r="C4726" s="2" t="n">
        <v>3</v>
      </c>
      <c r="D4726" s="2" t="n">
        <v>3</v>
      </c>
      <c r="E4726" s="2" t="n">
        <v>1</v>
      </c>
      <c r="F4726" s="2" t="n">
        <v>93</v>
      </c>
      <c r="G4726" s="2" t="s">
        <v>648</v>
      </c>
      <c r="H4726" s="2" t="str">
        <f aca="false">IFERROR(__xludf.dummyfunction("IF(I4778="""", """", REGEXEXTRACT(I4778, ""Padrao/([^/]+)""))"),"Jardim Iraja")</f>
        <v>Jardim Iraja</v>
      </c>
    </row>
    <row r="4727" customFormat="false" ht="15.75" hidden="false" customHeight="false" outlineLevel="0" collapsed="false">
      <c r="A4727" s="2" t="n">
        <v>190607</v>
      </c>
      <c r="B4727" s="2" t="s">
        <v>2330</v>
      </c>
      <c r="C4727" s="2" t="n">
        <v>3</v>
      </c>
      <c r="D4727" s="2" t="n">
        <v>3</v>
      </c>
      <c r="E4727" s="2" t="n">
        <v>1</v>
      </c>
      <c r="F4727" s="2" t="n">
        <v>127</v>
      </c>
      <c r="G4727" s="2" t="s">
        <v>648</v>
      </c>
      <c r="H4727" s="2" t="str">
        <f aca="false">IFERROR(__xludf.dummyfunction("IF(I4779="""", """", REGEXEXTRACT(I4779, ""Padrao/([^/]+)""))"),"Centro")</f>
        <v>Centro</v>
      </c>
    </row>
    <row r="4728" customFormat="false" ht="15.75" hidden="false" customHeight="false" outlineLevel="0" collapsed="false">
      <c r="A4728" s="2" t="n">
        <v>235604</v>
      </c>
      <c r="B4728" s="2" t="s">
        <v>3835</v>
      </c>
      <c r="C4728" s="2" t="n">
        <v>2</v>
      </c>
      <c r="D4728" s="2" t="n">
        <v>2</v>
      </c>
      <c r="E4728" s="2" t="n">
        <v>1</v>
      </c>
      <c r="F4728" s="2" t="n">
        <v>67</v>
      </c>
      <c r="G4728" s="2" t="s">
        <v>1571</v>
      </c>
      <c r="H4728" s="2" t="str">
        <f aca="false">IFERROR(__xludf.dummyfunction("IF(I4780="""", """", REGEXEXTRACT(I4780, ""Padrao/([^/]+)""))"),"Jardim Palma Travassos")</f>
        <v>Jardim Palma Travassos</v>
      </c>
    </row>
    <row r="4729" customFormat="false" ht="15.75" hidden="false" customHeight="false" outlineLevel="0" collapsed="false">
      <c r="A4729" s="2" t="n">
        <v>222077</v>
      </c>
      <c r="B4729" s="2" t="s">
        <v>3833</v>
      </c>
      <c r="C4729" s="2" t="n">
        <v>2</v>
      </c>
      <c r="D4729" s="2" t="n">
        <v>2</v>
      </c>
      <c r="E4729" s="2" t="n">
        <v>1</v>
      </c>
      <c r="F4729" s="2" t="n">
        <v>57</v>
      </c>
      <c r="G4729" s="2" t="s">
        <v>1571</v>
      </c>
      <c r="H4729" s="2" t="str">
        <f aca="false">IFERROR(__xludf.dummyfunction("IF(I4781="""", """", REGEXEXTRACT(I4781, ""Padrao/([^/]+)""))"),"Nova Alianca")</f>
        <v>Nova Alianca</v>
      </c>
    </row>
    <row r="4730" customFormat="false" ht="15.75" hidden="false" customHeight="false" outlineLevel="0" collapsed="false">
      <c r="A4730" s="2" t="n">
        <v>180215</v>
      </c>
      <c r="B4730" s="2" t="s">
        <v>2414</v>
      </c>
      <c r="C4730" s="2" t="n">
        <v>2</v>
      </c>
      <c r="D4730" s="2" t="n">
        <v>2</v>
      </c>
      <c r="E4730" s="2" t="n">
        <v>1</v>
      </c>
      <c r="F4730" s="2" t="n">
        <v>53</v>
      </c>
      <c r="G4730" s="2" t="s">
        <v>1571</v>
      </c>
      <c r="H4730" s="2" t="str">
        <f aca="false">IFERROR(__xludf.dummyfunction("IF(I4782="""", """", REGEXEXTRACT(I4782, ""Padrao/([^/]+)""))"),"Alto da Boa Vista")</f>
        <v>Alto da Boa Vista</v>
      </c>
    </row>
    <row r="4731" customFormat="false" ht="15.75" hidden="false" customHeight="false" outlineLevel="0" collapsed="false">
      <c r="A4731" s="2" t="n">
        <v>111470</v>
      </c>
      <c r="B4731" s="2" t="s">
        <v>3836</v>
      </c>
      <c r="C4731" s="2" t="n">
        <v>2</v>
      </c>
      <c r="D4731" s="2" t="n">
        <v>1</v>
      </c>
      <c r="E4731" s="2" t="n">
        <v>1</v>
      </c>
      <c r="F4731" s="2" t="n">
        <v>54</v>
      </c>
      <c r="G4731" s="2" t="s">
        <v>1571</v>
      </c>
      <c r="H4731" s="2" t="str">
        <f aca="false">IFERROR(__xludf.dummyfunction("IF(I4783="""", """", REGEXEXTRACT(I4783, ""Padrao/([^/]+)""))"),"Santa Cruz do Jose Jacques")</f>
        <v>Santa Cruz do Jose Jacques</v>
      </c>
    </row>
    <row r="4732" customFormat="false" ht="15.75" hidden="false" customHeight="false" outlineLevel="0" collapsed="false">
      <c r="A4732" s="2" t="n">
        <v>244913</v>
      </c>
      <c r="B4732" s="2" t="s">
        <v>3837</v>
      </c>
      <c r="C4732" s="2" t="n">
        <v>2</v>
      </c>
      <c r="D4732" s="2" t="n">
        <v>2</v>
      </c>
      <c r="E4732" s="2" t="n">
        <v>1</v>
      </c>
      <c r="F4732" s="2" t="n">
        <v>100</v>
      </c>
      <c r="G4732" s="2" t="s">
        <v>1553</v>
      </c>
      <c r="H4732" s="2" t="str">
        <f aca="false">IFERROR(__xludf.dummyfunction("IF(I4784="""", """", REGEXEXTRACT(I4784, ""Padrao/([^/]+)""))"),"Jardim Botanico")</f>
        <v>Jardim Botanico</v>
      </c>
    </row>
    <row r="4733" customFormat="false" ht="15.75" hidden="false" customHeight="false" outlineLevel="0" collapsed="false">
      <c r="A4733" s="2" t="n">
        <v>240362</v>
      </c>
      <c r="B4733" s="2" t="s">
        <v>3838</v>
      </c>
      <c r="C4733" s="2" t="n">
        <v>2</v>
      </c>
      <c r="D4733" s="2" t="n">
        <v>2</v>
      </c>
      <c r="E4733" s="2" t="n">
        <v>1</v>
      </c>
      <c r="F4733" s="2" t="n">
        <v>70</v>
      </c>
      <c r="G4733" s="2" t="s">
        <v>1553</v>
      </c>
      <c r="H4733" s="2" t="str">
        <f aca="false">IFERROR(__xludf.dummyfunction("IF(I4785="""", """", REGEXEXTRACT(I4785, ""Padrao/([^/]+)""))"),"Jardim Botanico")</f>
        <v>Jardim Botanico</v>
      </c>
    </row>
    <row r="4734" customFormat="false" ht="15.75" hidden="false" customHeight="false" outlineLevel="0" collapsed="false">
      <c r="A4734" s="2" t="n">
        <v>236441</v>
      </c>
      <c r="B4734" s="2" t="s">
        <v>3839</v>
      </c>
      <c r="C4734" s="2" t="n">
        <v>2</v>
      </c>
      <c r="D4734" s="2" t="n">
        <v>2</v>
      </c>
      <c r="E4734" s="2" t="n">
        <v>1</v>
      </c>
      <c r="F4734" s="2" t="n">
        <v>72</v>
      </c>
      <c r="G4734" s="2" t="s">
        <v>1553</v>
      </c>
      <c r="H4734" s="2" t="str">
        <f aca="false">IFERROR(__xludf.dummyfunction("IF(I4786="""", """", REGEXEXTRACT(I4786, ""Padrao/([^/]+)""))"),"Quintas de Sao Jose")</f>
        <v>Quintas de Sao Jose</v>
      </c>
    </row>
    <row r="4735" customFormat="false" ht="15.75" hidden="false" customHeight="false" outlineLevel="0" collapsed="false">
      <c r="A4735" s="2" t="n">
        <v>235289</v>
      </c>
      <c r="B4735" s="2" t="s">
        <v>3840</v>
      </c>
      <c r="C4735" s="2" t="n">
        <v>3</v>
      </c>
      <c r="D4735" s="2" t="n">
        <v>3</v>
      </c>
      <c r="E4735" s="2" t="n">
        <v>2</v>
      </c>
      <c r="F4735" s="2" t="n">
        <v>104</v>
      </c>
      <c r="G4735" s="2" t="s">
        <v>1553</v>
      </c>
      <c r="H4735" s="2" t="str">
        <f aca="false">IFERROR(__xludf.dummyfunction("IF(I4787="""", """", REGEXEXTRACT(I4787, ""Padrao/([^/]+)""))"),"Lagoinha")</f>
        <v>Lagoinha</v>
      </c>
    </row>
    <row r="4736" customFormat="false" ht="15.75" hidden="false" customHeight="false" outlineLevel="0" collapsed="false">
      <c r="A4736" s="2" t="n">
        <v>233264</v>
      </c>
      <c r="B4736" s="2" t="s">
        <v>3841</v>
      </c>
      <c r="C4736" s="2" t="n">
        <v>3</v>
      </c>
      <c r="D4736" s="2" t="n">
        <v>2</v>
      </c>
      <c r="E4736" s="2" t="n">
        <v>1</v>
      </c>
      <c r="F4736" s="2" t="n">
        <v>89</v>
      </c>
      <c r="G4736" s="2" t="s">
        <v>1553</v>
      </c>
      <c r="H4736" s="2" t="str">
        <f aca="false">IFERROR(__xludf.dummyfunction("IF(I4788="""", """", REGEXEXTRACT(I4788, ""Padrao/([^/]+)""))"),"Jardim Paulista")</f>
        <v>Jardim Paulista</v>
      </c>
    </row>
    <row r="4737" customFormat="false" ht="15.75" hidden="false" customHeight="false" outlineLevel="0" collapsed="false">
      <c r="A4737" s="2" t="n">
        <v>232778</v>
      </c>
      <c r="B4737" s="2" t="s">
        <v>3842</v>
      </c>
      <c r="C4737" s="2" t="n">
        <v>3</v>
      </c>
      <c r="D4737" s="2" t="n">
        <v>3</v>
      </c>
      <c r="E4737" s="2" t="n">
        <v>2</v>
      </c>
      <c r="F4737" s="2" t="n">
        <v>106</v>
      </c>
      <c r="G4737" s="2" t="s">
        <v>1553</v>
      </c>
      <c r="H4737" s="2" t="str">
        <f aca="false">IFERROR(__xludf.dummyfunction("IF(I4789="""", """", REGEXEXTRACT(I4789, ""Padrao/([^/]+)""))"),"Santa Cruz do Jose Jacques")</f>
        <v>Santa Cruz do Jose Jacques</v>
      </c>
    </row>
    <row r="4738" customFormat="false" ht="15.75" hidden="false" customHeight="false" outlineLevel="0" collapsed="false">
      <c r="A4738" s="2" t="n">
        <v>230471</v>
      </c>
      <c r="B4738" s="2" t="s">
        <v>3843</v>
      </c>
      <c r="C4738" s="2" t="n">
        <v>2</v>
      </c>
      <c r="D4738" s="2" t="n">
        <v>1</v>
      </c>
      <c r="E4738" s="2" t="n">
        <v>1</v>
      </c>
      <c r="F4738" s="2" t="n">
        <v>49</v>
      </c>
      <c r="G4738" s="2" t="s">
        <v>1553</v>
      </c>
      <c r="H4738" s="2" t="str">
        <f aca="false">IFERROR(__xludf.dummyfunction("IF(I4790="""", """", REGEXEXTRACT(I4790, ""Padrao/([^/]+)""))"),"Alto da Boa Vista")</f>
        <v>Alto da Boa Vista</v>
      </c>
    </row>
    <row r="4739" customFormat="false" ht="15.75" hidden="false" customHeight="false" outlineLevel="0" collapsed="false">
      <c r="A4739" s="2" t="n">
        <v>229952</v>
      </c>
      <c r="B4739" s="2" t="s">
        <v>3844</v>
      </c>
      <c r="C4739" s="2" t="n">
        <v>2</v>
      </c>
      <c r="D4739" s="2" t="n">
        <v>2</v>
      </c>
      <c r="E4739" s="2" t="n">
        <v>1</v>
      </c>
      <c r="F4739" s="2" t="n">
        <v>58</v>
      </c>
      <c r="G4739" s="2" t="s">
        <v>1553</v>
      </c>
      <c r="H4739" s="2" t="str">
        <f aca="false">IFERROR(__xludf.dummyfunction("IF(I4791="""", """", REGEXEXTRACT(I4791, ""Padrao/([^/]+)""))"),"Ribeirania")</f>
        <v>Ribeirania</v>
      </c>
    </row>
    <row r="4740" customFormat="false" ht="15.75" hidden="false" customHeight="false" outlineLevel="0" collapsed="false">
      <c r="A4740" s="2" t="n">
        <v>221507</v>
      </c>
      <c r="B4740" s="2" t="s">
        <v>3845</v>
      </c>
      <c r="C4740" s="2" t="n">
        <v>4</v>
      </c>
      <c r="D4740" s="2" t="n">
        <v>3</v>
      </c>
      <c r="E4740" s="2" t="n">
        <v>2</v>
      </c>
      <c r="F4740" s="2" t="n">
        <v>181</v>
      </c>
      <c r="G4740" s="2" t="s">
        <v>1553</v>
      </c>
      <c r="H4740" s="2" t="str">
        <f aca="false">IFERROR(__xludf.dummyfunction("IF(I4792="""", """", REGEXEXTRACT(I4792, ""Padrao/([^/]+)""))"),"Jardim Paulista")</f>
        <v>Jardim Paulista</v>
      </c>
    </row>
    <row r="4741" customFormat="false" ht="15.75" hidden="false" customHeight="false" outlineLevel="0" collapsed="false">
      <c r="A4741" s="2" t="n">
        <v>216575</v>
      </c>
      <c r="B4741" s="2" t="s">
        <v>3846</v>
      </c>
      <c r="C4741" s="2" t="n">
        <v>3</v>
      </c>
      <c r="D4741" s="2" t="n">
        <v>3</v>
      </c>
      <c r="E4741" s="2" t="n">
        <v>1</v>
      </c>
      <c r="F4741" s="2" t="n">
        <v>113</v>
      </c>
      <c r="G4741" s="2" t="s">
        <v>1553</v>
      </c>
      <c r="H4741" s="2" t="str">
        <f aca="false">IFERROR(__xludf.dummyfunction("IF(I4793="""", """", REGEXEXTRACT(I4793, ""Padrao/([^/]+)""))"),"Jardim Iraja")</f>
        <v>Jardim Iraja</v>
      </c>
    </row>
    <row r="4742" customFormat="false" ht="15.75" hidden="false" customHeight="false" outlineLevel="0" collapsed="false">
      <c r="A4742" s="2" t="n">
        <v>214091</v>
      </c>
      <c r="B4742" s="2" t="s">
        <v>3847</v>
      </c>
      <c r="C4742" s="2" t="n">
        <v>3</v>
      </c>
      <c r="D4742" s="2" t="n">
        <v>3</v>
      </c>
      <c r="E4742" s="2" t="n">
        <v>2</v>
      </c>
      <c r="F4742" s="2" t="n">
        <v>150</v>
      </c>
      <c r="G4742" s="2" t="s">
        <v>1553</v>
      </c>
      <c r="H4742" s="2" t="str">
        <f aca="false">IFERROR(__xludf.dummyfunction("IF(I4794="""", """", REGEXEXTRACT(I4794, ""Padrao/([^/]+)""))"),"Centro")</f>
        <v>Centro</v>
      </c>
    </row>
    <row r="4743" customFormat="false" ht="15.75" hidden="false" customHeight="false" outlineLevel="0" collapsed="false">
      <c r="A4743" s="2" t="n">
        <v>200927</v>
      </c>
      <c r="B4743" s="2" t="s">
        <v>1671</v>
      </c>
      <c r="C4743" s="2" t="n">
        <v>2</v>
      </c>
      <c r="D4743" s="2" t="n">
        <v>2</v>
      </c>
      <c r="E4743" s="2" t="n">
        <v>1</v>
      </c>
      <c r="F4743" s="2" t="n">
        <v>93</v>
      </c>
      <c r="G4743" s="2" t="s">
        <v>1553</v>
      </c>
      <c r="H4743" s="2" t="str">
        <f aca="false">IFERROR(__xludf.dummyfunction("IF(I4795="""", """", REGEXEXTRACT(I4795, ""Padrao/([^/]+)""))"),"Centro")</f>
        <v>Centro</v>
      </c>
    </row>
    <row r="4744" customFormat="false" ht="15.75" hidden="false" customHeight="false" outlineLevel="0" collapsed="false">
      <c r="A4744" s="2" t="n">
        <v>195047</v>
      </c>
      <c r="B4744" s="2" t="s">
        <v>3848</v>
      </c>
      <c r="C4744" s="2" t="n">
        <v>3</v>
      </c>
      <c r="D4744" s="2" t="n">
        <v>2</v>
      </c>
      <c r="E4744" s="2" t="n">
        <v>2</v>
      </c>
      <c r="F4744" s="2" t="n">
        <v>70</v>
      </c>
      <c r="G4744" s="2" t="s">
        <v>1553</v>
      </c>
      <c r="H4744" s="2" t="str">
        <f aca="false">IFERROR(__xludf.dummyfunction("IF(I4796="""", """", REGEXEXTRACT(I4796, ""Padrao/([^/]+)""))"),"Jardim Botanico")</f>
        <v>Jardim Botanico</v>
      </c>
    </row>
    <row r="4745" customFormat="false" ht="15.75" hidden="false" customHeight="false" outlineLevel="0" collapsed="false">
      <c r="A4745" s="2" t="n">
        <v>193466</v>
      </c>
      <c r="B4745" s="2" t="s">
        <v>3849</v>
      </c>
      <c r="C4745" s="2" t="n">
        <v>2</v>
      </c>
      <c r="D4745" s="2" t="n">
        <v>2</v>
      </c>
      <c r="E4745" s="2" t="n">
        <v>1</v>
      </c>
      <c r="F4745" s="2" t="n">
        <v>78</v>
      </c>
      <c r="G4745" s="2" t="s">
        <v>1553</v>
      </c>
      <c r="H4745" s="2" t="str">
        <f aca="false">IFERROR(__xludf.dummyfunction("IF(I4797="""", """", REGEXEXTRACT(I4797, ""Padrao/([^/]+)""))"),"Vila Tiberio")</f>
        <v>Vila Tiberio</v>
      </c>
    </row>
    <row r="4746" customFormat="false" ht="15.75" hidden="false" customHeight="false" outlineLevel="0" collapsed="false">
      <c r="A4746" s="2" t="n">
        <v>188975</v>
      </c>
      <c r="B4746" s="2" t="s">
        <v>1589</v>
      </c>
      <c r="C4746" s="2" t="n">
        <v>3</v>
      </c>
      <c r="D4746" s="2" t="n">
        <v>1</v>
      </c>
      <c r="E4746" s="2" t="n">
        <v>2</v>
      </c>
      <c r="F4746" s="2" t="n">
        <v>75</v>
      </c>
      <c r="G4746" s="2" t="s">
        <v>1553</v>
      </c>
      <c r="H4746" s="2" t="str">
        <f aca="false">IFERROR(__xludf.dummyfunction("IF(I4798="""", """", REGEXEXTRACT(I4798, ""Padrao/([^/]+)""))"),"Jardim Botanico")</f>
        <v>Jardim Botanico</v>
      </c>
    </row>
    <row r="4747" customFormat="false" ht="15.75" hidden="false" customHeight="false" outlineLevel="0" collapsed="false">
      <c r="A4747" s="2" t="n">
        <v>183284</v>
      </c>
      <c r="B4747" s="2" t="s">
        <v>3816</v>
      </c>
      <c r="C4747" s="2" t="n">
        <v>2</v>
      </c>
      <c r="D4747" s="2" t="n">
        <v>2</v>
      </c>
      <c r="E4747" s="2" t="n">
        <v>2</v>
      </c>
      <c r="F4747" s="2" t="n">
        <v>80</v>
      </c>
      <c r="G4747" s="2" t="s">
        <v>1553</v>
      </c>
      <c r="H4747" s="2" t="str">
        <f aca="false">IFERROR(__xludf.dummyfunction("IF(I4799="""", """", REGEXEXTRACT(I4799, ""Padrao/([^/]+)""))"),"Centro")</f>
        <v>Centro</v>
      </c>
    </row>
    <row r="4748" customFormat="false" ht="15.75" hidden="false" customHeight="false" outlineLevel="0" collapsed="false">
      <c r="A4748" s="2" t="n">
        <v>182000</v>
      </c>
      <c r="B4748" s="2" t="s">
        <v>3701</v>
      </c>
      <c r="C4748" s="2" t="n">
        <v>3</v>
      </c>
      <c r="D4748" s="2" t="n">
        <v>2</v>
      </c>
      <c r="E4748" s="2" t="n">
        <v>2</v>
      </c>
      <c r="F4748" s="2" t="n">
        <v>103</v>
      </c>
      <c r="G4748" s="2" t="s">
        <v>1553</v>
      </c>
      <c r="H4748" s="2" t="str">
        <f aca="false">IFERROR(__xludf.dummyfunction("IF(I4800="""", """", REGEXEXTRACT(I4800, ""Padrao/([^/]+)""))"),"Vila Seixas")</f>
        <v>Vila Seixas</v>
      </c>
    </row>
    <row r="4749" customFormat="false" ht="15.75" hidden="false" customHeight="false" outlineLevel="0" collapsed="false">
      <c r="A4749" s="2" t="n">
        <v>181865</v>
      </c>
      <c r="B4749" s="2" t="s">
        <v>3850</v>
      </c>
      <c r="C4749" s="2" t="n">
        <v>3</v>
      </c>
      <c r="D4749" s="2" t="n">
        <v>3</v>
      </c>
      <c r="E4749" s="2" t="n">
        <v>1</v>
      </c>
      <c r="F4749" s="2" t="n">
        <v>116</v>
      </c>
      <c r="G4749" s="2" t="s">
        <v>1553</v>
      </c>
      <c r="H4749" s="2" t="str">
        <f aca="false">IFERROR(__xludf.dummyfunction("IF(I4801="""", """", REGEXEXTRACT(I4801, ""Padrao/([^/]+)""))"),"Republica")</f>
        <v>Republica</v>
      </c>
    </row>
    <row r="4750" customFormat="false" ht="15.75" hidden="false" customHeight="false" outlineLevel="0" collapsed="false">
      <c r="A4750" s="2" t="n">
        <v>179744</v>
      </c>
      <c r="B4750" s="2" t="s">
        <v>3851</v>
      </c>
      <c r="C4750" s="2" t="n">
        <v>3</v>
      </c>
      <c r="D4750" s="2" t="n">
        <v>2</v>
      </c>
      <c r="E4750" s="2" t="n">
        <v>1</v>
      </c>
      <c r="F4750" s="2" t="n">
        <v>87</v>
      </c>
      <c r="G4750" s="2" t="s">
        <v>1553</v>
      </c>
      <c r="H4750" s="2" t="str">
        <f aca="false">IFERROR(__xludf.dummyfunction("IF(I4802="""", """", REGEXEXTRACT(I4802, ""Padrao/([^/]+)""))"),"Bosque das Juritis")</f>
        <v>Bosque das Juritis</v>
      </c>
    </row>
    <row r="4751" customFormat="false" ht="15.75" hidden="false" customHeight="false" outlineLevel="0" collapsed="false">
      <c r="A4751" s="2" t="n">
        <v>172019</v>
      </c>
      <c r="B4751" s="2" t="s">
        <v>3852</v>
      </c>
      <c r="C4751" s="2" t="n">
        <v>3</v>
      </c>
      <c r="D4751" s="2" t="n">
        <v>3</v>
      </c>
      <c r="E4751" s="2" t="n">
        <v>1</v>
      </c>
      <c r="F4751" s="2" t="n">
        <v>128</v>
      </c>
      <c r="G4751" s="2" t="s">
        <v>1553</v>
      </c>
      <c r="H4751" s="2" t="str">
        <f aca="false">IFERROR(__xludf.dummyfunction("IF(I4803="""", """", REGEXEXTRACT(I4803, ""Padrao/([^/]+)""))"),"Centro")</f>
        <v>Centro</v>
      </c>
    </row>
    <row r="4752" customFormat="false" ht="15.75" hidden="false" customHeight="false" outlineLevel="0" collapsed="false">
      <c r="A4752" s="2" t="n">
        <v>158384</v>
      </c>
      <c r="B4752" s="2" t="s">
        <v>3853</v>
      </c>
      <c r="C4752" s="2" t="n">
        <v>2</v>
      </c>
      <c r="D4752" s="2" t="n">
        <v>3</v>
      </c>
      <c r="E4752" s="2" t="n">
        <v>2</v>
      </c>
      <c r="F4752" s="2" t="n">
        <v>73</v>
      </c>
      <c r="G4752" s="2" t="s">
        <v>1553</v>
      </c>
      <c r="H4752" s="2" t="str">
        <f aca="false">IFERROR(__xludf.dummyfunction("IF(I4804="""", """", REGEXEXTRACT(I4804, ""Padrao/([^/]+)""))"),"Jardim Botanico")</f>
        <v>Jardim Botanico</v>
      </c>
    </row>
    <row r="4753" customFormat="false" ht="15.75" hidden="false" customHeight="false" outlineLevel="0" collapsed="false">
      <c r="A4753" s="2" t="n">
        <v>158177</v>
      </c>
      <c r="B4753" s="2" t="s">
        <v>602</v>
      </c>
      <c r="C4753" s="2" t="n">
        <v>3</v>
      </c>
      <c r="D4753" s="2" t="n">
        <v>3</v>
      </c>
      <c r="E4753" s="2" t="n">
        <v>2</v>
      </c>
      <c r="F4753" s="2" t="n">
        <v>123</v>
      </c>
      <c r="G4753" s="2" t="s">
        <v>1553</v>
      </c>
      <c r="H4753" s="2" t="str">
        <f aca="false">IFERROR(__xludf.dummyfunction("IF(I4805="""", """", REGEXEXTRACT(I4805, ""Padrao/([^/]+)""))"),"Centro")</f>
        <v>Centro</v>
      </c>
    </row>
    <row r="4754" customFormat="false" ht="15.75" hidden="false" customHeight="false" outlineLevel="0" collapsed="false">
      <c r="A4754" s="2" t="n">
        <v>157325</v>
      </c>
      <c r="B4754" s="2" t="s">
        <v>3399</v>
      </c>
      <c r="C4754" s="2" t="n">
        <v>2</v>
      </c>
      <c r="D4754" s="2" t="n">
        <v>2</v>
      </c>
      <c r="E4754" s="2" t="n">
        <v>1</v>
      </c>
      <c r="F4754" s="2" t="n">
        <v>63</v>
      </c>
      <c r="G4754" s="2" t="s">
        <v>1553</v>
      </c>
      <c r="H4754" s="2" t="str">
        <f aca="false">IFERROR(__xludf.dummyfunction("IF(I4806="""", """", REGEXEXTRACT(I4806, ""Padrao/([^/]+)""))"),"Nova Alianca")</f>
        <v>Nova Alianca</v>
      </c>
    </row>
    <row r="4755" customFormat="false" ht="15.75" hidden="false" customHeight="false" outlineLevel="0" collapsed="false">
      <c r="A4755" s="2" t="n">
        <v>149936</v>
      </c>
      <c r="B4755" s="2" t="s">
        <v>3854</v>
      </c>
      <c r="C4755" s="2" t="n">
        <v>2</v>
      </c>
      <c r="D4755" s="2" t="n">
        <v>2</v>
      </c>
      <c r="E4755" s="2" t="n">
        <v>2</v>
      </c>
      <c r="F4755" s="2" t="n">
        <v>62</v>
      </c>
      <c r="G4755" s="2" t="s">
        <v>1553</v>
      </c>
      <c r="H4755" s="2" t="str">
        <f aca="false">IFERROR(__xludf.dummyfunction("IF(I4807="""", """", REGEXEXTRACT(I4807, ""Padrao/([^/]+)""))"),"Jardim California")</f>
        <v>Jardim California</v>
      </c>
    </row>
    <row r="4756" customFormat="false" ht="15.75" hidden="false" customHeight="false" outlineLevel="0" collapsed="false">
      <c r="A4756" s="2" t="n">
        <v>128027</v>
      </c>
      <c r="B4756" s="2" t="s">
        <v>1746</v>
      </c>
      <c r="C4756" s="2" t="n">
        <v>2</v>
      </c>
      <c r="D4756" s="2" t="n">
        <v>3</v>
      </c>
      <c r="E4756" s="2" t="n">
        <v>2</v>
      </c>
      <c r="F4756" s="2" t="n">
        <v>88</v>
      </c>
      <c r="G4756" s="2" t="s">
        <v>1553</v>
      </c>
      <c r="H4756" s="2" t="str">
        <f aca="false">IFERROR(__xludf.dummyfunction("IF(I4808="""", """", REGEXEXTRACT(I4808, ""Padrao/([^/]+)""))"),"Nova Alianca")</f>
        <v>Nova Alianca</v>
      </c>
    </row>
    <row r="4757" customFormat="false" ht="15.75" hidden="false" customHeight="false" outlineLevel="0" collapsed="false">
      <c r="A4757" s="2" t="n">
        <v>126710</v>
      </c>
      <c r="B4757" s="2" t="s">
        <v>3855</v>
      </c>
      <c r="C4757" s="2" t="n">
        <v>2</v>
      </c>
      <c r="D4757" s="2" t="n">
        <v>3</v>
      </c>
      <c r="E4757" s="2" t="n">
        <v>2</v>
      </c>
      <c r="F4757" s="2" t="n">
        <v>74</v>
      </c>
      <c r="G4757" s="2" t="s">
        <v>1553</v>
      </c>
      <c r="H4757" s="2" t="str">
        <f aca="false">IFERROR(__xludf.dummyfunction("IF(I4809="""", """", REGEXEXTRACT(I4809, ""Padrao/([^/]+)""))"),"Centro")</f>
        <v>Centro</v>
      </c>
    </row>
    <row r="4758" customFormat="false" ht="15.75" hidden="false" customHeight="false" outlineLevel="0" collapsed="false">
      <c r="A4758" s="2" t="n">
        <v>116999</v>
      </c>
      <c r="B4758" s="2" t="s">
        <v>2392</v>
      </c>
      <c r="C4758" s="2" t="n">
        <v>3</v>
      </c>
      <c r="D4758" s="2" t="n">
        <v>2</v>
      </c>
      <c r="E4758" s="2" t="n">
        <v>2</v>
      </c>
      <c r="F4758" s="2" t="n">
        <v>83</v>
      </c>
      <c r="G4758" s="2" t="s">
        <v>1553</v>
      </c>
      <c r="H4758" s="2" t="str">
        <f aca="false">IFERROR(__xludf.dummyfunction("IF(I4810="""", """", REGEXEXTRACT(I4810, ""Padrao/([^/]+)""))"),"Centro")</f>
        <v>Centro</v>
      </c>
    </row>
    <row r="4759" customFormat="false" ht="15.75" hidden="false" customHeight="false" outlineLevel="0" collapsed="false">
      <c r="A4759" s="2" t="n">
        <v>112913</v>
      </c>
      <c r="B4759" s="2" t="s">
        <v>3856</v>
      </c>
      <c r="C4759" s="2" t="n">
        <v>2</v>
      </c>
      <c r="D4759" s="2" t="n">
        <v>2</v>
      </c>
      <c r="E4759" s="2" t="n">
        <v>2</v>
      </c>
      <c r="F4759" s="2" t="n">
        <v>85</v>
      </c>
      <c r="G4759" s="2" t="s">
        <v>1553</v>
      </c>
      <c r="H4759" s="2" t="str">
        <f aca="false">IFERROR(__xludf.dummyfunction("IF(I4811="""", """", REGEXEXTRACT(I4811, ""Padrao/([^/]+)""))"),"Vila Seixas")</f>
        <v>Vila Seixas</v>
      </c>
    </row>
    <row r="4760" customFormat="false" ht="15.75" hidden="false" customHeight="false" outlineLevel="0" collapsed="false">
      <c r="A4760" s="2" t="n">
        <v>106124</v>
      </c>
      <c r="B4760" s="2" t="s">
        <v>3857</v>
      </c>
      <c r="C4760" s="2" t="n">
        <v>2</v>
      </c>
      <c r="D4760" s="2" t="n">
        <v>2</v>
      </c>
      <c r="E4760" s="2" t="n">
        <v>1</v>
      </c>
      <c r="F4760" s="2" t="n">
        <v>81</v>
      </c>
      <c r="G4760" s="2" t="s">
        <v>1553</v>
      </c>
      <c r="H4760" s="2" t="str">
        <f aca="false">IFERROR(__xludf.dummyfunction("IF(I4812="""", """", REGEXEXTRACT(I4812, ""Padrao/([^/]+)""))"),"Jardim Paulista")</f>
        <v>Jardim Paulista</v>
      </c>
    </row>
    <row r="4761" customFormat="false" ht="15.75" hidden="false" customHeight="false" outlineLevel="0" collapsed="false">
      <c r="A4761" s="2" t="n">
        <v>88904</v>
      </c>
      <c r="B4761" s="2" t="s">
        <v>3858</v>
      </c>
      <c r="C4761" s="2" t="n">
        <v>2</v>
      </c>
      <c r="D4761" s="2" t="n">
        <v>2</v>
      </c>
      <c r="E4761" s="2" t="n">
        <v>2</v>
      </c>
      <c r="F4761" s="2" t="n">
        <v>88</v>
      </c>
      <c r="G4761" s="2" t="s">
        <v>1553</v>
      </c>
      <c r="H4761" s="2" t="str">
        <f aca="false">IFERROR(__xludf.dummyfunction("IF(I4813="""", """", REGEXEXTRACT(I4813, ""Padrao/([^/]+)""))"),"Jardim Iraja")</f>
        <v>Jardim Iraja</v>
      </c>
    </row>
    <row r="4762" customFormat="false" ht="15.75" hidden="false" customHeight="false" outlineLevel="0" collapsed="false">
      <c r="A4762" s="2" t="n">
        <v>83537</v>
      </c>
      <c r="B4762" s="2" t="s">
        <v>847</v>
      </c>
      <c r="C4762" s="2" t="n">
        <v>2</v>
      </c>
      <c r="D4762" s="2" t="n">
        <v>2</v>
      </c>
      <c r="E4762" s="2" t="n">
        <v>2</v>
      </c>
      <c r="F4762" s="2" t="n">
        <v>81</v>
      </c>
      <c r="G4762" s="2" t="s">
        <v>1553</v>
      </c>
      <c r="H4762" s="2" t="str">
        <f aca="false">IFERROR(__xludf.dummyfunction("IF(I4814="""", """", REGEXEXTRACT(I4814, ""Padrao/([^/]+)""))"),"Jardim Paulista")</f>
        <v>Jardim Paulista</v>
      </c>
    </row>
    <row r="4763" customFormat="false" ht="15.75" hidden="false" customHeight="false" outlineLevel="0" collapsed="false">
      <c r="A4763" s="2" t="n">
        <v>162026</v>
      </c>
      <c r="B4763" s="2" t="s">
        <v>3127</v>
      </c>
      <c r="C4763" s="2" t="n">
        <v>3</v>
      </c>
      <c r="D4763" s="2" t="n">
        <v>2</v>
      </c>
      <c r="E4763" s="2" t="n">
        <v>1</v>
      </c>
      <c r="F4763" s="2" t="n">
        <v>67</v>
      </c>
      <c r="G4763" s="2" t="s">
        <v>3859</v>
      </c>
      <c r="H4763" s="2" t="str">
        <f aca="false">IFERROR(__xludf.dummyfunction("IF(I4816="""", """", REGEXEXTRACT(I4816, ""Padrao/([^/]+)""))"),"Jardim Olhos DAgua")</f>
        <v>Jardim Olhos DAgua</v>
      </c>
    </row>
    <row r="4764" customFormat="false" ht="15.75" hidden="false" customHeight="false" outlineLevel="0" collapsed="false">
      <c r="A4764" s="2" t="n">
        <v>213218</v>
      </c>
      <c r="B4764" s="2" t="s">
        <v>3860</v>
      </c>
      <c r="C4764" s="2" t="n">
        <v>2</v>
      </c>
      <c r="D4764" s="2" t="n">
        <v>1</v>
      </c>
      <c r="E4764" s="2" t="n">
        <v>1</v>
      </c>
      <c r="F4764" s="2" t="n">
        <v>48</v>
      </c>
      <c r="G4764" s="2" t="s">
        <v>3656</v>
      </c>
      <c r="H4764" s="2" t="str">
        <f aca="false">IFERROR(__xludf.dummyfunction("IF(I4817="""", """", REGEXEXTRACT(I4817, ""Padrao/([^/]+)""))"),"Alto da Boa Vista")</f>
        <v>Alto da Boa Vista</v>
      </c>
    </row>
    <row r="4765" customFormat="false" ht="15.75" hidden="false" customHeight="false" outlineLevel="0" collapsed="false">
      <c r="A4765" s="2" t="n">
        <v>181997</v>
      </c>
      <c r="B4765" s="2" t="s">
        <v>3861</v>
      </c>
      <c r="C4765" s="2" t="n">
        <v>2</v>
      </c>
      <c r="D4765" s="2" t="n">
        <v>2</v>
      </c>
      <c r="E4765" s="2" t="n">
        <v>1</v>
      </c>
      <c r="F4765" s="2" t="n">
        <v>54</v>
      </c>
      <c r="G4765" s="2" t="s">
        <v>3862</v>
      </c>
      <c r="H4765" s="2" t="str">
        <f aca="false">IFERROR(__xludf.dummyfunction("IF(I4818="""", """", REGEXEXTRACT(I4818, ""Padrao/([^/]+)""))"),"Vila Monte Alegre")</f>
        <v>Vila Monte Alegre</v>
      </c>
    </row>
    <row r="4766" customFormat="false" ht="15.75" hidden="false" customHeight="false" outlineLevel="0" collapsed="false">
      <c r="A4766" s="2" t="n">
        <v>90020</v>
      </c>
      <c r="B4766" s="2" t="s">
        <v>162</v>
      </c>
      <c r="C4766" s="2" t="n">
        <v>3</v>
      </c>
      <c r="D4766" s="2" t="n">
        <v>2</v>
      </c>
      <c r="E4766" s="2" t="n">
        <v>2</v>
      </c>
      <c r="F4766" s="2" t="n">
        <v>107</v>
      </c>
      <c r="G4766" s="2" t="s">
        <v>3862</v>
      </c>
      <c r="H4766" s="2" t="str">
        <f aca="false">IFERROR(__xludf.dummyfunction("IF(I4819="""", """", REGEXEXTRACT(I4819, ""Padrao/([^/]+)""))"),"Jardim Iraja")</f>
        <v>Jardim Iraja</v>
      </c>
    </row>
    <row r="4767" customFormat="false" ht="15.75" hidden="false" customHeight="false" outlineLevel="0" collapsed="false">
      <c r="A4767" s="2" t="n">
        <v>242807</v>
      </c>
      <c r="B4767" s="2" t="s">
        <v>3863</v>
      </c>
      <c r="C4767" s="2" t="n">
        <v>2</v>
      </c>
      <c r="D4767" s="2" t="n">
        <v>2</v>
      </c>
      <c r="E4767" s="2" t="n">
        <v>1</v>
      </c>
      <c r="F4767" s="2" t="n">
        <v>56</v>
      </c>
      <c r="G4767" s="2" t="s">
        <v>3864</v>
      </c>
      <c r="H4767" s="2" t="str">
        <f aca="false">IFERROR(__xludf.dummyfunction("IF(I4820="""", """", REGEXEXTRACT(I4820, ""Padrao/([^/]+)""))"),"Sumarezinho")</f>
        <v>Sumarezinho</v>
      </c>
    </row>
    <row r="4768" customFormat="false" ht="15.75" hidden="false" customHeight="false" outlineLevel="0" collapsed="false">
      <c r="A4768" s="2" t="n">
        <v>63848</v>
      </c>
      <c r="B4768" s="2" t="s">
        <v>3865</v>
      </c>
      <c r="C4768" s="2" t="n">
        <v>3</v>
      </c>
      <c r="D4768" s="2" t="n">
        <v>3</v>
      </c>
      <c r="E4768" s="2" t="n">
        <v>2</v>
      </c>
      <c r="F4768" s="2" t="n">
        <v>156</v>
      </c>
      <c r="G4768" s="2" t="s">
        <v>3725</v>
      </c>
      <c r="H4768" s="2" t="str">
        <f aca="false">IFERROR(__xludf.dummyfunction("IF(I4821="""", """", REGEXEXTRACT(I4821, ""Padrao/([^/]+)""))"),"Higienopolis")</f>
        <v>Higienopolis</v>
      </c>
    </row>
    <row r="4769" customFormat="false" ht="15.75" hidden="false" customHeight="false" outlineLevel="0" collapsed="false">
      <c r="A4769" s="2" t="n">
        <v>238862</v>
      </c>
      <c r="B4769" s="2" t="s">
        <v>3866</v>
      </c>
      <c r="C4769" s="2" t="n">
        <v>2</v>
      </c>
      <c r="D4769" s="2" t="n">
        <v>2</v>
      </c>
      <c r="E4769" s="2" t="n">
        <v>1</v>
      </c>
      <c r="F4769" s="2" t="n">
        <v>57</v>
      </c>
      <c r="G4769" s="2" t="s">
        <v>648</v>
      </c>
      <c r="H4769" s="2" t="str">
        <f aca="false">IFERROR(__xludf.dummyfunction("IF(I4822="""", """", REGEXEXTRACT(I4822, ""Padrao/([^/]+)""))"),"Nova Alianca")</f>
        <v>Nova Alianca</v>
      </c>
    </row>
    <row r="4770" customFormat="false" ht="15.75" hidden="false" customHeight="false" outlineLevel="0" collapsed="false">
      <c r="A4770" s="2" t="n">
        <v>197075</v>
      </c>
      <c r="B4770" s="2" t="s">
        <v>3867</v>
      </c>
      <c r="C4770" s="2" t="n">
        <v>3</v>
      </c>
      <c r="D4770" s="2" t="n">
        <v>3</v>
      </c>
      <c r="E4770" s="2" t="n">
        <v>1</v>
      </c>
      <c r="F4770" s="2" t="n">
        <v>107</v>
      </c>
      <c r="G4770" s="2" t="s">
        <v>1551</v>
      </c>
      <c r="H4770" s="2" t="str">
        <f aca="false">IFERROR(__xludf.dummyfunction("IF(I4823="""", """", REGEXEXTRACT(I4823, ""Padrao/([^/]+)""))"),"Centro")</f>
        <v>Centro</v>
      </c>
    </row>
    <row r="4771" customFormat="false" ht="15.75" hidden="false" customHeight="false" outlineLevel="0" collapsed="false">
      <c r="A4771" s="2" t="n">
        <v>130868</v>
      </c>
      <c r="B4771" s="2" t="s">
        <v>3868</v>
      </c>
      <c r="C4771" s="2" t="n">
        <v>2</v>
      </c>
      <c r="D4771" s="2" t="n">
        <v>2</v>
      </c>
      <c r="E4771" s="2" t="n">
        <v>1</v>
      </c>
      <c r="F4771" s="2" t="n">
        <v>82</v>
      </c>
      <c r="G4771" s="2" t="s">
        <v>1553</v>
      </c>
      <c r="H4771" s="2" t="str">
        <f aca="false">IFERROR(__xludf.dummyfunction("IF(I4824="""", """", REGEXEXTRACT(I4824, ""Padrao/([^/]+)""))"),"Jardim Botanico")</f>
        <v>Jardim Botanico</v>
      </c>
    </row>
    <row r="4772" customFormat="false" ht="15.75" hidden="false" customHeight="false" outlineLevel="0" collapsed="false">
      <c r="A4772" s="2" t="n">
        <v>62921</v>
      </c>
      <c r="B4772" s="2" t="s">
        <v>1262</v>
      </c>
      <c r="C4772" s="2" t="n">
        <v>3</v>
      </c>
      <c r="D4772" s="2" t="n">
        <v>3</v>
      </c>
      <c r="E4772" s="2" t="n">
        <v>1</v>
      </c>
      <c r="F4772" s="2" t="n">
        <v>118</v>
      </c>
      <c r="G4772" s="2" t="s">
        <v>1553</v>
      </c>
      <c r="H4772" s="2" t="str">
        <f aca="false">IFERROR(__xludf.dummyfunction("IF(I4825="""", """", REGEXEXTRACT(I4825, ""Padrao/([^/]+)""))"),"Jardim Palma Travassos")</f>
        <v>Jardim Palma Travassos</v>
      </c>
    </row>
    <row r="4773" customFormat="false" ht="15.75" hidden="false" customHeight="false" outlineLevel="0" collapsed="false">
      <c r="A4773" s="2" t="n">
        <v>243701</v>
      </c>
      <c r="B4773" s="2" t="s">
        <v>3869</v>
      </c>
      <c r="C4773" s="2" t="n">
        <v>3</v>
      </c>
      <c r="D4773" s="2" t="n">
        <v>3</v>
      </c>
      <c r="E4773" s="2" t="n">
        <v>2</v>
      </c>
      <c r="F4773" s="2" t="n">
        <v>104</v>
      </c>
      <c r="G4773" s="2" t="s">
        <v>3870</v>
      </c>
      <c r="H4773" s="2" t="str">
        <f aca="false">IFERROR(__xludf.dummyfunction("IF(I4826="""", """", REGEXEXTRACT(I4826, ""Padrao/([^/]+)""))"),"Vila Seixas")</f>
        <v>Vila Seixas</v>
      </c>
    </row>
    <row r="4774" customFormat="false" ht="15.75" hidden="false" customHeight="false" outlineLevel="0" collapsed="false">
      <c r="A4774" s="2" t="n">
        <v>221531</v>
      </c>
      <c r="B4774" s="2" t="s">
        <v>3871</v>
      </c>
      <c r="C4774" s="2" t="n">
        <v>3</v>
      </c>
      <c r="D4774" s="2" t="n">
        <v>2</v>
      </c>
      <c r="E4774" s="2" t="n">
        <v>1</v>
      </c>
      <c r="F4774" s="2" t="n">
        <v>75</v>
      </c>
      <c r="G4774" s="2" t="s">
        <v>3870</v>
      </c>
      <c r="H4774" s="2" t="str">
        <f aca="false">IFERROR(__xludf.dummyfunction("IF(I4827="""", """", REGEXEXTRACT(I4827, ""Padrao/([^/]+)""))"),"Jardim Botanico")</f>
        <v>Jardim Botanico</v>
      </c>
    </row>
    <row r="4775" customFormat="false" ht="15.75" hidden="false" customHeight="false" outlineLevel="0" collapsed="false">
      <c r="A4775" s="2" t="n">
        <v>213521</v>
      </c>
      <c r="B4775" s="2" t="s">
        <v>3872</v>
      </c>
      <c r="C4775" s="2" t="n">
        <v>2</v>
      </c>
      <c r="D4775" s="2" t="n">
        <v>2</v>
      </c>
      <c r="E4775" s="2" t="n">
        <v>1</v>
      </c>
      <c r="F4775" s="2" t="n">
        <v>72</v>
      </c>
      <c r="G4775" s="2" t="s">
        <v>3870</v>
      </c>
      <c r="H4775" s="2" t="str">
        <f aca="false">IFERROR(__xludf.dummyfunction("IF(I4828="""", """", REGEXEXTRACT(I4828, ""Padrao/([^/]+)""))"),"Sumarezinho")</f>
        <v>Sumarezinho</v>
      </c>
    </row>
    <row r="4776" customFormat="false" ht="15.75" hidden="false" customHeight="false" outlineLevel="0" collapsed="false">
      <c r="A4776" s="2" t="n">
        <v>210989</v>
      </c>
      <c r="B4776" s="2" t="s">
        <v>3873</v>
      </c>
      <c r="C4776" s="2" t="n">
        <v>3</v>
      </c>
      <c r="D4776" s="2" t="n">
        <v>3</v>
      </c>
      <c r="E4776" s="2" t="n">
        <v>1</v>
      </c>
      <c r="F4776" s="2" t="n">
        <v>111</v>
      </c>
      <c r="G4776" s="2" t="s">
        <v>3870</v>
      </c>
      <c r="H4776" s="2" t="str">
        <f aca="false">IFERROR(__xludf.dummyfunction("IF(I4829="""", """", REGEXEXTRACT(I4829, ""Padrao/([^/]+)""))"),"Centro")</f>
        <v>Centro</v>
      </c>
    </row>
    <row r="4777" customFormat="false" ht="15.75" hidden="false" customHeight="false" outlineLevel="0" collapsed="false">
      <c r="A4777" s="2" t="n">
        <v>202433</v>
      </c>
      <c r="B4777" s="2" t="s">
        <v>3874</v>
      </c>
      <c r="C4777" s="2" t="n">
        <v>3</v>
      </c>
      <c r="D4777" s="2" t="n">
        <v>4</v>
      </c>
      <c r="E4777" s="2" t="n">
        <v>1</v>
      </c>
      <c r="F4777" s="2" t="n">
        <v>160</v>
      </c>
      <c r="G4777" s="2" t="s">
        <v>3870</v>
      </c>
      <c r="H4777" s="2" t="str">
        <f aca="false">IFERROR(__xludf.dummyfunction("IF(I4830="""", """", REGEXEXTRACT(I4830, ""Padrao/([^/]+)""))"),"Centro")</f>
        <v>Centro</v>
      </c>
    </row>
    <row r="4778" customFormat="false" ht="15.75" hidden="false" customHeight="false" outlineLevel="0" collapsed="false">
      <c r="A4778" s="2" t="n">
        <v>184139</v>
      </c>
      <c r="B4778" s="2" t="s">
        <v>3875</v>
      </c>
      <c r="C4778" s="2" t="n">
        <v>2</v>
      </c>
      <c r="D4778" s="2" t="n">
        <v>2</v>
      </c>
      <c r="E4778" s="2" t="n">
        <v>1</v>
      </c>
      <c r="F4778" s="2" t="n">
        <v>76</v>
      </c>
      <c r="G4778" s="2" t="s">
        <v>3870</v>
      </c>
      <c r="H4778" s="2" t="str">
        <f aca="false">IFERROR(__xludf.dummyfunction("IF(I4831="""", """", REGEXEXTRACT(I4831, ""Padrao/([^/]+)""))"),"Jardim Sumare")</f>
        <v>Jardim Sumare</v>
      </c>
    </row>
    <row r="4779" customFormat="false" ht="15.75" hidden="false" customHeight="false" outlineLevel="0" collapsed="false">
      <c r="A4779" s="2" t="n">
        <v>178004</v>
      </c>
      <c r="B4779" s="2" t="s">
        <v>3876</v>
      </c>
      <c r="C4779" s="2" t="n">
        <v>2</v>
      </c>
      <c r="D4779" s="2" t="n">
        <v>2</v>
      </c>
      <c r="E4779" s="2" t="n">
        <v>1</v>
      </c>
      <c r="F4779" s="2" t="n">
        <v>79</v>
      </c>
      <c r="G4779" s="2" t="s">
        <v>3870</v>
      </c>
      <c r="H4779" s="2" t="str">
        <f aca="false">IFERROR(__xludf.dummyfunction("IF(I4832="""", """", REGEXEXTRACT(I4832, ""Padrao/([^/]+)""))"),"Nova Alianca")</f>
        <v>Nova Alianca</v>
      </c>
    </row>
    <row r="4780" customFormat="false" ht="15.75" hidden="false" customHeight="false" outlineLevel="0" collapsed="false">
      <c r="A4780" s="2" t="n">
        <v>153692</v>
      </c>
      <c r="B4780" s="2" t="s">
        <v>3877</v>
      </c>
      <c r="C4780" s="2" t="n">
        <v>2</v>
      </c>
      <c r="D4780" s="2" t="n">
        <v>2</v>
      </c>
      <c r="E4780" s="2" t="n">
        <v>1</v>
      </c>
      <c r="F4780" s="2" t="n">
        <v>62</v>
      </c>
      <c r="G4780" s="2" t="s">
        <v>3870</v>
      </c>
      <c r="H4780" s="2" t="str">
        <f aca="false">IFERROR(__xludf.dummyfunction("IF(I4833="""", """", REGEXEXTRACT(I4833, ""Padrao/([^/]+)""))"),"Jardim California")</f>
        <v>Jardim California</v>
      </c>
    </row>
    <row r="4781" customFormat="false" ht="15.75" hidden="false" customHeight="false" outlineLevel="0" collapsed="false">
      <c r="A4781" s="2" t="n">
        <v>146309</v>
      </c>
      <c r="B4781" s="2" t="s">
        <v>3878</v>
      </c>
      <c r="C4781" s="2" t="n">
        <v>2</v>
      </c>
      <c r="D4781" s="2" t="n">
        <v>2</v>
      </c>
      <c r="E4781" s="2" t="n">
        <v>2</v>
      </c>
      <c r="F4781" s="2" t="n">
        <v>82</v>
      </c>
      <c r="G4781" s="2" t="s">
        <v>3870</v>
      </c>
      <c r="H4781" s="2" t="str">
        <f aca="false">IFERROR(__xludf.dummyfunction("IF(I4834="""", """", REGEXEXTRACT(I4834, ""Padrao/([^/]+)""))"),"Jardim Paulista")</f>
        <v>Jardim Paulista</v>
      </c>
    </row>
    <row r="4782" customFormat="false" ht="15.75" hidden="false" customHeight="false" outlineLevel="0" collapsed="false">
      <c r="A4782" s="2" t="n">
        <v>42908</v>
      </c>
      <c r="B4782" s="2" t="s">
        <v>3879</v>
      </c>
      <c r="C4782" s="2" t="n">
        <v>2</v>
      </c>
      <c r="D4782" s="2" t="n">
        <v>3</v>
      </c>
      <c r="E4782" s="2" t="n">
        <v>1</v>
      </c>
      <c r="F4782" s="2" t="n">
        <v>93</v>
      </c>
      <c r="G4782" s="2" t="s">
        <v>3870</v>
      </c>
      <c r="H4782" s="2" t="str">
        <f aca="false">IFERROR(__xludf.dummyfunction("IF(I4835="""", """", REGEXEXTRACT(I4835, ""Padrao/([^/]+)""))"),"Centro")</f>
        <v>Centro</v>
      </c>
    </row>
    <row r="4783" customFormat="false" ht="15.75" hidden="false" customHeight="false" outlineLevel="0" collapsed="false">
      <c r="A4783" s="2" t="n">
        <v>196010</v>
      </c>
      <c r="B4783" s="2" t="s">
        <v>3880</v>
      </c>
      <c r="C4783" s="2" t="n">
        <v>2</v>
      </c>
      <c r="D4783" s="2" t="n">
        <v>3</v>
      </c>
      <c r="E4783" s="2" t="n">
        <v>1</v>
      </c>
      <c r="F4783" s="2" t="n">
        <v>69</v>
      </c>
      <c r="G4783" s="2" t="s">
        <v>3881</v>
      </c>
      <c r="H4783" s="2" t="str">
        <f aca="false">IFERROR(__xludf.dummyfunction("IF(I4836="""", """", REGEXEXTRACT(I4836, ""Padrao/([^/]+)""))"),"Jardim Botanico")</f>
        <v>Jardim Botanico</v>
      </c>
    </row>
    <row r="4784" customFormat="false" ht="15.75" hidden="false" customHeight="false" outlineLevel="0" collapsed="false">
      <c r="A4784" s="2" t="n">
        <v>219479</v>
      </c>
      <c r="B4784" s="2" t="s">
        <v>3882</v>
      </c>
      <c r="C4784" s="2" t="n">
        <v>3</v>
      </c>
      <c r="D4784" s="2" t="n">
        <v>3</v>
      </c>
      <c r="E4784" s="2" t="n">
        <v>1</v>
      </c>
      <c r="F4784" s="2" t="n">
        <v>72</v>
      </c>
      <c r="G4784" s="2" t="s">
        <v>3883</v>
      </c>
      <c r="H4784" s="2" t="str">
        <f aca="false">IFERROR(__xludf.dummyfunction("IF(I4837="""", """", REGEXEXTRACT(I4837, ""Padrao/([^/]+)""))"),"Quintas de Sao Jose")</f>
        <v>Quintas de Sao Jose</v>
      </c>
    </row>
    <row r="4785" customFormat="false" ht="15.75" hidden="false" customHeight="false" outlineLevel="0" collapsed="false">
      <c r="A4785" s="2" t="n">
        <v>212783</v>
      </c>
      <c r="B4785" s="2" t="s">
        <v>3884</v>
      </c>
      <c r="C4785" s="2" t="n">
        <v>2</v>
      </c>
      <c r="D4785" s="2" t="n">
        <v>3</v>
      </c>
      <c r="E4785" s="2" t="n">
        <v>1</v>
      </c>
      <c r="F4785" s="2" t="n">
        <v>62</v>
      </c>
      <c r="G4785" s="2" t="s">
        <v>3883</v>
      </c>
      <c r="H4785" s="2" t="str">
        <f aca="false">IFERROR(__xludf.dummyfunction("IF(I4838="""", """", REGEXEXTRACT(I4838, ""Padrao/([^/]+)""))"),"Nova Alianca")</f>
        <v>Nova Alianca</v>
      </c>
    </row>
    <row r="4786" customFormat="false" ht="15.75" hidden="false" customHeight="false" outlineLevel="0" collapsed="false">
      <c r="A4786" s="2" t="n">
        <v>239900</v>
      </c>
      <c r="B4786" s="2" t="s">
        <v>3885</v>
      </c>
      <c r="C4786" s="2" t="n">
        <v>3</v>
      </c>
      <c r="D4786" s="2" t="n">
        <v>2</v>
      </c>
      <c r="E4786" s="2" t="n">
        <v>1</v>
      </c>
      <c r="F4786" s="2" t="n">
        <v>65</v>
      </c>
      <c r="G4786" s="2" t="s">
        <v>3886</v>
      </c>
      <c r="H4786" s="2" t="str">
        <f aca="false">IFERROR(__xludf.dummyfunction("IF(I4839="""", """", REGEXEXTRACT(I4839, ""Padrao/([^/]+)""))"),"Panamby II")</f>
        <v>Panamby II</v>
      </c>
    </row>
    <row r="4787" customFormat="false" ht="15.75" hidden="false" customHeight="false" outlineLevel="0" collapsed="false">
      <c r="A4787" s="2" t="n">
        <v>243278</v>
      </c>
      <c r="B4787" s="2" t="s">
        <v>3887</v>
      </c>
      <c r="C4787" s="2" t="n">
        <v>2</v>
      </c>
      <c r="D4787" s="2" t="n">
        <v>2</v>
      </c>
      <c r="E4787" s="2" t="n">
        <v>2</v>
      </c>
      <c r="F4787" s="2" t="n">
        <v>71</v>
      </c>
      <c r="G4787" s="2" t="s">
        <v>3888</v>
      </c>
      <c r="H4787" s="2" t="str">
        <f aca="false">IFERROR(__xludf.dummyfunction("IF(I4840="""", """", REGEXEXTRACT(I4840, ""Padrao/([^/]+)""))"),"Bonfim Paulista")</f>
        <v>Bonfim Paulista</v>
      </c>
    </row>
    <row r="4788" customFormat="false" ht="15.75" hidden="false" customHeight="false" outlineLevel="0" collapsed="false">
      <c r="A4788" s="2" t="n">
        <v>232982</v>
      </c>
      <c r="B4788" s="2" t="s">
        <v>3889</v>
      </c>
      <c r="C4788" s="2" t="n">
        <v>2</v>
      </c>
      <c r="D4788" s="2" t="n">
        <v>1</v>
      </c>
      <c r="E4788" s="2" t="n">
        <v>1</v>
      </c>
      <c r="F4788" s="2" t="n">
        <v>50</v>
      </c>
      <c r="G4788" s="2" t="s">
        <v>648</v>
      </c>
      <c r="H4788" s="2" t="str">
        <f aca="false">IFERROR(__xludf.dummyfunction("IF(I4841="""", """", REGEXEXTRACT(I4841, ""Padrao/([^/]+)""))"),"Residencial Monterrey")</f>
        <v>Residencial Monterrey</v>
      </c>
    </row>
    <row r="4789" customFormat="false" ht="15.75" hidden="false" customHeight="false" outlineLevel="0" collapsed="false">
      <c r="A4789" s="2" t="n">
        <v>236354</v>
      </c>
      <c r="B4789" s="2" t="s">
        <v>3890</v>
      </c>
      <c r="C4789" s="2" t="n">
        <v>2</v>
      </c>
      <c r="D4789" s="2" t="n">
        <v>3</v>
      </c>
      <c r="E4789" s="2" t="n">
        <v>1</v>
      </c>
      <c r="F4789" s="2" t="n">
        <v>65</v>
      </c>
      <c r="G4789" s="2" t="s">
        <v>3864</v>
      </c>
      <c r="H4789" s="2" t="str">
        <f aca="false">IFERROR(__xludf.dummyfunction("IF(I4842="""", """", REGEXEXTRACT(I4842, ""Padrao/([^/]+)""))"),"Residencial Taiwan")</f>
        <v>Residencial Taiwan</v>
      </c>
    </row>
    <row r="4790" customFormat="false" ht="15.75" hidden="false" customHeight="false" outlineLevel="0" collapsed="false">
      <c r="A4790" s="2" t="n">
        <v>242933</v>
      </c>
      <c r="B4790" s="2" t="s">
        <v>3891</v>
      </c>
      <c r="C4790" s="2" t="n">
        <v>2</v>
      </c>
      <c r="D4790" s="2" t="n">
        <v>2</v>
      </c>
      <c r="E4790" s="2" t="n">
        <v>2</v>
      </c>
      <c r="F4790" s="2" t="n">
        <v>97</v>
      </c>
      <c r="G4790" s="2" t="s">
        <v>2664</v>
      </c>
      <c r="H4790" s="2" t="str">
        <f aca="false">IFERROR(__xludf.dummyfunction("IF(I4843="""", """", REGEXEXTRACT(I4843, ""Padrao/([^/]+)""))"),"Nova Alianca")</f>
        <v>Nova Alianca</v>
      </c>
    </row>
    <row r="4791" customFormat="false" ht="15.75" hidden="false" customHeight="false" outlineLevel="0" collapsed="false">
      <c r="A4791" s="2" t="n">
        <v>241340</v>
      </c>
      <c r="B4791" s="2" t="s">
        <v>3892</v>
      </c>
      <c r="C4791" s="2" t="n">
        <v>3</v>
      </c>
      <c r="D4791" s="2" t="n">
        <v>2</v>
      </c>
      <c r="E4791" s="2" t="n">
        <v>2</v>
      </c>
      <c r="F4791" s="2" t="n">
        <v>82</v>
      </c>
      <c r="G4791" s="2" t="s">
        <v>2664</v>
      </c>
      <c r="H4791" s="2" t="str">
        <f aca="false">IFERROR(__xludf.dummyfunction("IF(I4844="""", """", REGEXEXTRACT(I4844, ""Padrao/([^/]+)""))"),"Nova Alianca")</f>
        <v>Nova Alianca</v>
      </c>
    </row>
    <row r="4792" customFormat="false" ht="15.75" hidden="false" customHeight="false" outlineLevel="0" collapsed="false">
      <c r="A4792" s="2" t="n">
        <v>238346</v>
      </c>
      <c r="B4792" s="2" t="s">
        <v>3893</v>
      </c>
      <c r="C4792" s="2" t="n">
        <v>2</v>
      </c>
      <c r="D4792" s="2" t="n">
        <v>2</v>
      </c>
      <c r="E4792" s="2" t="n">
        <v>1</v>
      </c>
      <c r="F4792" s="2" t="n">
        <v>61</v>
      </c>
      <c r="G4792" s="2" t="s">
        <v>2664</v>
      </c>
      <c r="H4792" s="2" t="str">
        <f aca="false">IFERROR(__xludf.dummyfunction("IF(I4845="""", """", REGEXEXTRACT(I4845, ""Padrao/([^/]+)""))"),"Quinta da Primavera")</f>
        <v>Quinta da Primavera</v>
      </c>
    </row>
    <row r="4793" customFormat="false" ht="15.75" hidden="false" customHeight="false" outlineLevel="0" collapsed="false">
      <c r="A4793" s="2" t="n">
        <v>237803</v>
      </c>
      <c r="B4793" s="2" t="s">
        <v>3894</v>
      </c>
      <c r="C4793" s="2" t="n">
        <v>2</v>
      </c>
      <c r="D4793" s="2" t="n">
        <v>1</v>
      </c>
      <c r="E4793" s="2" t="n">
        <v>2</v>
      </c>
      <c r="F4793" s="2" t="n">
        <v>55</v>
      </c>
      <c r="G4793" s="2" t="s">
        <v>2664</v>
      </c>
      <c r="H4793" s="2" t="str">
        <f aca="false">IFERROR(__xludf.dummyfunction("IF(I4846="""", """", REGEXEXTRACT(I4846, ""Padrao/([^/]+)""))"),"Santa Cruz do Jose Jacques")</f>
        <v>Santa Cruz do Jose Jacques</v>
      </c>
    </row>
    <row r="4794" customFormat="false" ht="15.75" hidden="false" customHeight="false" outlineLevel="0" collapsed="false">
      <c r="A4794" s="2" t="n">
        <v>227198</v>
      </c>
      <c r="B4794" s="2" t="s">
        <v>3895</v>
      </c>
      <c r="C4794" s="2" t="n">
        <v>2</v>
      </c>
      <c r="D4794" s="2" t="n">
        <v>2</v>
      </c>
      <c r="E4794" s="2" t="n">
        <v>1</v>
      </c>
      <c r="F4794" s="2" t="n">
        <v>61</v>
      </c>
      <c r="G4794" s="2" t="s">
        <v>2664</v>
      </c>
      <c r="H4794" s="2" t="str">
        <f aca="false">IFERROR(__xludf.dummyfunction("IF(I4847="""", """", REGEXEXTRACT(I4847, ""Padrao/([^/]+)""))"),"Quinta da Primavera")</f>
        <v>Quinta da Primavera</v>
      </c>
    </row>
    <row r="4795" customFormat="false" ht="15.75" hidden="false" customHeight="false" outlineLevel="0" collapsed="false">
      <c r="A4795" s="2" t="n">
        <v>122207</v>
      </c>
      <c r="B4795" s="2" t="s">
        <v>3896</v>
      </c>
      <c r="C4795" s="2" t="n">
        <v>2</v>
      </c>
      <c r="D4795" s="2" t="n">
        <v>2</v>
      </c>
      <c r="E4795" s="2" t="n">
        <v>2</v>
      </c>
      <c r="F4795" s="2" t="n">
        <v>75</v>
      </c>
      <c r="G4795" s="2" t="s">
        <v>2664</v>
      </c>
      <c r="H4795" s="2" t="str">
        <f aca="false">IFERROR(__xludf.dummyfunction("IF(I4848="""", """", REGEXEXTRACT(I4848, ""Padrao/([^/]+)""))"),"Vila Tiberio")</f>
        <v>Vila Tiberio</v>
      </c>
    </row>
    <row r="4796" customFormat="false" ht="15.75" hidden="false" customHeight="false" outlineLevel="0" collapsed="false">
      <c r="A4796" s="2" t="n">
        <v>228398</v>
      </c>
      <c r="B4796" s="2" t="s">
        <v>3897</v>
      </c>
      <c r="C4796" s="2" t="n">
        <v>2</v>
      </c>
      <c r="D4796" s="2" t="n">
        <v>2</v>
      </c>
      <c r="E4796" s="2" t="n">
        <v>1</v>
      </c>
      <c r="F4796" s="2" t="n">
        <v>83</v>
      </c>
      <c r="G4796" s="2" t="s">
        <v>3898</v>
      </c>
      <c r="H4796" s="2" t="str">
        <f aca="false">IFERROR(__xludf.dummyfunction("IF(I4849="""", """", REGEXEXTRACT(I4849, ""Padrao/([^/]+)""))"),"Nova Ribeirania")</f>
        <v>Nova Ribeirania</v>
      </c>
    </row>
    <row r="4797" customFormat="false" ht="15.75" hidden="false" customHeight="false" outlineLevel="0" collapsed="false">
      <c r="A4797" s="2" t="n">
        <v>239492</v>
      </c>
      <c r="B4797" s="2" t="s">
        <v>3899</v>
      </c>
      <c r="C4797" s="2" t="n">
        <v>1</v>
      </c>
      <c r="D4797" s="2" t="n">
        <v>1</v>
      </c>
      <c r="E4797" s="2" t="n">
        <v>1</v>
      </c>
      <c r="F4797" s="2" t="n">
        <v>59</v>
      </c>
      <c r="G4797" s="2" t="s">
        <v>3900</v>
      </c>
      <c r="H4797" s="2" t="str">
        <f aca="false">IFERROR(__xludf.dummyfunction("IF(I4850="""", """", REGEXEXTRACT(I4850, ""Padrao/([^/]+)""))"),"Alto da Boa Vista")</f>
        <v>Alto da Boa Vista</v>
      </c>
    </row>
    <row r="4798" customFormat="false" ht="15.75" hidden="false" customHeight="false" outlineLevel="0" collapsed="false">
      <c r="A4798" s="2" t="n">
        <v>233318</v>
      </c>
      <c r="B4798" s="2" t="s">
        <v>3901</v>
      </c>
      <c r="C4798" s="2" t="n">
        <v>1</v>
      </c>
      <c r="D4798" s="2" t="n">
        <v>1</v>
      </c>
      <c r="E4798" s="2" t="n">
        <v>1</v>
      </c>
      <c r="F4798" s="2" t="n">
        <v>49</v>
      </c>
      <c r="G4798" s="2" t="s">
        <v>2687</v>
      </c>
      <c r="H4798" s="2" t="str">
        <f aca="false">IFERROR(__xludf.dummyfunction("IF(I4851="""", """", REGEXEXTRACT(I4851, ""Padrao/([^/]+)""))"),"Alto da Boa Vista")</f>
        <v>Alto da Boa Vista</v>
      </c>
    </row>
    <row r="4799" customFormat="false" ht="15.75" hidden="false" customHeight="false" outlineLevel="0" collapsed="false">
      <c r="A4799" s="2" t="n">
        <v>245582</v>
      </c>
      <c r="B4799" s="2" t="s">
        <v>3902</v>
      </c>
      <c r="C4799" s="2" t="n">
        <v>3</v>
      </c>
      <c r="D4799" s="2" t="n">
        <v>4</v>
      </c>
      <c r="E4799" s="2" t="n">
        <v>2</v>
      </c>
      <c r="F4799" s="2" t="n">
        <v>104</v>
      </c>
      <c r="G4799" s="2" t="s">
        <v>2667</v>
      </c>
      <c r="H4799" s="2" t="str">
        <f aca="false">IFERROR(__xludf.dummyfunction("IF(I4852="""", """", REGEXEXTRACT(I4852, ""Padrao/([^/]+)""))"),"Vila do Golf")</f>
        <v>Vila do Golf</v>
      </c>
    </row>
    <row r="4800" customFormat="false" ht="15.75" hidden="false" customHeight="false" outlineLevel="0" collapsed="false">
      <c r="A4800" s="2" t="n">
        <v>150620</v>
      </c>
      <c r="B4800" s="2" t="s">
        <v>3903</v>
      </c>
      <c r="C4800" s="2" t="n">
        <v>4</v>
      </c>
      <c r="D4800" s="2" t="n">
        <v>5</v>
      </c>
      <c r="E4800" s="2" t="n">
        <v>2</v>
      </c>
      <c r="F4800" s="2" t="n">
        <v>261</v>
      </c>
      <c r="G4800" s="2" t="s">
        <v>1519</v>
      </c>
      <c r="H4800" s="2" t="str">
        <f aca="false">IFERROR(__xludf.dummyfunction("IF(I4853="""", """", REGEXEXTRACT(I4853, ""Padrao/([^/]+)""))"),"Centro")</f>
        <v>Centro</v>
      </c>
    </row>
    <row r="4801" customFormat="false" ht="15.75" hidden="false" customHeight="false" outlineLevel="0" collapsed="false">
      <c r="A4801" s="2" t="n">
        <v>201380</v>
      </c>
      <c r="B4801" s="2" t="s">
        <v>3505</v>
      </c>
      <c r="C4801" s="2" t="n">
        <v>2</v>
      </c>
      <c r="D4801" s="2" t="n">
        <v>2</v>
      </c>
      <c r="E4801" s="2" t="n">
        <v>2</v>
      </c>
      <c r="F4801" s="2" t="n">
        <v>59</v>
      </c>
      <c r="G4801" s="2" t="s">
        <v>2675</v>
      </c>
      <c r="H4801" s="2" t="str">
        <f aca="false">IFERROR(__xludf.dummyfunction("IF(I4854="""", """", REGEXEXTRACT(I4854, ""Padrao/([^/]+)""))"),"Jardim Sumare")</f>
        <v>Jardim Sumare</v>
      </c>
    </row>
    <row r="4802" customFormat="false" ht="15.75" hidden="false" customHeight="false" outlineLevel="0" collapsed="false">
      <c r="A4802" s="2" t="n">
        <v>97874</v>
      </c>
      <c r="B4802" s="2" t="s">
        <v>3904</v>
      </c>
      <c r="C4802" s="2" t="n">
        <v>3</v>
      </c>
      <c r="D4802" s="2" t="n">
        <v>4</v>
      </c>
      <c r="E4802" s="2" t="n">
        <v>3</v>
      </c>
      <c r="F4802" s="2" t="n">
        <v>180</v>
      </c>
      <c r="G4802" s="2" t="s">
        <v>184</v>
      </c>
      <c r="H4802" s="2" t="str">
        <f aca="false">IFERROR(__xludf.dummyfunction("IF(I4855="""", """", REGEXEXTRACT(I4855, ""Padrao/([^/]+)""))"),"Jardim Iraja")</f>
        <v>Jardim Iraja</v>
      </c>
    </row>
    <row r="4803" customFormat="false" ht="15.75" hidden="false" customHeight="false" outlineLevel="0" collapsed="false">
      <c r="A4803" s="2" t="n">
        <v>184175</v>
      </c>
      <c r="B4803" s="2" t="s">
        <v>3905</v>
      </c>
      <c r="C4803" s="2" t="n">
        <v>1</v>
      </c>
      <c r="D4803" s="2" t="n">
        <v>1</v>
      </c>
      <c r="E4803" s="2" t="n">
        <v>1</v>
      </c>
      <c r="F4803" s="2" t="n">
        <v>60</v>
      </c>
      <c r="G4803" s="2" t="s">
        <v>1559</v>
      </c>
      <c r="H4803" s="2" t="str">
        <f aca="false">IFERROR(__xludf.dummyfunction("IF(I4856="""", """", REGEXEXTRACT(I4856, ""Padrao/([^/]+)""))"),"Bosque das Juritis")</f>
        <v>Bosque das Juritis</v>
      </c>
    </row>
    <row r="4804" customFormat="false" ht="15.75" hidden="false" customHeight="false" outlineLevel="0" collapsed="false">
      <c r="A4804" s="2" t="n">
        <v>184931</v>
      </c>
      <c r="B4804" s="2" t="s">
        <v>3906</v>
      </c>
      <c r="C4804" s="2" t="n">
        <v>4</v>
      </c>
      <c r="D4804" s="2" t="n">
        <v>5</v>
      </c>
      <c r="E4804" s="2" t="n">
        <v>4</v>
      </c>
      <c r="F4804" s="2" t="n">
        <v>378</v>
      </c>
      <c r="G4804" s="2" t="s">
        <v>213</v>
      </c>
      <c r="H4804" s="2" t="str">
        <f aca="false">IFERROR(__xludf.dummyfunction("IF(I4857="""", """", REGEXEXTRACT(I4857, ""Padrao/([^/]+)""))"),"Centro")</f>
        <v>Centro</v>
      </c>
    </row>
    <row r="4805" customFormat="false" ht="15.75" hidden="false" customHeight="false" outlineLevel="0" collapsed="false">
      <c r="A4805" s="2" t="n">
        <v>213329</v>
      </c>
      <c r="B4805" s="2" t="s">
        <v>3907</v>
      </c>
      <c r="C4805" s="2" t="n">
        <v>4</v>
      </c>
      <c r="D4805" s="2" t="n">
        <v>3</v>
      </c>
      <c r="E4805" s="2" t="n">
        <v>4</v>
      </c>
      <c r="F4805" s="2" t="n">
        <v>131</v>
      </c>
      <c r="G4805" s="2" t="s">
        <v>3908</v>
      </c>
      <c r="H4805" s="2" t="str">
        <f aca="false">IFERROR(__xludf.dummyfunction("IF(I4858="""", """", REGEXEXTRACT(I4858, ""Padrao/([^/]+)""))"),"Presidente Medici")</f>
        <v>Presidente Medici</v>
      </c>
    </row>
    <row r="4806" customFormat="false" ht="15.75" hidden="false" customHeight="false" outlineLevel="0" collapsed="false">
      <c r="A4806" s="2" t="n">
        <v>244154</v>
      </c>
      <c r="B4806" s="2" t="s">
        <v>3909</v>
      </c>
      <c r="C4806" s="2" t="n">
        <v>2</v>
      </c>
      <c r="D4806" s="2" t="n">
        <v>3</v>
      </c>
      <c r="E4806" s="2" t="n">
        <v>2</v>
      </c>
      <c r="F4806" s="2" t="n">
        <v>90</v>
      </c>
      <c r="G4806" s="2" t="s">
        <v>2667</v>
      </c>
      <c r="H4806" s="2" t="str">
        <f aca="false">IFERROR(__xludf.dummyfunction("IF(I4859="""", """", REGEXEXTRACT(I4859, ""Padrao/([^/]+)""))"),"Bosque das Juritis")</f>
        <v>Bosque das Juritis</v>
      </c>
    </row>
    <row r="4807" customFormat="false" ht="15.75" hidden="false" customHeight="false" outlineLevel="0" collapsed="false">
      <c r="A4807" s="2" t="n">
        <v>221807</v>
      </c>
      <c r="B4807" s="2" t="s">
        <v>3910</v>
      </c>
      <c r="C4807" s="2" t="n">
        <v>2</v>
      </c>
      <c r="D4807" s="2" t="n">
        <v>2</v>
      </c>
      <c r="E4807" s="2" t="n">
        <v>2</v>
      </c>
      <c r="F4807" s="2" t="n">
        <v>82</v>
      </c>
      <c r="G4807" s="2" t="s">
        <v>3911</v>
      </c>
      <c r="H4807" s="2" t="str">
        <f aca="false">IFERROR(__xludf.dummyfunction("IF(I4860="""", """", REGEXEXTRACT(I4860, ""Padrao/([^/]+)""))"),"Alamedas do Botanico")</f>
        <v>Alamedas do Botanico</v>
      </c>
    </row>
    <row r="4808" customFormat="false" ht="15.75" hidden="false" customHeight="false" outlineLevel="0" collapsed="false">
      <c r="A4808" s="2" t="n">
        <v>137285</v>
      </c>
      <c r="B4808" s="2" t="s">
        <v>3912</v>
      </c>
      <c r="C4808" s="2" t="n">
        <v>5</v>
      </c>
      <c r="D4808" s="2" t="n">
        <v>6</v>
      </c>
      <c r="E4808" s="2" t="n">
        <v>4</v>
      </c>
      <c r="F4808" s="2" t="n">
        <v>432</v>
      </c>
      <c r="G4808" s="2" t="s">
        <v>653</v>
      </c>
      <c r="H4808" s="2" t="str">
        <f aca="false">IFERROR(__xludf.dummyfunction("IF(I4861="""", """", REGEXEXTRACT(I4861, ""Padrao/([^/]+)""))"),"Centro")</f>
        <v>Centro</v>
      </c>
    </row>
    <row r="4809" customFormat="false" ht="15.75" hidden="false" customHeight="false" outlineLevel="0" collapsed="false">
      <c r="A4809" s="2" t="n">
        <v>241157</v>
      </c>
      <c r="B4809" s="2" t="s">
        <v>3913</v>
      </c>
      <c r="C4809" s="2" t="n">
        <v>2</v>
      </c>
      <c r="D4809" s="2" t="n">
        <v>3</v>
      </c>
      <c r="E4809" s="2" t="n">
        <v>2</v>
      </c>
      <c r="F4809" s="2" t="n">
        <v>80</v>
      </c>
      <c r="G4809" s="2" t="s">
        <v>3478</v>
      </c>
      <c r="H4809" s="2" t="str">
        <f aca="false">IFERROR(__xludf.dummyfunction("IF(I4862="""", """", REGEXEXTRACT(I4862, ""Padrao/([^/]+)""))"),"Bonfim Paulista")</f>
        <v>Bonfim Paulista</v>
      </c>
    </row>
    <row r="4810" customFormat="false" ht="15.75" hidden="false" customHeight="false" outlineLevel="0" collapsed="false">
      <c r="A4810" s="2" t="n">
        <v>217691</v>
      </c>
      <c r="B4810" s="2" t="s">
        <v>3914</v>
      </c>
      <c r="C4810" s="2" t="n">
        <v>3</v>
      </c>
      <c r="D4810" s="2" t="n">
        <v>4</v>
      </c>
      <c r="E4810" s="2" t="n">
        <v>2</v>
      </c>
      <c r="F4810" s="2" t="n">
        <v>133</v>
      </c>
      <c r="G4810" s="2" t="s">
        <v>654</v>
      </c>
      <c r="H4810" s="2" t="str">
        <f aca="false">IFERROR(__xludf.dummyfunction("IF(I4863="""", """", REGEXEXTRACT(I4863, ""Padrao/([^/]+)""))"),"Jardim Nova Alianca Sul")</f>
        <v>Jardim Nova Alianca Sul</v>
      </c>
    </row>
    <row r="4811" customFormat="false" ht="15.75" hidden="false" customHeight="false" outlineLevel="0" collapsed="false">
      <c r="A4811" s="2" t="n">
        <v>206036</v>
      </c>
      <c r="B4811" s="2" t="s">
        <v>3915</v>
      </c>
      <c r="C4811" s="2" t="n">
        <v>3</v>
      </c>
      <c r="D4811" s="2" t="n">
        <v>3</v>
      </c>
      <c r="E4811" s="2" t="n">
        <v>2</v>
      </c>
      <c r="F4811" s="2" t="n">
        <v>100</v>
      </c>
      <c r="G4811" s="2" t="s">
        <v>652</v>
      </c>
      <c r="H4811" s="2" t="str">
        <f aca="false">IFERROR(__xludf.dummyfunction("IF(I4864="""", """", REGEXEXTRACT(I4864, ""Padrao/([^/]+)""))"),"Jardim Botanico")</f>
        <v>Jardim Botanico</v>
      </c>
    </row>
    <row r="4812" customFormat="false" ht="15.75" hidden="false" customHeight="false" outlineLevel="0" collapsed="false">
      <c r="A4812" s="2" t="n">
        <v>105830</v>
      </c>
      <c r="B4812" s="2" t="s">
        <v>3916</v>
      </c>
      <c r="C4812" s="2" t="n">
        <v>3</v>
      </c>
      <c r="D4812" s="2" t="n">
        <v>4</v>
      </c>
      <c r="E4812" s="2" t="n">
        <v>2</v>
      </c>
      <c r="F4812" s="2" t="n">
        <v>139</v>
      </c>
      <c r="G4812" s="2" t="s">
        <v>3917</v>
      </c>
      <c r="H4812" s="2" t="str">
        <f aca="false">IFERROR(__xludf.dummyfunction("IF(I4865="""", """", REGEXEXTRACT(I4865, ""Padrao/([^/]+)""))"),"Jardim Canada")</f>
        <v>Jardim Canada</v>
      </c>
    </row>
    <row r="4813" customFormat="false" ht="15.75" hidden="false" customHeight="false" outlineLevel="0" collapsed="false">
      <c r="A4813" s="2" t="n">
        <v>123419</v>
      </c>
      <c r="B4813" s="2" t="s">
        <v>3918</v>
      </c>
      <c r="C4813" s="2" t="n">
        <v>3</v>
      </c>
      <c r="D4813" s="2" t="n">
        <v>3</v>
      </c>
      <c r="E4813" s="2" t="n">
        <v>2</v>
      </c>
      <c r="F4813" s="2" t="n">
        <v>101</v>
      </c>
      <c r="G4813" s="2" t="s">
        <v>2667</v>
      </c>
      <c r="H4813" s="2" t="str">
        <f aca="false">IFERROR(__xludf.dummyfunction("IF(I4866="""", """", REGEXEXTRACT(I4866, ""Padrao/([^/]+)""))"),"Nova Alianca")</f>
        <v>Nova Alianca</v>
      </c>
    </row>
    <row r="4814" customFormat="false" ht="15.75" hidden="false" customHeight="false" outlineLevel="0" collapsed="false">
      <c r="A4814" s="2" t="n">
        <v>228170</v>
      </c>
      <c r="B4814" s="2" t="s">
        <v>3919</v>
      </c>
      <c r="C4814" s="2" t="n">
        <v>3</v>
      </c>
      <c r="D4814" s="2" t="n">
        <v>5</v>
      </c>
      <c r="E4814" s="2" t="n">
        <v>3</v>
      </c>
      <c r="F4814" s="2" t="n">
        <v>202</v>
      </c>
      <c r="G4814" s="2" t="s">
        <v>3920</v>
      </c>
      <c r="H4814" s="2" t="str">
        <f aca="false">IFERROR(__xludf.dummyfunction("IF(I4867="""", """", REGEXEXTRACT(I4867, ""Padrao/([^/]+)""))"),"Jardim Iraja")</f>
        <v>Jardim Iraja</v>
      </c>
    </row>
    <row r="4815" customFormat="false" ht="15.75" hidden="false" customHeight="false" outlineLevel="0" collapsed="false">
      <c r="A4815" s="2" t="n">
        <v>153407</v>
      </c>
      <c r="B4815" s="2" t="s">
        <v>71</v>
      </c>
      <c r="C4815" s="2" t="n">
        <v>3</v>
      </c>
      <c r="D4815" s="2" t="n">
        <v>4</v>
      </c>
      <c r="E4815" s="2" t="n">
        <v>3</v>
      </c>
      <c r="F4815" s="2" t="n">
        <v>132</v>
      </c>
      <c r="G4815" s="2" t="s">
        <v>157</v>
      </c>
      <c r="H4815" s="2" t="str">
        <f aca="false">IFERROR(__xludf.dummyfunction("IF(I4868="""", """", REGEXEXTRACT(I4868, ""Padrao/([^/]+)""))"),"Jardim Olhos DAgua")</f>
        <v>Jardim Olhos DAgua</v>
      </c>
    </row>
    <row r="4816" customFormat="false" ht="15.75" hidden="false" customHeight="false" outlineLevel="0" collapsed="false">
      <c r="A4816" s="2" t="n">
        <v>238916</v>
      </c>
      <c r="B4816" s="2" t="s">
        <v>3921</v>
      </c>
      <c r="C4816" s="2" t="n">
        <v>2</v>
      </c>
      <c r="D4816" s="2" t="n">
        <v>1</v>
      </c>
      <c r="E4816" s="2" t="n">
        <v>1</v>
      </c>
      <c r="F4816" s="2" t="n">
        <v>73</v>
      </c>
      <c r="G4816" s="2" t="s">
        <v>3922</v>
      </c>
      <c r="H4816" s="2" t="str">
        <f aca="false">IFERROR(__xludf.dummyfunction("IF(I4869="""", """", REGEXEXTRACT(I4869, ""Padrao/([^/]+)""))"),"Bosque das Juritis")</f>
        <v>Bosque das Juritis</v>
      </c>
    </row>
    <row r="4817" customFormat="false" ht="15.75" hidden="false" customHeight="false" outlineLevel="0" collapsed="false">
      <c r="A4817" s="2" t="n">
        <v>232850</v>
      </c>
      <c r="B4817" s="2" t="s">
        <v>3923</v>
      </c>
      <c r="C4817" s="2" t="n">
        <v>3</v>
      </c>
      <c r="D4817" s="2" t="n">
        <v>4</v>
      </c>
      <c r="E4817" s="2" t="n">
        <v>2</v>
      </c>
      <c r="F4817" s="2" t="n">
        <v>118</v>
      </c>
      <c r="G4817" s="2" t="s">
        <v>157</v>
      </c>
      <c r="H4817" s="2" t="str">
        <f aca="false">IFERROR(__xludf.dummyfunction("IF(I4870="""", """", REGEXEXTRACT(I4870, ""Padrao/([^/]+)""))"),"Jardim Olhos DAgua")</f>
        <v>Jardim Olhos DAgua</v>
      </c>
    </row>
    <row r="4818" customFormat="false" ht="15.75" hidden="false" customHeight="false" outlineLevel="0" collapsed="false">
      <c r="A4818" s="2" t="n">
        <v>193238</v>
      </c>
      <c r="B4818" s="2" t="s">
        <v>602</v>
      </c>
      <c r="C4818" s="2" t="n">
        <v>3</v>
      </c>
      <c r="D4818" s="2" t="n">
        <v>2</v>
      </c>
      <c r="E4818" s="2" t="n">
        <v>1</v>
      </c>
      <c r="F4818" s="2" t="n">
        <v>127</v>
      </c>
      <c r="G4818" s="2" t="s">
        <v>1499</v>
      </c>
      <c r="H4818" s="2" t="str">
        <f aca="false">IFERROR(__xludf.dummyfunction("IF(I4871="""", """", REGEXEXTRACT(I4871, ""Padrao/([^/]+)""))"),"Centro")</f>
        <v>Centro</v>
      </c>
    </row>
    <row r="4819" customFormat="false" ht="15.75" hidden="false" customHeight="false" outlineLevel="0" collapsed="false">
      <c r="A4819" s="2" t="n">
        <v>85055</v>
      </c>
      <c r="B4819" s="2" t="s">
        <v>3924</v>
      </c>
      <c r="C4819" s="2" t="n">
        <v>3</v>
      </c>
      <c r="D4819" s="2" t="n">
        <v>2</v>
      </c>
      <c r="E4819" s="2" t="n">
        <v>1</v>
      </c>
      <c r="F4819" s="2" t="n">
        <v>46</v>
      </c>
      <c r="G4819" s="2" t="s">
        <v>1468</v>
      </c>
      <c r="H4819" s="2" t="str">
        <f aca="false">IFERROR(__xludf.dummyfunction("IF(I4872="""", """", REGEXEXTRACT(I4872, ""Padrao/([^/]+)""))"),"Jardim Paulista")</f>
        <v>Jardim Paulista</v>
      </c>
    </row>
    <row r="4820" customFormat="false" ht="15.75" hidden="false" customHeight="false" outlineLevel="0" collapsed="false">
      <c r="A4820" s="2" t="n">
        <v>159350</v>
      </c>
      <c r="B4820" s="2" t="s">
        <v>3925</v>
      </c>
      <c r="C4820" s="2" t="n">
        <v>1</v>
      </c>
      <c r="D4820" s="2" t="n">
        <v>2</v>
      </c>
      <c r="E4820" s="2" t="n">
        <v>1</v>
      </c>
      <c r="F4820" s="2" t="n">
        <v>90</v>
      </c>
      <c r="G4820" s="2" t="s">
        <v>646</v>
      </c>
      <c r="H4820" s="2" t="str">
        <f aca="false">IFERROR(__xludf.dummyfunction("IF(I4873="""", """", REGEXEXTRACT(I4873, ""Padrao/([^/]+)""))"),"Centro")</f>
        <v>Centro</v>
      </c>
    </row>
    <row r="4821" customFormat="false" ht="15.75" hidden="false" customHeight="false" outlineLevel="0" collapsed="false">
      <c r="A4821" s="2" t="n">
        <v>196283</v>
      </c>
      <c r="B4821" s="2" t="s">
        <v>162</v>
      </c>
      <c r="C4821" s="2" t="n">
        <v>2</v>
      </c>
      <c r="D4821" s="2" t="n">
        <v>2</v>
      </c>
      <c r="E4821" s="2" t="n">
        <v>1</v>
      </c>
      <c r="F4821" s="2" t="n">
        <v>62</v>
      </c>
      <c r="G4821" s="2" t="s">
        <v>648</v>
      </c>
      <c r="H4821" s="2" t="str">
        <f aca="false">IFERROR(__xludf.dummyfunction("IF(I4874="""", """", REGEXEXTRACT(I4874, ""Padrao/([^/]+)""))"),"Ribeirania")</f>
        <v>Ribeirania</v>
      </c>
    </row>
    <row r="4822" customFormat="false" ht="15.75" hidden="false" customHeight="false" outlineLevel="0" collapsed="false">
      <c r="A4822" s="2" t="n">
        <v>177749</v>
      </c>
      <c r="B4822" s="2" t="s">
        <v>1312</v>
      </c>
      <c r="C4822" s="2" t="n">
        <v>3</v>
      </c>
      <c r="D4822" s="2" t="n">
        <v>2</v>
      </c>
      <c r="E4822" s="2" t="n">
        <v>1</v>
      </c>
      <c r="F4822" s="2" t="n">
        <v>111</v>
      </c>
      <c r="G4822" s="2" t="s">
        <v>648</v>
      </c>
      <c r="H4822" s="2" t="str">
        <f aca="false">IFERROR(__xludf.dummyfunction("IF(I4875="""", """", REGEXEXTRACT(I4875, ""Padrao/([^/]+)""))"),"Condominio Itamaraty")</f>
        <v>Condominio Itamaraty</v>
      </c>
    </row>
    <row r="4823" customFormat="false" ht="15.75" hidden="false" customHeight="false" outlineLevel="0" collapsed="false">
      <c r="A4823" s="2" t="n">
        <v>176480</v>
      </c>
      <c r="B4823" s="2" t="s">
        <v>2466</v>
      </c>
      <c r="C4823" s="2" t="n">
        <v>3</v>
      </c>
      <c r="D4823" s="2" t="n">
        <v>4</v>
      </c>
      <c r="E4823" s="2" t="n">
        <v>1</v>
      </c>
      <c r="F4823" s="2" t="n">
        <v>135</v>
      </c>
      <c r="G4823" s="2" t="s">
        <v>648</v>
      </c>
      <c r="H4823" s="2" t="str">
        <f aca="false">IFERROR(__xludf.dummyfunction("IF(I4876="""", """", REGEXEXTRACT(I4876, ""Padrao/([^/]+)""))"),"Jardim Paulistano")</f>
        <v>Jardim Paulistano</v>
      </c>
    </row>
    <row r="4824" customFormat="false" ht="15.75" hidden="false" customHeight="false" outlineLevel="0" collapsed="false">
      <c r="A4824" s="2" t="n">
        <v>98822</v>
      </c>
      <c r="B4824" s="2" t="s">
        <v>3926</v>
      </c>
      <c r="C4824" s="2" t="n">
        <v>3</v>
      </c>
      <c r="D4824" s="2" t="n">
        <v>2</v>
      </c>
      <c r="E4824" s="2" t="n">
        <v>2</v>
      </c>
      <c r="F4824" s="2" t="n">
        <v>110</v>
      </c>
      <c r="G4824" s="2" t="s">
        <v>648</v>
      </c>
      <c r="H4824" s="2" t="str">
        <f aca="false">IFERROR(__xludf.dummyfunction("IF(I4878="""", """", REGEXEXTRACT(I4878, ""Padrao/([^/]+)""))"),"Jardim Paulista")</f>
        <v>Jardim Paulista</v>
      </c>
    </row>
    <row r="4825" customFormat="false" ht="15.75" hidden="false" customHeight="false" outlineLevel="0" collapsed="false">
      <c r="A4825" s="2" t="n">
        <v>95186</v>
      </c>
      <c r="B4825" s="2" t="s">
        <v>1312</v>
      </c>
      <c r="C4825" s="2" t="n">
        <v>3</v>
      </c>
      <c r="D4825" s="2" t="n">
        <v>2</v>
      </c>
      <c r="E4825" s="2" t="n">
        <v>1</v>
      </c>
      <c r="F4825" s="2" t="n">
        <v>111</v>
      </c>
      <c r="G4825" s="2" t="s">
        <v>648</v>
      </c>
      <c r="H4825" s="2" t="str">
        <f aca="false">IFERROR(__xludf.dummyfunction("IF(I4879="""", """", REGEXEXTRACT(I4879, ""Padrao/([^/]+)""))"),"Jardim Iraja")</f>
        <v>Jardim Iraja</v>
      </c>
    </row>
    <row r="4826" customFormat="false" ht="15.75" hidden="false" customHeight="false" outlineLevel="0" collapsed="false">
      <c r="A4826" s="2" t="n">
        <v>87569</v>
      </c>
      <c r="B4826" s="2" t="s">
        <v>3927</v>
      </c>
      <c r="C4826" s="2" t="n">
        <v>2</v>
      </c>
      <c r="D4826" s="2" t="n">
        <v>3</v>
      </c>
      <c r="E4826" s="2" t="n">
        <v>2</v>
      </c>
      <c r="F4826" s="2" t="n">
        <v>87</v>
      </c>
      <c r="G4826" s="2" t="s">
        <v>648</v>
      </c>
      <c r="H4826" s="2" t="str">
        <f aca="false">IFERROR(__xludf.dummyfunction("IF(I4880="""", """", REGEXEXTRACT(I4880, ""Padrao/([^/]+)""))"),"Jardim America")</f>
        <v>Jardim America</v>
      </c>
    </row>
    <row r="4827" customFormat="false" ht="15.75" hidden="false" customHeight="false" outlineLevel="0" collapsed="false">
      <c r="A4827" s="2" t="n">
        <v>161426</v>
      </c>
      <c r="B4827" s="2" t="s">
        <v>602</v>
      </c>
      <c r="C4827" s="2" t="n">
        <v>3</v>
      </c>
      <c r="D4827" s="2" t="n">
        <v>2</v>
      </c>
      <c r="E4827" s="2" t="n">
        <v>1</v>
      </c>
      <c r="F4827" s="2" t="n">
        <v>158</v>
      </c>
      <c r="G4827" s="2" t="s">
        <v>1551</v>
      </c>
      <c r="H4827" s="2" t="str">
        <f aca="false">IFERROR(__xludf.dummyfunction("IF(I4881="""", """", REGEXEXTRACT(I4881, ""Padrao/([^/]+)""))"),"Centro")</f>
        <v>Centro</v>
      </c>
    </row>
    <row r="4828" customFormat="false" ht="15.75" hidden="false" customHeight="false" outlineLevel="0" collapsed="false">
      <c r="A4828" s="2" t="n">
        <v>235397</v>
      </c>
      <c r="B4828" s="2" t="s">
        <v>3928</v>
      </c>
      <c r="C4828" s="2" t="n">
        <v>3</v>
      </c>
      <c r="D4828" s="2" t="n">
        <v>2</v>
      </c>
      <c r="E4828" s="2" t="n">
        <v>2</v>
      </c>
      <c r="F4828" s="2" t="n">
        <v>68</v>
      </c>
      <c r="G4828" s="2" t="s">
        <v>1573</v>
      </c>
      <c r="H4828" s="2" t="str">
        <f aca="false">IFERROR(__xludf.dummyfunction("IF(I4883="""", """", REGEXEXTRACT(I4883, ""Padrao/([^/]+)""))"),"Parque Industrial Lagoinha")</f>
        <v>Parque Industrial Lagoinha</v>
      </c>
    </row>
    <row r="4829" customFormat="false" ht="15.75" hidden="false" customHeight="false" outlineLevel="0" collapsed="false">
      <c r="A4829" s="2" t="n">
        <v>28520</v>
      </c>
      <c r="B4829" s="2" t="s">
        <v>3929</v>
      </c>
      <c r="C4829" s="2" t="n">
        <v>3</v>
      </c>
      <c r="D4829" s="2" t="n">
        <v>2</v>
      </c>
      <c r="E4829" s="2" t="n">
        <v>2</v>
      </c>
      <c r="F4829" s="2" t="n">
        <v>111</v>
      </c>
      <c r="G4829" s="2" t="s">
        <v>1553</v>
      </c>
      <c r="H4829" s="2" t="str">
        <f aca="false">IFERROR(__xludf.dummyfunction("IF(I4884="""", """", REGEXEXTRACT(I4884, ""Padrao/([^/]+)""))"),"Jardim Iraja")</f>
        <v>Jardim Iraja</v>
      </c>
    </row>
    <row r="4830" customFormat="false" ht="15.75" hidden="false" customHeight="false" outlineLevel="0" collapsed="false">
      <c r="A4830" s="2" t="n">
        <v>238025</v>
      </c>
      <c r="B4830" s="2" t="s">
        <v>3930</v>
      </c>
      <c r="C4830" s="2" t="n">
        <v>2</v>
      </c>
      <c r="D4830" s="2" t="n">
        <v>2</v>
      </c>
      <c r="E4830" s="2" t="n">
        <v>2</v>
      </c>
      <c r="F4830" s="2" t="n">
        <v>72</v>
      </c>
      <c r="G4830" s="2" t="s">
        <v>3870</v>
      </c>
      <c r="H4830" s="2" t="str">
        <f aca="false">IFERROR(__xludf.dummyfunction("IF(I4885="""", """", REGEXEXTRACT(I4885, ""Padrao/([^/]+)""))"),"Nova Alianca")</f>
        <v>Nova Alianca</v>
      </c>
    </row>
    <row r="4831" customFormat="false" ht="15.75" hidden="false" customHeight="false" outlineLevel="0" collapsed="false">
      <c r="A4831" s="2" t="n">
        <v>245168</v>
      </c>
      <c r="B4831" s="2" t="s">
        <v>3931</v>
      </c>
      <c r="C4831" s="2" t="n">
        <v>3</v>
      </c>
      <c r="D4831" s="2" t="n">
        <v>2</v>
      </c>
      <c r="E4831" s="2" t="n">
        <v>1</v>
      </c>
      <c r="F4831" s="2" t="n">
        <v>105</v>
      </c>
      <c r="G4831" s="2" t="s">
        <v>649</v>
      </c>
      <c r="H4831" s="2" t="str">
        <f aca="false">IFERROR(__xludf.dummyfunction("IF(I4886="""", """", REGEXEXTRACT(I4886, ""Padrao/([^/]+)""))"),"Jardim Iraja")</f>
        <v>Jardim Iraja</v>
      </c>
    </row>
    <row r="4832" customFormat="false" ht="15.75" hidden="false" customHeight="false" outlineLevel="0" collapsed="false">
      <c r="A4832" s="2" t="n">
        <v>244505</v>
      </c>
      <c r="B4832" s="2" t="s">
        <v>3932</v>
      </c>
      <c r="C4832" s="2" t="n">
        <v>3</v>
      </c>
      <c r="D4832" s="2" t="n">
        <v>3</v>
      </c>
      <c r="E4832" s="2" t="n">
        <v>2</v>
      </c>
      <c r="F4832" s="2" t="n">
        <v>86</v>
      </c>
      <c r="G4832" s="2" t="s">
        <v>649</v>
      </c>
      <c r="H4832" s="2" t="str">
        <f aca="false">IFERROR(__xludf.dummyfunction("IF(I4887="""", """", REGEXEXTRACT(I4887, ""Padrao/([^/]+)""))"),"Condominio Itamaraty")</f>
        <v>Condominio Itamaraty</v>
      </c>
    </row>
    <row r="4833" customFormat="false" ht="15.75" hidden="false" customHeight="false" outlineLevel="0" collapsed="false">
      <c r="A4833" s="2" t="n">
        <v>242324</v>
      </c>
      <c r="B4833" s="2" t="s">
        <v>3933</v>
      </c>
      <c r="C4833" s="2" t="n">
        <v>3</v>
      </c>
      <c r="D4833" s="2" t="n">
        <v>3</v>
      </c>
      <c r="E4833" s="2" t="n">
        <v>1</v>
      </c>
      <c r="F4833" s="2" t="n">
        <v>95</v>
      </c>
      <c r="G4833" s="2" t="s">
        <v>649</v>
      </c>
      <c r="H4833" s="2" t="str">
        <f aca="false">IFERROR(__xludf.dummyfunction("IF(I4888="""", """", REGEXEXTRACT(I4888, ""Padrao/([^/]+)""))"),"Jardim Paulista")</f>
        <v>Jardim Paulista</v>
      </c>
    </row>
    <row r="4834" customFormat="false" ht="15.75" hidden="false" customHeight="false" outlineLevel="0" collapsed="false">
      <c r="A4834" s="2" t="n">
        <v>240620</v>
      </c>
      <c r="B4834" s="2" t="s">
        <v>3934</v>
      </c>
      <c r="C4834" s="2" t="n">
        <v>3</v>
      </c>
      <c r="D4834" s="2" t="n">
        <v>2</v>
      </c>
      <c r="E4834" s="2" t="n">
        <v>2</v>
      </c>
      <c r="F4834" s="2" t="n">
        <v>75</v>
      </c>
      <c r="G4834" s="2" t="s">
        <v>649</v>
      </c>
      <c r="H4834" s="2" t="str">
        <f aca="false">IFERROR(__xludf.dummyfunction("IF(I4889="""", """", REGEXEXTRACT(I4889, ""Padrao/([^/]+)""))"),"Jardim Botanico")</f>
        <v>Jardim Botanico</v>
      </c>
    </row>
    <row r="4835" customFormat="false" ht="15.75" hidden="false" customHeight="false" outlineLevel="0" collapsed="false">
      <c r="A4835" s="2" t="n">
        <v>235202</v>
      </c>
      <c r="B4835" s="2" t="s">
        <v>3622</v>
      </c>
      <c r="C4835" s="2" t="n">
        <v>3</v>
      </c>
      <c r="D4835" s="2" t="n">
        <v>2</v>
      </c>
      <c r="E4835" s="2" t="n">
        <v>1</v>
      </c>
      <c r="F4835" s="2" t="n">
        <v>102</v>
      </c>
      <c r="G4835" s="2" t="s">
        <v>649</v>
      </c>
      <c r="H4835" s="2" t="str">
        <f aca="false">IFERROR(__xludf.dummyfunction("IF(I4890="""", """", REGEXEXTRACT(I4890, ""Padrao/([^/]+)""))"),"Centro")</f>
        <v>Centro</v>
      </c>
    </row>
    <row r="4836" customFormat="false" ht="15.75" hidden="false" customHeight="false" outlineLevel="0" collapsed="false">
      <c r="A4836" s="2" t="n">
        <v>230900</v>
      </c>
      <c r="B4836" s="2" t="s">
        <v>3935</v>
      </c>
      <c r="C4836" s="2" t="n">
        <v>2</v>
      </c>
      <c r="D4836" s="2" t="n">
        <v>2</v>
      </c>
      <c r="E4836" s="2" t="n">
        <v>1</v>
      </c>
      <c r="F4836" s="2" t="n">
        <v>52</v>
      </c>
      <c r="G4836" s="2" t="s">
        <v>649</v>
      </c>
      <c r="H4836" s="2" t="str">
        <f aca="false">IFERROR(__xludf.dummyfunction("IF(I4891="""", """", REGEXEXTRACT(I4891, ""Padrao/([^/]+)""))"),"Quintas de Sao Jose")</f>
        <v>Quintas de Sao Jose</v>
      </c>
    </row>
    <row r="4837" customFormat="false" ht="15.75" hidden="false" customHeight="false" outlineLevel="0" collapsed="false">
      <c r="A4837" s="2" t="n">
        <v>226469</v>
      </c>
      <c r="B4837" s="2" t="s">
        <v>3936</v>
      </c>
      <c r="C4837" s="2" t="n">
        <v>2</v>
      </c>
      <c r="D4837" s="2" t="n">
        <v>2</v>
      </c>
      <c r="E4837" s="2" t="n">
        <v>1</v>
      </c>
      <c r="F4837" s="2" t="n">
        <v>58</v>
      </c>
      <c r="G4837" s="2" t="s">
        <v>649</v>
      </c>
      <c r="H4837" s="2" t="str">
        <f aca="false">IFERROR(__xludf.dummyfunction("IF(I4892="""", """", REGEXEXTRACT(I4892, ""Padrao/([^/]+)""))"),"Ribeirania")</f>
        <v>Ribeirania</v>
      </c>
    </row>
    <row r="4838" customFormat="false" ht="15.75" hidden="false" customHeight="false" outlineLevel="0" collapsed="false">
      <c r="A4838" s="2" t="n">
        <v>216452</v>
      </c>
      <c r="B4838" s="2" t="s">
        <v>3937</v>
      </c>
      <c r="C4838" s="2" t="n">
        <v>2</v>
      </c>
      <c r="D4838" s="2" t="n">
        <v>2</v>
      </c>
      <c r="E4838" s="2" t="n">
        <v>1</v>
      </c>
      <c r="F4838" s="2" t="n">
        <v>71</v>
      </c>
      <c r="G4838" s="2" t="s">
        <v>649</v>
      </c>
      <c r="H4838" s="2" t="str">
        <f aca="false">IFERROR(__xludf.dummyfunction("IF(I4893="""", """", REGEXEXTRACT(I4893, ""Padrao/([^/]+)""))"),"Ribeirania")</f>
        <v>Ribeirania</v>
      </c>
    </row>
    <row r="4839" customFormat="false" ht="15.75" hidden="false" customHeight="false" outlineLevel="0" collapsed="false">
      <c r="A4839" s="2" t="n">
        <v>214595</v>
      </c>
      <c r="B4839" s="2" t="s">
        <v>3938</v>
      </c>
      <c r="C4839" s="2" t="n">
        <v>2</v>
      </c>
      <c r="D4839" s="2" t="n">
        <v>2</v>
      </c>
      <c r="E4839" s="2" t="n">
        <v>2</v>
      </c>
      <c r="F4839" s="2" t="n">
        <v>80</v>
      </c>
      <c r="G4839" s="2" t="s">
        <v>649</v>
      </c>
      <c r="H4839" s="2" t="str">
        <f aca="false">IFERROR(__xludf.dummyfunction("IF(I4894="""", """", REGEXEXTRACT(I4894, ""Padrao/([^/]+)""))"),"Nova Alianca")</f>
        <v>Nova Alianca</v>
      </c>
    </row>
    <row r="4840" customFormat="false" ht="15.75" hidden="false" customHeight="false" outlineLevel="0" collapsed="false">
      <c r="A4840" s="2" t="n">
        <v>204152</v>
      </c>
      <c r="B4840" s="2" t="s">
        <v>3939</v>
      </c>
      <c r="C4840" s="2" t="n">
        <v>2</v>
      </c>
      <c r="D4840" s="2" t="n">
        <v>2</v>
      </c>
      <c r="E4840" s="2" t="n">
        <v>1</v>
      </c>
      <c r="F4840" s="2" t="n">
        <v>61</v>
      </c>
      <c r="G4840" s="2" t="s">
        <v>649</v>
      </c>
      <c r="H4840" s="2" t="str">
        <f aca="false">IFERROR(__xludf.dummyfunction("IF(I4895="""", """", REGEXEXTRACT(I4895, ""Padrao/([^/]+)""))"),"Quinta da Primavera")</f>
        <v>Quinta da Primavera</v>
      </c>
    </row>
    <row r="4841" customFormat="false" ht="15.75" hidden="false" customHeight="false" outlineLevel="0" collapsed="false">
      <c r="A4841" s="2" t="n">
        <v>199064</v>
      </c>
      <c r="B4841" s="2" t="s">
        <v>3940</v>
      </c>
      <c r="C4841" s="2" t="n">
        <v>2</v>
      </c>
      <c r="D4841" s="2" t="n">
        <v>1</v>
      </c>
      <c r="E4841" s="2" t="n">
        <v>1</v>
      </c>
      <c r="F4841" s="2" t="n">
        <v>58</v>
      </c>
      <c r="G4841" s="2" t="s">
        <v>649</v>
      </c>
      <c r="H4841" s="2" t="str">
        <f aca="false">IFERROR(__xludf.dummyfunction("IF(I4896="""", """", REGEXEXTRACT(I4896, ""Padrao/([^/]+)""))"),"Ribeirania")</f>
        <v>Ribeirania</v>
      </c>
    </row>
    <row r="4842" customFormat="false" ht="15.75" hidden="false" customHeight="false" outlineLevel="0" collapsed="false">
      <c r="A4842" s="2" t="n">
        <v>196025</v>
      </c>
      <c r="B4842" s="2" t="s">
        <v>3941</v>
      </c>
      <c r="C4842" s="2" t="n">
        <v>1</v>
      </c>
      <c r="D4842" s="2" t="n">
        <v>1</v>
      </c>
      <c r="E4842" s="2" t="n">
        <v>1</v>
      </c>
      <c r="F4842" s="2" t="n">
        <v>35</v>
      </c>
      <c r="G4842" s="2" t="s">
        <v>649</v>
      </c>
      <c r="H4842" s="2" t="str">
        <f aca="false">IFERROR(__xludf.dummyfunction("IF(I4897="""", """", REGEXEXTRACT(I4897, ""Padrao/([^/]+)""))"),"Vila Amelia")</f>
        <v>Vila Amelia</v>
      </c>
    </row>
    <row r="4843" customFormat="false" ht="15.75" hidden="false" customHeight="false" outlineLevel="0" collapsed="false">
      <c r="A4843" s="2" t="n">
        <v>188579</v>
      </c>
      <c r="B4843" s="2" t="s">
        <v>3942</v>
      </c>
      <c r="C4843" s="2" t="n">
        <v>3</v>
      </c>
      <c r="D4843" s="2" t="n">
        <v>1</v>
      </c>
      <c r="E4843" s="2" t="n">
        <v>1</v>
      </c>
      <c r="F4843" s="2" t="n">
        <v>132</v>
      </c>
      <c r="G4843" s="2" t="s">
        <v>649</v>
      </c>
      <c r="H4843" s="2" t="str">
        <f aca="false">IFERROR(__xludf.dummyfunction("IF(I4898="""", """", REGEXEXTRACT(I4898, ""Padrao/([^/]+)""))"),"Vila Seixas")</f>
        <v>Vila Seixas</v>
      </c>
    </row>
    <row r="4844" customFormat="false" ht="15.75" hidden="false" customHeight="false" outlineLevel="0" collapsed="false">
      <c r="A4844" s="2" t="n">
        <v>178610</v>
      </c>
      <c r="B4844" s="2" t="s">
        <v>3943</v>
      </c>
      <c r="C4844" s="2" t="n">
        <v>3</v>
      </c>
      <c r="D4844" s="2" t="n">
        <v>2</v>
      </c>
      <c r="E4844" s="2" t="n">
        <v>2</v>
      </c>
      <c r="F4844" s="2" t="n">
        <v>107</v>
      </c>
      <c r="G4844" s="2" t="s">
        <v>649</v>
      </c>
      <c r="H4844" s="2" t="str">
        <f aca="false">IFERROR(__xludf.dummyfunction("IF(I4899="""", """", REGEXEXTRACT(I4899, ""Padrao/([^/]+)""))"),"Jardim Paulista")</f>
        <v>Jardim Paulista</v>
      </c>
    </row>
    <row r="4845" customFormat="false" ht="15.75" hidden="false" customHeight="false" outlineLevel="0" collapsed="false">
      <c r="A4845" s="2" t="n">
        <v>174545</v>
      </c>
      <c r="B4845" s="2" t="s">
        <v>3944</v>
      </c>
      <c r="C4845" s="2" t="n">
        <v>3</v>
      </c>
      <c r="D4845" s="2" t="n">
        <v>3</v>
      </c>
      <c r="E4845" s="2" t="n">
        <v>2</v>
      </c>
      <c r="F4845" s="2" t="n">
        <v>111</v>
      </c>
      <c r="G4845" s="2" t="s">
        <v>649</v>
      </c>
      <c r="H4845" s="2" t="str">
        <f aca="false">IFERROR(__xludf.dummyfunction("IF(I4900="""", """", REGEXEXTRACT(I4900, ""Padrao/([^/]+)""))"),"Jardim Iraja")</f>
        <v>Jardim Iraja</v>
      </c>
    </row>
    <row r="4846" customFormat="false" ht="15.75" hidden="false" customHeight="false" outlineLevel="0" collapsed="false">
      <c r="A4846" s="2" t="n">
        <v>169562</v>
      </c>
      <c r="B4846" s="2" t="s">
        <v>602</v>
      </c>
      <c r="C4846" s="2" t="n">
        <v>3</v>
      </c>
      <c r="D4846" s="2" t="n">
        <v>3</v>
      </c>
      <c r="E4846" s="2" t="n">
        <v>1</v>
      </c>
      <c r="F4846" s="2" t="n">
        <v>140</v>
      </c>
      <c r="G4846" s="2" t="s">
        <v>649</v>
      </c>
      <c r="H4846" s="2" t="str">
        <f aca="false">IFERROR(__xludf.dummyfunction("IF(I4901="""", """", REGEXEXTRACT(I4901, ""Padrao/([^/]+)""))"),"Centro")</f>
        <v>Centro</v>
      </c>
    </row>
    <row r="4847" customFormat="false" ht="15.75" hidden="false" customHeight="false" outlineLevel="0" collapsed="false">
      <c r="A4847" s="2" t="n">
        <v>168347</v>
      </c>
      <c r="B4847" s="2" t="s">
        <v>3945</v>
      </c>
      <c r="C4847" s="2" t="n">
        <v>1</v>
      </c>
      <c r="D4847" s="2" t="n">
        <v>1</v>
      </c>
      <c r="E4847" s="2" t="n">
        <v>1</v>
      </c>
      <c r="F4847" s="2" t="n">
        <v>42</v>
      </c>
      <c r="G4847" s="2" t="s">
        <v>649</v>
      </c>
      <c r="H4847" s="2" t="str">
        <f aca="false">IFERROR(__xludf.dummyfunction("IF(I4902="""", """", REGEXEXTRACT(I4902, ""Padrao/([^/]+)""))"),"Nova Alianca")</f>
        <v>Nova Alianca</v>
      </c>
    </row>
    <row r="4848" customFormat="false" ht="15.75" hidden="false" customHeight="false" outlineLevel="0" collapsed="false">
      <c r="A4848" s="2" t="n">
        <v>147635</v>
      </c>
      <c r="B4848" s="2" t="s">
        <v>1149</v>
      </c>
      <c r="C4848" s="2" t="n">
        <v>2</v>
      </c>
      <c r="D4848" s="2" t="n">
        <v>2</v>
      </c>
      <c r="E4848" s="2" t="n">
        <v>1</v>
      </c>
      <c r="F4848" s="2" t="n">
        <v>61</v>
      </c>
      <c r="G4848" s="2" t="s">
        <v>649</v>
      </c>
      <c r="H4848" s="2" t="str">
        <f aca="false">IFERROR(__xludf.dummyfunction("IF(I4903="""", """", REGEXEXTRACT(I4903, ""Padrao/([^/]+)""))"),"Ribeirania")</f>
        <v>Ribeirania</v>
      </c>
    </row>
    <row r="4849" customFormat="false" ht="15.75" hidden="false" customHeight="false" outlineLevel="0" collapsed="false">
      <c r="A4849" s="2" t="n">
        <v>146804</v>
      </c>
      <c r="B4849" s="2" t="s">
        <v>3946</v>
      </c>
      <c r="C4849" s="2" t="n">
        <v>3</v>
      </c>
      <c r="D4849" s="2" t="n">
        <v>4</v>
      </c>
      <c r="E4849" s="2" t="n">
        <v>1</v>
      </c>
      <c r="F4849" s="2" t="n">
        <v>165</v>
      </c>
      <c r="G4849" s="2" t="s">
        <v>649</v>
      </c>
      <c r="H4849" s="2" t="str">
        <f aca="false">IFERROR(__xludf.dummyfunction("IF(I4904="""", """", REGEXEXTRACT(I4904, ""Padrao/([^/]+)""))"),"Centro")</f>
        <v>Centro</v>
      </c>
    </row>
    <row r="4850" customFormat="false" ht="15.75" hidden="false" customHeight="false" outlineLevel="0" collapsed="false">
      <c r="A4850" s="2" t="n">
        <v>145205</v>
      </c>
      <c r="B4850" s="2" t="s">
        <v>3947</v>
      </c>
      <c r="C4850" s="2" t="n">
        <v>3</v>
      </c>
      <c r="D4850" s="2" t="n">
        <v>2</v>
      </c>
      <c r="E4850" s="2" t="n">
        <v>2</v>
      </c>
      <c r="F4850" s="2" t="n">
        <v>96</v>
      </c>
      <c r="G4850" s="2" t="s">
        <v>649</v>
      </c>
      <c r="H4850" s="2" t="str">
        <f aca="false">IFERROR(__xludf.dummyfunction("IF(I4905="""", """", REGEXEXTRACT(I4905, ""Padrao/([^/]+)""))"),"Santa Cruz do Jose Jacques")</f>
        <v>Santa Cruz do Jose Jacques</v>
      </c>
    </row>
    <row r="4851" customFormat="false" ht="15.75" hidden="false" customHeight="false" outlineLevel="0" collapsed="false">
      <c r="A4851" s="2" t="n">
        <v>133865</v>
      </c>
      <c r="B4851" s="2" t="s">
        <v>1262</v>
      </c>
      <c r="C4851" s="2" t="n">
        <v>3</v>
      </c>
      <c r="D4851" s="2" t="n">
        <v>2</v>
      </c>
      <c r="E4851" s="2" t="n">
        <v>1</v>
      </c>
      <c r="F4851" s="2" t="n">
        <v>88</v>
      </c>
      <c r="G4851" s="2" t="s">
        <v>649</v>
      </c>
      <c r="H4851" s="2" t="str">
        <f aca="false">IFERROR(__xludf.dummyfunction("IF(I4906="""", """", REGEXEXTRACT(I4906, ""Padrao/([^/]+)""))"),"Jardim Palma Travassos")</f>
        <v>Jardim Palma Travassos</v>
      </c>
    </row>
    <row r="4852" customFormat="false" ht="15.75" hidden="false" customHeight="false" outlineLevel="0" collapsed="false">
      <c r="A4852" s="2" t="n">
        <v>131399</v>
      </c>
      <c r="B4852" s="2" t="s">
        <v>3948</v>
      </c>
      <c r="C4852" s="2" t="n">
        <v>2</v>
      </c>
      <c r="D4852" s="2" t="n">
        <v>2</v>
      </c>
      <c r="E4852" s="2" t="n">
        <v>2</v>
      </c>
      <c r="F4852" s="2" t="n">
        <v>83</v>
      </c>
      <c r="G4852" s="2" t="s">
        <v>649</v>
      </c>
      <c r="H4852" s="2" t="str">
        <f aca="false">IFERROR(__xludf.dummyfunction("IF(I4907="""", """", REGEXEXTRACT(I4907, ""Padrao/([^/]+)""))"),"Centro")</f>
        <v>Centro</v>
      </c>
    </row>
    <row r="4853" customFormat="false" ht="15.75" hidden="false" customHeight="false" outlineLevel="0" collapsed="false">
      <c r="A4853" s="2" t="n">
        <v>130313</v>
      </c>
      <c r="B4853" s="2" t="s">
        <v>3949</v>
      </c>
      <c r="C4853" s="2" t="n">
        <v>2</v>
      </c>
      <c r="D4853" s="2" t="n">
        <v>2</v>
      </c>
      <c r="E4853" s="2" t="n">
        <v>1</v>
      </c>
      <c r="F4853" s="2" t="n">
        <v>58</v>
      </c>
      <c r="G4853" s="2" t="s">
        <v>649</v>
      </c>
      <c r="H4853" s="2" t="str">
        <f aca="false">IFERROR(__xludf.dummyfunction("IF(I4908="""", """", REGEXEXTRACT(I4908, ""Padrao/([^/]+)""))"),"Ribeirania")</f>
        <v>Ribeirania</v>
      </c>
    </row>
    <row r="4854" customFormat="false" ht="15.75" hidden="false" customHeight="false" outlineLevel="0" collapsed="false">
      <c r="A4854" s="2" t="n">
        <v>126716</v>
      </c>
      <c r="B4854" s="2" t="s">
        <v>3950</v>
      </c>
      <c r="C4854" s="2" t="n">
        <v>2</v>
      </c>
      <c r="D4854" s="2" t="n">
        <v>3</v>
      </c>
      <c r="E4854" s="2" t="n">
        <v>2</v>
      </c>
      <c r="F4854" s="2" t="n">
        <v>74</v>
      </c>
      <c r="G4854" s="2" t="s">
        <v>649</v>
      </c>
      <c r="H4854" s="2" t="str">
        <f aca="false">IFERROR(__xludf.dummyfunction("IF(I4909="""", """", REGEXEXTRACT(I4909, ""Padrao/([^/]+)""))"),"Centro")</f>
        <v>Centro</v>
      </c>
    </row>
    <row r="4855" customFormat="false" ht="15.75" hidden="false" customHeight="false" outlineLevel="0" collapsed="false">
      <c r="A4855" s="2" t="n">
        <v>126713</v>
      </c>
      <c r="B4855" s="2" t="s">
        <v>3950</v>
      </c>
      <c r="C4855" s="2" t="n">
        <v>2</v>
      </c>
      <c r="D4855" s="2" t="n">
        <v>3</v>
      </c>
      <c r="E4855" s="2" t="n">
        <v>2</v>
      </c>
      <c r="F4855" s="2" t="n">
        <v>74</v>
      </c>
      <c r="G4855" s="2" t="s">
        <v>649</v>
      </c>
      <c r="H4855" s="2" t="str">
        <f aca="false">IFERROR(__xludf.dummyfunction("IF(I4910="""", """", REGEXEXTRACT(I4910, ""Padrao/([^/]+)""))"),"Centro")</f>
        <v>Centro</v>
      </c>
    </row>
    <row r="4856" customFormat="false" ht="15.75" hidden="false" customHeight="false" outlineLevel="0" collapsed="false">
      <c r="A4856" s="2" t="n">
        <v>126707</v>
      </c>
      <c r="B4856" s="2" t="s">
        <v>3951</v>
      </c>
      <c r="C4856" s="2" t="n">
        <v>2</v>
      </c>
      <c r="D4856" s="2" t="n">
        <v>3</v>
      </c>
      <c r="E4856" s="2" t="n">
        <v>1</v>
      </c>
      <c r="F4856" s="2" t="n">
        <v>72</v>
      </c>
      <c r="G4856" s="2" t="s">
        <v>649</v>
      </c>
      <c r="H4856" s="2" t="str">
        <f aca="false">IFERROR(__xludf.dummyfunction("IF(I4911="""", """", REGEXEXTRACT(I4911, ""Padrao/([^/]+)""))"),"Centro")</f>
        <v>Centro</v>
      </c>
    </row>
    <row r="4857" customFormat="false" ht="15.75" hidden="false" customHeight="false" outlineLevel="0" collapsed="false">
      <c r="A4857" s="2" t="n">
        <v>120887</v>
      </c>
      <c r="B4857" s="2" t="s">
        <v>3952</v>
      </c>
      <c r="C4857" s="2" t="n">
        <v>2</v>
      </c>
      <c r="D4857" s="2" t="n">
        <v>2</v>
      </c>
      <c r="E4857" s="2" t="n">
        <v>1</v>
      </c>
      <c r="F4857" s="2" t="n">
        <v>58</v>
      </c>
      <c r="G4857" s="2" t="s">
        <v>649</v>
      </c>
      <c r="H4857" s="2" t="str">
        <f aca="false">IFERROR(__xludf.dummyfunction("IF(I4912="""", """", REGEXEXTRACT(I4912, ""Padrao/([^/]+)""))"),"Ribeirania")</f>
        <v>Ribeirania</v>
      </c>
    </row>
    <row r="4858" customFormat="false" ht="15.75" hidden="false" customHeight="false" outlineLevel="0" collapsed="false">
      <c r="A4858" s="2" t="n">
        <v>120698</v>
      </c>
      <c r="B4858" s="2" t="s">
        <v>3953</v>
      </c>
      <c r="C4858" s="2" t="n">
        <v>2</v>
      </c>
      <c r="D4858" s="2" t="n">
        <v>2</v>
      </c>
      <c r="E4858" s="2" t="n">
        <v>1</v>
      </c>
      <c r="F4858" s="2" t="n">
        <v>70</v>
      </c>
      <c r="G4858" s="2" t="s">
        <v>649</v>
      </c>
      <c r="H4858" s="2" t="str">
        <f aca="false">IFERROR(__xludf.dummyfunction("IF(I4913="""", """", REGEXEXTRACT(I4913, ""Padrao/([^/]+)""))"),"Jardim Novo Mundo")</f>
        <v>Jardim Novo Mundo</v>
      </c>
    </row>
    <row r="4859" customFormat="false" ht="15.75" hidden="false" customHeight="false" outlineLevel="0" collapsed="false">
      <c r="A4859" s="2" t="n">
        <v>120695</v>
      </c>
      <c r="B4859" s="2" t="s">
        <v>3767</v>
      </c>
      <c r="C4859" s="2" t="n">
        <v>2</v>
      </c>
      <c r="D4859" s="2" t="n">
        <v>2</v>
      </c>
      <c r="E4859" s="2" t="n">
        <v>1</v>
      </c>
      <c r="F4859" s="2" t="n">
        <v>70</v>
      </c>
      <c r="G4859" s="2" t="s">
        <v>649</v>
      </c>
      <c r="H4859" s="2" t="str">
        <f aca="false">IFERROR(__xludf.dummyfunction("IF(I4914="""", """", REGEXEXTRACT(I4914, ""Padrao/([^/]+)""))"),"Jardim Novo Mundo")</f>
        <v>Jardim Novo Mundo</v>
      </c>
    </row>
    <row r="4860" customFormat="false" ht="15.75" hidden="false" customHeight="false" outlineLevel="0" collapsed="false">
      <c r="A4860" s="2" t="n">
        <v>120689</v>
      </c>
      <c r="B4860" s="2" t="s">
        <v>3767</v>
      </c>
      <c r="C4860" s="2" t="n">
        <v>2</v>
      </c>
      <c r="D4860" s="2" t="n">
        <v>2</v>
      </c>
      <c r="E4860" s="2" t="n">
        <v>1</v>
      </c>
      <c r="F4860" s="2" t="n">
        <v>70</v>
      </c>
      <c r="G4860" s="2" t="s">
        <v>649</v>
      </c>
      <c r="H4860" s="2" t="str">
        <f aca="false">IFERROR(__xludf.dummyfunction("IF(I4915="""", """", REGEXEXTRACT(I4915, ""Padrao/([^/]+)""))"),"Jardim Novo Mundo")</f>
        <v>Jardim Novo Mundo</v>
      </c>
    </row>
    <row r="4861" customFormat="false" ht="15.75" hidden="false" customHeight="false" outlineLevel="0" collapsed="false">
      <c r="A4861" s="2" t="n">
        <v>120179</v>
      </c>
      <c r="B4861" s="2" t="s">
        <v>2970</v>
      </c>
      <c r="C4861" s="2" t="n">
        <v>3</v>
      </c>
      <c r="D4861" s="2" t="n">
        <v>3</v>
      </c>
      <c r="E4861" s="2" t="n">
        <v>1</v>
      </c>
      <c r="F4861" s="2" t="n">
        <v>129</v>
      </c>
      <c r="G4861" s="2" t="s">
        <v>649</v>
      </c>
      <c r="H4861" s="2" t="str">
        <f aca="false">IFERROR(__xludf.dummyfunction("IF(I4916="""", """", REGEXEXTRACT(I4916, ""Padrao/([^/]+)""))"),"Centro")</f>
        <v>Centro</v>
      </c>
    </row>
    <row r="4862" customFormat="false" ht="15.75" hidden="false" customHeight="false" outlineLevel="0" collapsed="false">
      <c r="A4862" s="2" t="n">
        <v>109466</v>
      </c>
      <c r="B4862" s="2" t="s">
        <v>3954</v>
      </c>
      <c r="C4862" s="2" t="n">
        <v>4</v>
      </c>
      <c r="D4862" s="2" t="n">
        <v>3</v>
      </c>
      <c r="E4862" s="2" t="n">
        <v>2</v>
      </c>
      <c r="F4862" s="2" t="n">
        <v>122</v>
      </c>
      <c r="G4862" s="2" t="s">
        <v>649</v>
      </c>
      <c r="H4862" s="2" t="str">
        <f aca="false">IFERROR(__xludf.dummyfunction("IF(I4917="""", """", REGEXEXTRACT(I4917, ""Padrao/([^/]+)""))"),"Centro")</f>
        <v>Centro</v>
      </c>
    </row>
    <row r="4863" customFormat="false" ht="15.75" hidden="false" customHeight="false" outlineLevel="0" collapsed="false">
      <c r="A4863" s="2" t="n">
        <v>106403</v>
      </c>
      <c r="B4863" s="2" t="s">
        <v>2000</v>
      </c>
      <c r="C4863" s="2" t="n">
        <v>3</v>
      </c>
      <c r="D4863" s="2" t="n">
        <v>2</v>
      </c>
      <c r="E4863" s="2" t="n">
        <v>2</v>
      </c>
      <c r="F4863" s="2" t="n">
        <v>83</v>
      </c>
      <c r="G4863" s="2" t="s">
        <v>649</v>
      </c>
      <c r="H4863" s="2" t="str">
        <f aca="false">IFERROR(__xludf.dummyfunction("IF(I4918="""", """", REGEXEXTRACT(I4918, ""Padrao/([^/]+)""))"),"Jardim Botanico")</f>
        <v>Jardim Botanico</v>
      </c>
    </row>
    <row r="4864" customFormat="false" ht="15.75" hidden="false" customHeight="false" outlineLevel="0" collapsed="false">
      <c r="A4864" s="2" t="n">
        <v>104618</v>
      </c>
      <c r="B4864" s="2" t="s">
        <v>3797</v>
      </c>
      <c r="C4864" s="2" t="n">
        <v>3</v>
      </c>
      <c r="D4864" s="2" t="n">
        <v>3</v>
      </c>
      <c r="E4864" s="2" t="n">
        <v>2</v>
      </c>
      <c r="F4864" s="2" t="n">
        <v>85</v>
      </c>
      <c r="G4864" s="2" t="s">
        <v>649</v>
      </c>
      <c r="H4864" s="2" t="str">
        <f aca="false">IFERROR(__xludf.dummyfunction("IF(I4919="""", """", REGEXEXTRACT(I4919, ""Padrao/([^/]+)""))"),"Santa Cruz do Jose Jacques")</f>
        <v>Santa Cruz do Jose Jacques</v>
      </c>
    </row>
    <row r="4865" customFormat="false" ht="15.75" hidden="false" customHeight="false" outlineLevel="0" collapsed="false">
      <c r="A4865" s="2" t="n">
        <v>102374</v>
      </c>
      <c r="B4865" s="2" t="s">
        <v>3955</v>
      </c>
      <c r="C4865" s="2" t="n">
        <v>3</v>
      </c>
      <c r="D4865" s="2" t="n">
        <v>2</v>
      </c>
      <c r="E4865" s="2" t="n">
        <v>1</v>
      </c>
      <c r="F4865" s="2" t="n">
        <v>103</v>
      </c>
      <c r="G4865" s="2" t="s">
        <v>649</v>
      </c>
      <c r="H4865" s="2" t="str">
        <f aca="false">IFERROR(__xludf.dummyfunction("IF(I4920="""", """", REGEXEXTRACT(I4920, ""Padrao/([^/]+)""))"),"Vila Monte Alegre")</f>
        <v>Vila Monte Alegre</v>
      </c>
    </row>
    <row r="4866" customFormat="false" ht="15.75" hidden="false" customHeight="false" outlineLevel="0" collapsed="false">
      <c r="A4866" s="2" t="n">
        <v>93674</v>
      </c>
      <c r="B4866" s="2" t="s">
        <v>602</v>
      </c>
      <c r="C4866" s="2" t="n">
        <v>1</v>
      </c>
      <c r="D4866" s="2" t="n">
        <v>1</v>
      </c>
      <c r="E4866" s="2" t="n">
        <v>1</v>
      </c>
      <c r="F4866" s="2" t="n">
        <v>42</v>
      </c>
      <c r="G4866" s="2" t="s">
        <v>649</v>
      </c>
      <c r="H4866" s="2" t="str">
        <f aca="false">IFERROR(__xludf.dummyfunction("IF(I4921="""", """", REGEXEXTRACT(I4921, ""Padrao/([^/]+)""))"),"Vila Seixas")</f>
        <v>Vila Seixas</v>
      </c>
    </row>
    <row r="4867" customFormat="false" ht="15.75" hidden="false" customHeight="false" outlineLevel="0" collapsed="false">
      <c r="A4867" s="2" t="n">
        <v>85280</v>
      </c>
      <c r="B4867" s="2" t="s">
        <v>3761</v>
      </c>
      <c r="C4867" s="2" t="n">
        <v>2</v>
      </c>
      <c r="D4867" s="2" t="n">
        <v>2</v>
      </c>
      <c r="E4867" s="2" t="n">
        <v>2</v>
      </c>
      <c r="F4867" s="2" t="n">
        <v>82</v>
      </c>
      <c r="G4867" s="2" t="s">
        <v>649</v>
      </c>
      <c r="H4867" s="2" t="str">
        <f aca="false">IFERROR(__xludf.dummyfunction("IF(I4922="""", """", REGEXEXTRACT(I4922, ""Padrao/([^/]+)""))"),"Jardim Paulista")</f>
        <v>Jardim Paulista</v>
      </c>
    </row>
    <row r="4868" customFormat="false" ht="15.75" hidden="false" customHeight="false" outlineLevel="0" collapsed="false">
      <c r="A4868" s="2" t="n">
        <v>82421</v>
      </c>
      <c r="B4868" s="2" t="s">
        <v>3956</v>
      </c>
      <c r="C4868" s="2" t="n">
        <v>2</v>
      </c>
      <c r="D4868" s="2" t="n">
        <v>2</v>
      </c>
      <c r="E4868" s="2" t="n">
        <v>1</v>
      </c>
      <c r="F4868" s="2" t="n">
        <v>64</v>
      </c>
      <c r="G4868" s="2" t="s">
        <v>649</v>
      </c>
      <c r="H4868" s="2" t="str">
        <f aca="false">IFERROR(__xludf.dummyfunction("IF(I4923="""", """", REGEXEXTRACT(I4923, ""Padrao/([^/]+)""))"),"Jardim Botanico")</f>
        <v>Jardim Botanico</v>
      </c>
    </row>
    <row r="4869" customFormat="false" ht="15.75" hidden="false" customHeight="false" outlineLevel="0" collapsed="false">
      <c r="A4869" s="2" t="n">
        <v>82307</v>
      </c>
      <c r="B4869" s="2" t="s">
        <v>1671</v>
      </c>
      <c r="C4869" s="2" t="n">
        <v>3</v>
      </c>
      <c r="D4869" s="2" t="n">
        <v>3</v>
      </c>
      <c r="E4869" s="2" t="n">
        <v>1</v>
      </c>
      <c r="F4869" s="2" t="n">
        <v>210</v>
      </c>
      <c r="G4869" s="2" t="s">
        <v>649</v>
      </c>
      <c r="H4869" s="2" t="str">
        <f aca="false">IFERROR(__xludf.dummyfunction("IF(I4924="""", """", REGEXEXTRACT(I4924, ""Padrao/([^/]+)""))"),"Centro")</f>
        <v>Centro</v>
      </c>
    </row>
    <row r="4870" customFormat="false" ht="15.75" hidden="false" customHeight="false" outlineLevel="0" collapsed="false">
      <c r="A4870" s="2" t="n">
        <v>157226</v>
      </c>
      <c r="B4870" s="2" t="s">
        <v>3252</v>
      </c>
      <c r="C4870" s="2" t="n">
        <v>3</v>
      </c>
      <c r="D4870" s="2" t="n">
        <v>3</v>
      </c>
      <c r="E4870" s="2" t="n">
        <v>2</v>
      </c>
      <c r="F4870" s="2" t="n">
        <v>108</v>
      </c>
      <c r="G4870" s="2" t="s">
        <v>648</v>
      </c>
      <c r="H4870" s="2" t="str">
        <f aca="false">IFERROR(__xludf.dummyfunction("IF(I4925="""", """", REGEXEXTRACT(I4925, ""Padrao/([^/]+)""))"),"Condominio Itamaraty")</f>
        <v>Condominio Itamaraty</v>
      </c>
    </row>
    <row r="4871" customFormat="false" ht="15.75" hidden="false" customHeight="false" outlineLevel="0" collapsed="false">
      <c r="A4871" s="2" t="n">
        <v>95486</v>
      </c>
      <c r="B4871" s="2" t="s">
        <v>3957</v>
      </c>
      <c r="C4871" s="2" t="n">
        <v>3</v>
      </c>
      <c r="D4871" s="2" t="n">
        <v>3</v>
      </c>
      <c r="E4871" s="2" t="n">
        <v>1</v>
      </c>
      <c r="F4871" s="2" t="n">
        <v>85</v>
      </c>
      <c r="G4871" s="2" t="s">
        <v>1553</v>
      </c>
      <c r="H4871" s="2" t="str">
        <f aca="false">IFERROR(__xludf.dummyfunction("IF(I4926="""", """", REGEXEXTRACT(I4926, ""Padrao/([^/]+)""))"),"Santa Cruz do Jose Jacques")</f>
        <v>Santa Cruz do Jose Jacques</v>
      </c>
    </row>
    <row r="4872" customFormat="false" ht="15.75" hidden="false" customHeight="false" outlineLevel="0" collapsed="false">
      <c r="A4872" s="2" t="n">
        <v>194807</v>
      </c>
      <c r="B4872" s="2" t="s">
        <v>3958</v>
      </c>
      <c r="C4872" s="2" t="n">
        <v>3</v>
      </c>
      <c r="D4872" s="2" t="n">
        <v>3</v>
      </c>
      <c r="E4872" s="2" t="n">
        <v>2</v>
      </c>
      <c r="F4872" s="2" t="n">
        <v>132</v>
      </c>
      <c r="G4872" s="2" t="s">
        <v>1551</v>
      </c>
      <c r="H4872" s="2" t="str">
        <f aca="false">IFERROR(__xludf.dummyfunction("IF(I4927="""", """", REGEXEXTRACT(I4927, ""Padrao/([^/]+)""))"),"Centro")</f>
        <v>Centro</v>
      </c>
    </row>
    <row r="4873" customFormat="false" ht="15.75" hidden="false" customHeight="false" outlineLevel="0" collapsed="false">
      <c r="A4873" s="2" t="n">
        <v>244877</v>
      </c>
      <c r="B4873" s="2" t="s">
        <v>3694</v>
      </c>
      <c r="C4873" s="2" t="n">
        <v>2</v>
      </c>
      <c r="D4873" s="2" t="n">
        <v>1</v>
      </c>
      <c r="E4873" s="2" t="n">
        <v>1</v>
      </c>
      <c r="F4873" s="2" t="n">
        <v>67</v>
      </c>
      <c r="G4873" s="2" t="s">
        <v>3959</v>
      </c>
      <c r="H4873" s="2" t="str">
        <f aca="false">IFERROR(__xludf.dummyfunction("IF(I4928="""", """", REGEXEXTRACT(I4928, ""Padrao/([^/]+)""))"),"Nova Ribeirania")</f>
        <v>Nova Ribeirania</v>
      </c>
    </row>
    <row r="4874" customFormat="false" ht="15.75" hidden="false" customHeight="false" outlineLevel="0" collapsed="false">
      <c r="A4874" s="2" t="n">
        <v>242192</v>
      </c>
      <c r="B4874" s="2" t="s">
        <v>3960</v>
      </c>
      <c r="C4874" s="2" t="n">
        <v>3</v>
      </c>
      <c r="D4874" s="2" t="n">
        <v>2</v>
      </c>
      <c r="E4874" s="2" t="n">
        <v>2</v>
      </c>
      <c r="F4874" s="2" t="n">
        <v>103</v>
      </c>
      <c r="G4874" s="2" t="s">
        <v>3959</v>
      </c>
      <c r="H4874" s="2" t="str">
        <f aca="false">IFERROR(__xludf.dummyfunction("IF(I4929="""", """", REGEXEXTRACT(I4929, ""Padrao/([^/]+)""))"),"Alto da Boa Vista")</f>
        <v>Alto da Boa Vista</v>
      </c>
    </row>
    <row r="4875" customFormat="false" ht="15.75" hidden="false" customHeight="false" outlineLevel="0" collapsed="false">
      <c r="A4875" s="2" t="n">
        <v>236054</v>
      </c>
      <c r="B4875" s="2" t="s">
        <v>3961</v>
      </c>
      <c r="C4875" s="2" t="n">
        <v>2</v>
      </c>
      <c r="D4875" s="2" t="n">
        <v>2</v>
      </c>
      <c r="E4875" s="2" t="n">
        <v>1</v>
      </c>
      <c r="F4875" s="2" t="n">
        <v>86</v>
      </c>
      <c r="G4875" s="2" t="s">
        <v>3959</v>
      </c>
      <c r="H4875" s="2" t="str">
        <f aca="false">IFERROR(__xludf.dummyfunction("IF(I4930="""", """", REGEXEXTRACT(I4930, ""Padrao/([^/]+)""))"),"Jardim Botanico")</f>
        <v>Jardim Botanico</v>
      </c>
    </row>
    <row r="4876" customFormat="false" ht="15.75" hidden="false" customHeight="false" outlineLevel="0" collapsed="false">
      <c r="A4876" s="2" t="n">
        <v>221894</v>
      </c>
      <c r="B4876" s="2" t="s">
        <v>3962</v>
      </c>
      <c r="C4876" s="2" t="n">
        <v>2</v>
      </c>
      <c r="D4876" s="2" t="n">
        <v>2</v>
      </c>
      <c r="E4876" s="2" t="n">
        <v>2</v>
      </c>
      <c r="F4876" s="2" t="n">
        <v>58</v>
      </c>
      <c r="G4876" s="2" t="s">
        <v>3959</v>
      </c>
      <c r="H4876" s="2" t="str">
        <f aca="false">IFERROR(__xludf.dummyfunction("IF(I4931="""", """", REGEXEXTRACT(I4931, ""Padrao/([^/]+)""))"),"Ribeirania")</f>
        <v>Ribeirania</v>
      </c>
    </row>
    <row r="4877" customFormat="false" ht="15.75" hidden="false" customHeight="false" outlineLevel="0" collapsed="false">
      <c r="A4877" s="2" t="n">
        <v>183329</v>
      </c>
      <c r="B4877" s="2" t="s">
        <v>3963</v>
      </c>
      <c r="C4877" s="2" t="n">
        <v>1</v>
      </c>
      <c r="D4877" s="2" t="n">
        <v>1</v>
      </c>
      <c r="E4877" s="2" t="n">
        <v>1</v>
      </c>
      <c r="F4877" s="2" t="n">
        <v>43</v>
      </c>
      <c r="G4877" s="2" t="s">
        <v>3959</v>
      </c>
      <c r="H4877" s="2" t="str">
        <f aca="false">IFERROR(__xludf.dummyfunction("IF(I4932="""", """", REGEXEXTRACT(I4932, ""Padrao/([^/]+)""))"),"Jardim Sumare")</f>
        <v>Jardim Sumare</v>
      </c>
    </row>
    <row r="4878" customFormat="false" ht="15.75" hidden="false" customHeight="false" outlineLevel="0" collapsed="false">
      <c r="A4878" s="2" t="n">
        <v>159575</v>
      </c>
      <c r="B4878" s="2" t="s">
        <v>602</v>
      </c>
      <c r="C4878" s="2" t="n">
        <v>3</v>
      </c>
      <c r="D4878" s="2" t="n">
        <v>3</v>
      </c>
      <c r="E4878" s="2" t="n">
        <v>2</v>
      </c>
      <c r="F4878" s="2" t="n">
        <v>123</v>
      </c>
      <c r="G4878" s="2" t="s">
        <v>3959</v>
      </c>
      <c r="H4878" s="2" t="str">
        <f aca="false">IFERROR(__xludf.dummyfunction("IF(I4933="""", """", REGEXEXTRACT(I4933, ""Padrao/([^/]+)""))"),"Centro")</f>
        <v>Centro</v>
      </c>
    </row>
    <row r="4879" customFormat="false" ht="15.75" hidden="false" customHeight="false" outlineLevel="0" collapsed="false">
      <c r="A4879" s="2" t="n">
        <v>141920</v>
      </c>
      <c r="B4879" s="2" t="s">
        <v>3964</v>
      </c>
      <c r="C4879" s="2" t="n">
        <v>2</v>
      </c>
      <c r="D4879" s="2" t="n">
        <v>2</v>
      </c>
      <c r="E4879" s="2" t="n">
        <v>2</v>
      </c>
      <c r="F4879" s="2" t="n">
        <v>75</v>
      </c>
      <c r="G4879" s="2" t="s">
        <v>3959</v>
      </c>
      <c r="H4879" s="2" t="str">
        <f aca="false">IFERROR(__xludf.dummyfunction("IF(I4934="""", """", REGEXEXTRACT(I4934, ""Padrao/([^/]+)""))"),"Nova Alianca")</f>
        <v>Nova Alianca</v>
      </c>
    </row>
    <row r="4880" customFormat="false" ht="15.75" hidden="false" customHeight="false" outlineLevel="0" collapsed="false">
      <c r="A4880" s="2" t="n">
        <v>140663</v>
      </c>
      <c r="B4880" s="2" t="s">
        <v>3965</v>
      </c>
      <c r="C4880" s="2" t="n">
        <v>2</v>
      </c>
      <c r="D4880" s="2" t="n">
        <v>2</v>
      </c>
      <c r="E4880" s="2" t="n">
        <v>1</v>
      </c>
      <c r="F4880" s="2" t="n">
        <v>63</v>
      </c>
      <c r="G4880" s="2" t="s">
        <v>3959</v>
      </c>
      <c r="H4880" s="2" t="str">
        <f aca="false">IFERROR(__xludf.dummyfunction("IF(I4935="""", """", REGEXEXTRACT(I4935, ""Padrao/([^/]+)""))"),"Quinta da Primavera")</f>
        <v>Quinta da Primavera</v>
      </c>
    </row>
    <row r="4881" customFormat="false" ht="15.75" hidden="false" customHeight="false" outlineLevel="0" collapsed="false">
      <c r="A4881" s="2" t="n">
        <v>135476</v>
      </c>
      <c r="B4881" s="2" t="s">
        <v>1552</v>
      </c>
      <c r="C4881" s="2" t="n">
        <v>2</v>
      </c>
      <c r="D4881" s="2" t="n">
        <v>2</v>
      </c>
      <c r="E4881" s="2" t="n">
        <v>1</v>
      </c>
      <c r="F4881" s="2" t="n">
        <v>75</v>
      </c>
      <c r="G4881" s="2" t="s">
        <v>3959</v>
      </c>
      <c r="H4881" s="2" t="str">
        <f aca="false">IFERROR(__xludf.dummyfunction("IF(I4936="""", """", REGEXEXTRACT(I4936, ""Padrao/([^/]+)""))"),"Nova Alianca")</f>
        <v>Nova Alianca</v>
      </c>
    </row>
    <row r="4882" customFormat="false" ht="15.75" hidden="false" customHeight="false" outlineLevel="0" collapsed="false">
      <c r="A4882" s="2" t="n">
        <v>135110</v>
      </c>
      <c r="B4882" s="2" t="s">
        <v>3966</v>
      </c>
      <c r="C4882" s="2" t="n">
        <v>2</v>
      </c>
      <c r="D4882" s="2" t="n">
        <v>1</v>
      </c>
      <c r="E4882" s="2" t="n">
        <v>1</v>
      </c>
      <c r="F4882" s="2" t="n">
        <v>86</v>
      </c>
      <c r="G4882" s="2" t="s">
        <v>3959</v>
      </c>
      <c r="H4882" s="2" t="str">
        <f aca="false">IFERROR(__xludf.dummyfunction("IF(I4937="""", """", REGEXEXTRACT(I4937, ""Padrao/([^/]+)""))"),"Centro")</f>
        <v>Centro</v>
      </c>
    </row>
    <row r="4883" customFormat="false" ht="15.75" hidden="false" customHeight="false" outlineLevel="0" collapsed="false">
      <c r="A4883" s="2" t="n">
        <v>118760</v>
      </c>
      <c r="B4883" s="2" t="s">
        <v>3967</v>
      </c>
      <c r="C4883" s="2" t="n">
        <v>3</v>
      </c>
      <c r="D4883" s="2" t="n">
        <v>3</v>
      </c>
      <c r="E4883" s="2" t="n">
        <v>2</v>
      </c>
      <c r="F4883" s="2" t="n">
        <v>132</v>
      </c>
      <c r="G4883" s="2" t="s">
        <v>3959</v>
      </c>
      <c r="H4883" s="2" t="str">
        <f aca="false">IFERROR(__xludf.dummyfunction("IF(I4938="""", """", REGEXEXTRACT(I4938, ""Padrao/([^/]+)""))"),"Jardim Paulistano")</f>
        <v>Jardim Paulistano</v>
      </c>
    </row>
    <row r="4884" customFormat="false" ht="15.75" hidden="false" customHeight="false" outlineLevel="0" collapsed="false">
      <c r="A4884" s="2" t="n">
        <v>105611</v>
      </c>
      <c r="B4884" s="2" t="s">
        <v>3968</v>
      </c>
      <c r="C4884" s="2" t="n">
        <v>2</v>
      </c>
      <c r="D4884" s="2" t="n">
        <v>3</v>
      </c>
      <c r="E4884" s="2" t="n">
        <v>2</v>
      </c>
      <c r="F4884" s="2" t="n">
        <v>76</v>
      </c>
      <c r="G4884" s="2" t="s">
        <v>3959</v>
      </c>
      <c r="H4884" s="2" t="str">
        <f aca="false">IFERROR(__xludf.dummyfunction("IF(I4939="""", """", REGEXEXTRACT(I4939, ""Padrao/([^/]+)""))"),"Santa Cruz do Jose Jacques")</f>
        <v>Santa Cruz do Jose Jacques</v>
      </c>
    </row>
    <row r="4885" customFormat="false" ht="15.75" hidden="false" customHeight="false" outlineLevel="0" collapsed="false">
      <c r="A4885" s="2" t="n">
        <v>67469</v>
      </c>
      <c r="B4885" s="2" t="s">
        <v>3398</v>
      </c>
      <c r="C4885" s="2" t="n">
        <v>3</v>
      </c>
      <c r="D4885" s="2" t="n">
        <v>4</v>
      </c>
      <c r="E4885" s="2" t="n">
        <v>1</v>
      </c>
      <c r="F4885" s="2" t="n">
        <v>141</v>
      </c>
      <c r="G4885" s="2" t="s">
        <v>3959</v>
      </c>
      <c r="H4885" s="2" t="str">
        <f aca="false">IFERROR(__xludf.dummyfunction("IF(I4940="""", """", REGEXEXTRACT(I4940, ""Padrao/([^/]+)""))"),"Centro")</f>
        <v>Centro</v>
      </c>
    </row>
    <row r="4886" customFormat="false" ht="15.75" hidden="false" customHeight="false" outlineLevel="0" collapsed="false">
      <c r="A4886" s="2" t="n">
        <v>194357</v>
      </c>
      <c r="B4886" s="2" t="s">
        <v>3969</v>
      </c>
      <c r="C4886" s="2" t="n">
        <v>2</v>
      </c>
      <c r="D4886" s="2" t="n">
        <v>3</v>
      </c>
      <c r="E4886" s="2" t="n">
        <v>2</v>
      </c>
      <c r="F4886" s="2" t="n">
        <v>101</v>
      </c>
      <c r="G4886" s="2" t="s">
        <v>3970</v>
      </c>
      <c r="H4886" s="2" t="str">
        <f aca="false">IFERROR(__xludf.dummyfunction("IF(I4941="""", """", REGEXEXTRACT(I4941, ""Padrao/([^/]+)""))"),"Jardim Botanico")</f>
        <v>Jardim Botanico</v>
      </c>
    </row>
    <row r="4887" customFormat="false" ht="15.75" hidden="false" customHeight="false" outlineLevel="0" collapsed="false">
      <c r="A4887" s="2" t="n">
        <v>244889</v>
      </c>
      <c r="B4887" s="2" t="s">
        <v>3712</v>
      </c>
      <c r="C4887" s="2" t="n">
        <v>2</v>
      </c>
      <c r="D4887" s="2" t="n">
        <v>2</v>
      </c>
      <c r="E4887" s="2" t="n">
        <v>2</v>
      </c>
      <c r="F4887" s="2" t="n">
        <v>67</v>
      </c>
      <c r="G4887" s="2" t="s">
        <v>3971</v>
      </c>
      <c r="H4887" s="2" t="str">
        <f aca="false">IFERROR(__xludf.dummyfunction("IF(I4942="""", """", REGEXEXTRACT(I4942, ""Padrao/([^/]+)""))"),"Nova Ribeirania")</f>
        <v>Nova Ribeirania</v>
      </c>
    </row>
    <row r="4888" customFormat="false" ht="15.75" hidden="false" customHeight="false" outlineLevel="0" collapsed="false">
      <c r="A4888" s="2" t="n">
        <v>212930</v>
      </c>
      <c r="B4888" s="2" t="s">
        <v>3972</v>
      </c>
      <c r="C4888" s="2" t="n">
        <v>2</v>
      </c>
      <c r="D4888" s="2" t="n">
        <v>2</v>
      </c>
      <c r="E4888" s="2" t="n">
        <v>2</v>
      </c>
      <c r="F4888" s="2" t="n">
        <v>59</v>
      </c>
      <c r="G4888" s="2" t="s">
        <v>3971</v>
      </c>
      <c r="H4888" s="2" t="str">
        <f aca="false">IFERROR(__xludf.dummyfunction("IF(I4943="""", """", REGEXEXTRACT(I4943, ""Padrao/([^/]+)""))"),"Quinta da Primavera")</f>
        <v>Quinta da Primavera</v>
      </c>
    </row>
    <row r="4889" customFormat="false" ht="15.75" hidden="false" customHeight="false" outlineLevel="0" collapsed="false">
      <c r="A4889" s="2" t="n">
        <v>177014</v>
      </c>
      <c r="B4889" s="2" t="s">
        <v>3973</v>
      </c>
      <c r="C4889" s="2" t="n">
        <v>3</v>
      </c>
      <c r="D4889" s="2" t="n">
        <v>4</v>
      </c>
      <c r="E4889" s="2" t="n">
        <v>2</v>
      </c>
      <c r="F4889" s="2" t="n">
        <v>150</v>
      </c>
      <c r="G4889" s="2" t="s">
        <v>2664</v>
      </c>
      <c r="H4889" s="2" t="str">
        <f aca="false">IFERROR(__xludf.dummyfunction("IF(I4944="""", """", REGEXEXTRACT(I4944, ""Padrao/([^/]+)""))"),"Centro")</f>
        <v>Centro</v>
      </c>
    </row>
    <row r="4890" customFormat="false" ht="15.75" hidden="false" customHeight="false" outlineLevel="0" collapsed="false">
      <c r="A4890" s="2" t="n">
        <v>245039</v>
      </c>
      <c r="B4890" s="2" t="s">
        <v>3974</v>
      </c>
      <c r="C4890" s="2" t="n">
        <v>2</v>
      </c>
      <c r="D4890" s="2" t="n">
        <v>2</v>
      </c>
      <c r="E4890" s="2" t="n">
        <v>1</v>
      </c>
      <c r="F4890" s="2" t="n">
        <v>62</v>
      </c>
      <c r="G4890" s="2" t="s">
        <v>1556</v>
      </c>
      <c r="H4890" s="2" t="str">
        <f aca="false">IFERROR(__xludf.dummyfunction("IF(I4945="""", """", REGEXEXTRACT(I4945, ""Padrao/([^/]+)""))"),"Ribeirania")</f>
        <v>Ribeirania</v>
      </c>
    </row>
    <row r="4891" customFormat="false" ht="15.75" hidden="false" customHeight="false" outlineLevel="0" collapsed="false">
      <c r="A4891" s="2" t="n">
        <v>240932</v>
      </c>
      <c r="B4891" s="2" t="s">
        <v>3591</v>
      </c>
      <c r="C4891" s="2" t="n">
        <v>3</v>
      </c>
      <c r="D4891" s="2" t="n">
        <v>2</v>
      </c>
      <c r="E4891" s="2" t="n">
        <v>1</v>
      </c>
      <c r="F4891" s="2" t="n">
        <v>65</v>
      </c>
      <c r="G4891" s="2" t="s">
        <v>1556</v>
      </c>
      <c r="H4891" s="2" t="str">
        <f aca="false">IFERROR(__xludf.dummyfunction("IF(I4946="""", """", REGEXEXTRACT(I4946, ""Padrao/([^/]+)""))"),"Sumarezinho")</f>
        <v>Sumarezinho</v>
      </c>
    </row>
    <row r="4892" customFormat="false" ht="15.75" hidden="false" customHeight="false" outlineLevel="0" collapsed="false">
      <c r="A4892" s="2" t="n">
        <v>239543</v>
      </c>
      <c r="B4892" s="2" t="s">
        <v>3975</v>
      </c>
      <c r="C4892" s="2" t="n">
        <v>3</v>
      </c>
      <c r="D4892" s="2" t="n">
        <v>2</v>
      </c>
      <c r="E4892" s="2" t="n">
        <v>1</v>
      </c>
      <c r="F4892" s="2" t="n">
        <v>199</v>
      </c>
      <c r="G4892" s="2" t="s">
        <v>1556</v>
      </c>
      <c r="H4892" s="2" t="str">
        <f aca="false">IFERROR(__xludf.dummyfunction("IF(I4947="""", """", REGEXEXTRACT(I4947, ""Padrao/([^/]+)""))"),"Centro")</f>
        <v>Centro</v>
      </c>
    </row>
    <row r="4893" customFormat="false" ht="15.75" hidden="false" customHeight="false" outlineLevel="0" collapsed="false">
      <c r="A4893" s="2" t="n">
        <v>229691</v>
      </c>
      <c r="B4893" s="2" t="s">
        <v>162</v>
      </c>
      <c r="C4893" s="2" t="n">
        <v>2</v>
      </c>
      <c r="D4893" s="2" t="n">
        <v>2</v>
      </c>
      <c r="E4893" s="2" t="n">
        <v>1</v>
      </c>
      <c r="F4893" s="2" t="n">
        <v>71</v>
      </c>
      <c r="G4893" s="2" t="s">
        <v>1556</v>
      </c>
      <c r="H4893" s="2" t="str">
        <f aca="false">IFERROR(__xludf.dummyfunction("IF(I4948="""", """", REGEXEXTRACT(I4948, ""Padrao/([^/]+)""))"),"Jardim Botanico")</f>
        <v>Jardim Botanico</v>
      </c>
    </row>
    <row r="4894" customFormat="false" ht="15.75" hidden="false" customHeight="false" outlineLevel="0" collapsed="false">
      <c r="A4894" s="2" t="n">
        <v>229682</v>
      </c>
      <c r="B4894" s="2" t="s">
        <v>3976</v>
      </c>
      <c r="C4894" s="2" t="n">
        <v>2</v>
      </c>
      <c r="D4894" s="2" t="n">
        <v>1</v>
      </c>
      <c r="E4894" s="2" t="n">
        <v>1</v>
      </c>
      <c r="F4894" s="2" t="n">
        <v>63</v>
      </c>
      <c r="G4894" s="2" t="s">
        <v>1556</v>
      </c>
      <c r="H4894" s="2" t="str">
        <f aca="false">IFERROR(__xludf.dummyfunction("IF(I4949="""", """", REGEXEXTRACT(I4949, ""Padrao/([^/]+)""))"),"Jardim Iraja")</f>
        <v>Jardim Iraja</v>
      </c>
    </row>
    <row r="4895" customFormat="false" ht="15.75" hidden="false" customHeight="false" outlineLevel="0" collapsed="false">
      <c r="A4895" s="2" t="n">
        <v>226493</v>
      </c>
      <c r="B4895" s="2" t="s">
        <v>1555</v>
      </c>
      <c r="C4895" s="2" t="n">
        <v>2</v>
      </c>
      <c r="D4895" s="2" t="n">
        <v>2</v>
      </c>
      <c r="E4895" s="2" t="n">
        <v>2</v>
      </c>
      <c r="F4895" s="2" t="n">
        <v>82</v>
      </c>
      <c r="G4895" s="2" t="s">
        <v>1556</v>
      </c>
      <c r="H4895" s="2" t="str">
        <f aca="false">IFERROR(__xludf.dummyfunction("IF(I4950="""", """", REGEXEXTRACT(I4950, ""Padrao/([^/]+)""))"),"Jardim Nova Alianca Sul")</f>
        <v>Jardim Nova Alianca Sul</v>
      </c>
    </row>
    <row r="4896" customFormat="false" ht="15.75" hidden="false" customHeight="false" outlineLevel="0" collapsed="false">
      <c r="A4896" s="2" t="n">
        <v>223775</v>
      </c>
      <c r="B4896" s="2" t="s">
        <v>3842</v>
      </c>
      <c r="C4896" s="2" t="n">
        <v>3</v>
      </c>
      <c r="D4896" s="2" t="n">
        <v>3</v>
      </c>
      <c r="E4896" s="2" t="n">
        <v>2</v>
      </c>
      <c r="F4896" s="2" t="n">
        <v>106</v>
      </c>
      <c r="G4896" s="2" t="s">
        <v>1556</v>
      </c>
      <c r="H4896" s="2" t="str">
        <f aca="false">IFERROR(__xludf.dummyfunction("IF(I4951="""", """", REGEXEXTRACT(I4951, ""Padrao/([^/]+)""))"),"Santa Cruz do Jose Jacques")</f>
        <v>Santa Cruz do Jose Jacques</v>
      </c>
    </row>
    <row r="4897" customFormat="false" ht="15.75" hidden="false" customHeight="false" outlineLevel="0" collapsed="false">
      <c r="A4897" s="2" t="n">
        <v>216413</v>
      </c>
      <c r="B4897" s="2" t="s">
        <v>3977</v>
      </c>
      <c r="C4897" s="2" t="n">
        <v>2</v>
      </c>
      <c r="D4897" s="2" t="n">
        <v>2</v>
      </c>
      <c r="E4897" s="2" t="n">
        <v>1</v>
      </c>
      <c r="F4897" s="2" t="n">
        <v>82</v>
      </c>
      <c r="G4897" s="2" t="s">
        <v>1556</v>
      </c>
      <c r="H4897" s="2" t="str">
        <f aca="false">IFERROR(__xludf.dummyfunction("IF(I4952="""", """", REGEXEXTRACT(I4952, ""Padrao/([^/]+)""))"),"Jardim Nova Alianca Sul")</f>
        <v>Jardim Nova Alianca Sul</v>
      </c>
    </row>
    <row r="4898" customFormat="false" ht="15.75" hidden="false" customHeight="false" outlineLevel="0" collapsed="false">
      <c r="A4898" s="2" t="n">
        <v>212594</v>
      </c>
      <c r="B4898" s="2" t="s">
        <v>3978</v>
      </c>
      <c r="C4898" s="2" t="n">
        <v>3</v>
      </c>
      <c r="D4898" s="2" t="n">
        <v>2</v>
      </c>
      <c r="E4898" s="2" t="n">
        <v>2</v>
      </c>
      <c r="F4898" s="2" t="n">
        <v>77</v>
      </c>
      <c r="G4898" s="2" t="s">
        <v>1556</v>
      </c>
      <c r="H4898" s="2" t="str">
        <f aca="false">IFERROR(__xludf.dummyfunction("IF(I4953="""", """", REGEXEXTRACT(I4953, ""Padrao/([^/]+)""))"),"Nova Alianca")</f>
        <v>Nova Alianca</v>
      </c>
    </row>
    <row r="4899" customFormat="false" ht="15.75" hidden="false" customHeight="false" outlineLevel="0" collapsed="false">
      <c r="A4899" s="2" t="n">
        <v>210080</v>
      </c>
      <c r="B4899" s="2" t="s">
        <v>3448</v>
      </c>
      <c r="C4899" s="2" t="n">
        <v>3</v>
      </c>
      <c r="D4899" s="2" t="n">
        <v>2</v>
      </c>
      <c r="E4899" s="2" t="n">
        <v>1</v>
      </c>
      <c r="F4899" s="2" t="n">
        <v>129</v>
      </c>
      <c r="G4899" s="2" t="s">
        <v>1556</v>
      </c>
      <c r="H4899" s="2" t="str">
        <f aca="false">IFERROR(__xludf.dummyfunction("IF(I4954="""", """", REGEXEXTRACT(I4954, ""Padrao/([^/]+)""))"),"Centro")</f>
        <v>Centro</v>
      </c>
    </row>
    <row r="4900" customFormat="false" ht="15.75" hidden="false" customHeight="false" outlineLevel="0" collapsed="false">
      <c r="A4900" s="2" t="n">
        <v>166820</v>
      </c>
      <c r="B4900" s="2" t="s">
        <v>602</v>
      </c>
      <c r="C4900" s="2" t="n">
        <v>3</v>
      </c>
      <c r="D4900" s="2" t="n">
        <v>2</v>
      </c>
      <c r="E4900" s="2" t="n">
        <v>2</v>
      </c>
      <c r="F4900" s="2" t="n">
        <v>122</v>
      </c>
      <c r="G4900" s="2" t="s">
        <v>1556</v>
      </c>
      <c r="H4900" s="2" t="str">
        <f aca="false">IFERROR(__xludf.dummyfunction("IF(I4955="""", """", REGEXEXTRACT(I4955, ""Padrao/([^/]+)""))"),"Centro")</f>
        <v>Centro</v>
      </c>
    </row>
    <row r="4901" customFormat="false" ht="15.75" hidden="false" customHeight="false" outlineLevel="0" collapsed="false">
      <c r="A4901" s="2" t="n">
        <v>102665</v>
      </c>
      <c r="B4901" s="2" t="s">
        <v>3979</v>
      </c>
      <c r="C4901" s="2" t="n">
        <v>2</v>
      </c>
      <c r="D4901" s="2" t="n">
        <v>2</v>
      </c>
      <c r="E4901" s="2" t="n">
        <v>2</v>
      </c>
      <c r="F4901" s="2" t="n">
        <v>60</v>
      </c>
      <c r="G4901" s="2" t="s">
        <v>1556</v>
      </c>
      <c r="H4901" s="2" t="str">
        <f aca="false">IFERROR(__xludf.dummyfunction("IF(I4956="""", """", REGEXEXTRACT(I4956, ""Padrao/([^/]+)""))"),"Santa Cruz do Jose Jacques")</f>
        <v>Santa Cruz do Jose Jacques</v>
      </c>
    </row>
    <row r="4902" customFormat="false" ht="15.75" hidden="false" customHeight="false" outlineLevel="0" collapsed="false">
      <c r="A4902" s="2" t="n">
        <v>86672</v>
      </c>
      <c r="B4902" s="2" t="s">
        <v>3980</v>
      </c>
      <c r="C4902" s="2" t="n">
        <v>3</v>
      </c>
      <c r="D4902" s="2" t="n">
        <v>2</v>
      </c>
      <c r="E4902" s="2" t="n">
        <v>2</v>
      </c>
      <c r="F4902" s="2" t="n">
        <v>95</v>
      </c>
      <c r="G4902" s="2" t="s">
        <v>1556</v>
      </c>
      <c r="H4902" s="2" t="str">
        <f aca="false">IFERROR(__xludf.dummyfunction("IF(I4957="""", """", REGEXEXTRACT(I4957, ""Padrao/([^/]+)""))"),"Santa Cruz do Jose Jacques")</f>
        <v>Santa Cruz do Jose Jacques</v>
      </c>
    </row>
    <row r="4903" customFormat="false" ht="15.75" hidden="false" customHeight="false" outlineLevel="0" collapsed="false">
      <c r="A4903" s="2" t="n">
        <v>178268</v>
      </c>
      <c r="B4903" s="2" t="s">
        <v>3981</v>
      </c>
      <c r="C4903" s="2" t="n">
        <v>2</v>
      </c>
      <c r="D4903" s="2" t="n">
        <v>3</v>
      </c>
      <c r="E4903" s="2" t="n">
        <v>1</v>
      </c>
      <c r="F4903" s="2" t="n">
        <v>61</v>
      </c>
      <c r="G4903" s="2" t="s">
        <v>3982</v>
      </c>
      <c r="H4903" s="2" t="str">
        <f aca="false">IFERROR(__xludf.dummyfunction("IF(I4958="""", """", REGEXEXTRACT(I4958, ""Padrao/([^/]+)""))"),"Nova Alianca")</f>
        <v>Nova Alianca</v>
      </c>
    </row>
    <row r="4904" customFormat="false" ht="15.75" hidden="false" customHeight="false" outlineLevel="0" collapsed="false">
      <c r="A4904" s="2" t="n">
        <v>135815</v>
      </c>
      <c r="B4904" s="2" t="s">
        <v>3983</v>
      </c>
      <c r="C4904" s="2" t="n">
        <v>3</v>
      </c>
      <c r="D4904" s="2" t="n">
        <v>2</v>
      </c>
      <c r="E4904" s="2" t="n">
        <v>1</v>
      </c>
      <c r="F4904" s="2" t="n">
        <v>75</v>
      </c>
      <c r="G4904" s="2" t="s">
        <v>3984</v>
      </c>
      <c r="H4904" s="2" t="str">
        <f aca="false">IFERROR(__xludf.dummyfunction("IF(I4959="""", """", REGEXEXTRACT(I4959, ""Padrao/([^/]+)""))"),"Jardim Itapora")</f>
        <v>Jardim Itapora</v>
      </c>
    </row>
    <row r="4905" customFormat="false" ht="15.75" hidden="false" customHeight="false" outlineLevel="0" collapsed="false">
      <c r="A4905" s="2" t="n">
        <v>42005</v>
      </c>
      <c r="B4905" s="2" t="s">
        <v>3985</v>
      </c>
      <c r="C4905" s="2" t="n">
        <v>4</v>
      </c>
      <c r="D4905" s="2" t="n">
        <v>2</v>
      </c>
      <c r="E4905" s="2" t="n">
        <v>2</v>
      </c>
      <c r="F4905" s="2" t="n">
        <v>158</v>
      </c>
      <c r="G4905" s="2" t="s">
        <v>648</v>
      </c>
      <c r="H4905" s="2" t="str">
        <f aca="false">IFERROR(__xludf.dummyfunction("IF(I4960="""", """", REGEXEXTRACT(I4960, ""Padrao/([^/]+)""))"),"Centro")</f>
        <v>Centro</v>
      </c>
    </row>
    <row r="4906" customFormat="false" ht="15.75" hidden="false" customHeight="false" outlineLevel="0" collapsed="false">
      <c r="A4906" s="2" t="n">
        <v>204029</v>
      </c>
      <c r="B4906" s="2" t="s">
        <v>3986</v>
      </c>
      <c r="C4906" s="2" t="n">
        <v>2</v>
      </c>
      <c r="D4906" s="2" t="n">
        <v>2</v>
      </c>
      <c r="E4906" s="2" t="n">
        <v>2</v>
      </c>
      <c r="F4906" s="2" t="n">
        <v>88</v>
      </c>
      <c r="G4906" s="2" t="s">
        <v>1556</v>
      </c>
      <c r="H4906" s="2" t="str">
        <f aca="false">IFERROR(__xludf.dummyfunction("IF(I4961="""", """", REGEXEXTRACT(I4961, ""Padrao/([^/]+)""))"),"Bosque das Juritis")</f>
        <v>Bosque das Juritis</v>
      </c>
    </row>
    <row r="4907" customFormat="false" ht="15.75" hidden="false" customHeight="false" outlineLevel="0" collapsed="false">
      <c r="A4907" s="2" t="n">
        <v>214988</v>
      </c>
      <c r="B4907" s="2" t="s">
        <v>3987</v>
      </c>
      <c r="C4907" s="2" t="n">
        <v>1</v>
      </c>
      <c r="D4907" s="2" t="n">
        <v>2</v>
      </c>
      <c r="E4907" s="2" t="n">
        <v>1</v>
      </c>
      <c r="F4907" s="2" t="n">
        <v>59</v>
      </c>
      <c r="G4907" s="2" t="s">
        <v>3988</v>
      </c>
      <c r="H4907" s="2" t="str">
        <f aca="false">IFERROR(__xludf.dummyfunction("IF(I4962="""", """", REGEXEXTRACT(I4962, ""Padrao/([^/]+)""))"),"Quinta da Primavera")</f>
        <v>Quinta da Primavera</v>
      </c>
    </row>
    <row r="4908" customFormat="false" ht="15.75" hidden="false" customHeight="false" outlineLevel="0" collapsed="false">
      <c r="A4908" s="2" t="n">
        <v>178274</v>
      </c>
      <c r="B4908" s="2" t="s">
        <v>3884</v>
      </c>
      <c r="C4908" s="2" t="n">
        <v>2</v>
      </c>
      <c r="D4908" s="2" t="n">
        <v>3</v>
      </c>
      <c r="E4908" s="2" t="n">
        <v>1</v>
      </c>
      <c r="F4908" s="2" t="n">
        <v>62</v>
      </c>
      <c r="G4908" s="2" t="s">
        <v>3989</v>
      </c>
      <c r="H4908" s="2" t="str">
        <f aca="false">IFERROR(__xludf.dummyfunction("IF(I4963="""", """", REGEXEXTRACT(I4963, ""Padrao/([^/]+)""))"),"Nova Alianca")</f>
        <v>Nova Alianca</v>
      </c>
    </row>
    <row r="4909" customFormat="false" ht="15.75" hidden="false" customHeight="false" outlineLevel="0" collapsed="false">
      <c r="A4909" s="2" t="n">
        <v>207059</v>
      </c>
      <c r="B4909" s="2" t="s">
        <v>3990</v>
      </c>
      <c r="C4909" s="2" t="n">
        <v>4</v>
      </c>
      <c r="D4909" s="2" t="n">
        <v>3</v>
      </c>
      <c r="E4909" s="2" t="n">
        <v>1</v>
      </c>
      <c r="F4909" s="2" t="n">
        <v>142</v>
      </c>
      <c r="G4909" s="2" t="s">
        <v>1499</v>
      </c>
      <c r="H4909" s="2" t="str">
        <f aca="false">IFERROR(__xludf.dummyfunction("IF(I4964="""", """", REGEXEXTRACT(I4964, ""Padrao/([^/]+)""))"),"Centro")</f>
        <v>Centro</v>
      </c>
    </row>
    <row r="4910" customFormat="false" ht="15.75" hidden="false" customHeight="false" outlineLevel="0" collapsed="false">
      <c r="A4910" s="2" t="n">
        <v>194633</v>
      </c>
      <c r="B4910" s="2" t="s">
        <v>3991</v>
      </c>
      <c r="C4910" s="2" t="n">
        <v>2</v>
      </c>
      <c r="D4910" s="2" t="n">
        <v>1</v>
      </c>
      <c r="E4910" s="2" t="n">
        <v>2</v>
      </c>
      <c r="F4910" s="2" t="n">
        <v>92</v>
      </c>
      <c r="G4910" s="2" t="s">
        <v>648</v>
      </c>
      <c r="H4910" s="2" t="str">
        <f aca="false">IFERROR(__xludf.dummyfunction("IF(I4965="""", """", REGEXEXTRACT(I4965, ""Padrao/([^/]+)""))"),"Jardim Botanico")</f>
        <v>Jardim Botanico</v>
      </c>
    </row>
    <row r="4911" customFormat="false" ht="15.75" hidden="false" customHeight="false" outlineLevel="0" collapsed="false">
      <c r="A4911" s="2" t="n">
        <v>109799</v>
      </c>
      <c r="B4911" s="2" t="s">
        <v>162</v>
      </c>
      <c r="C4911" s="2" t="n">
        <v>3</v>
      </c>
      <c r="D4911" s="2" t="n">
        <v>3</v>
      </c>
      <c r="E4911" s="2" t="n">
        <v>2</v>
      </c>
      <c r="F4911" s="2" t="n">
        <v>156</v>
      </c>
      <c r="G4911" s="2" t="s">
        <v>1553</v>
      </c>
      <c r="H4911" s="2" t="str">
        <f aca="false">IFERROR(__xludf.dummyfunction("IF(I4966="""", """", REGEXEXTRACT(I4966, ""Padrao/([^/]+)""))"),"Centro")</f>
        <v>Centro</v>
      </c>
    </row>
    <row r="4912" customFormat="false" ht="15.75" hidden="false" customHeight="false" outlineLevel="0" collapsed="false">
      <c r="A4912" s="2" t="n">
        <v>86678</v>
      </c>
      <c r="B4912" s="2" t="s">
        <v>3992</v>
      </c>
      <c r="C4912" s="2" t="n">
        <v>3</v>
      </c>
      <c r="D4912" s="2" t="n">
        <v>2</v>
      </c>
      <c r="E4912" s="2" t="n">
        <v>2</v>
      </c>
      <c r="F4912" s="2" t="n">
        <v>85</v>
      </c>
      <c r="G4912" s="2" t="s">
        <v>1553</v>
      </c>
      <c r="H4912" s="2" t="str">
        <f aca="false">IFERROR(__xludf.dummyfunction("IF(I4967="""", """", REGEXEXTRACT(I4967, ""Padrao/([^/]+)""))"),"Santa Cruz do Jose Jacques")</f>
        <v>Santa Cruz do Jose Jacques</v>
      </c>
    </row>
    <row r="4913" customFormat="false" ht="15.75" hidden="false" customHeight="false" outlineLevel="0" collapsed="false">
      <c r="A4913" s="2" t="n">
        <v>22790</v>
      </c>
      <c r="B4913" s="2" t="s">
        <v>3993</v>
      </c>
      <c r="C4913" s="2" t="n">
        <v>3</v>
      </c>
      <c r="D4913" s="2" t="n">
        <v>3</v>
      </c>
      <c r="E4913" s="2" t="n">
        <v>2</v>
      </c>
      <c r="F4913" s="2" t="n">
        <v>159</v>
      </c>
      <c r="G4913" s="2" t="s">
        <v>1553</v>
      </c>
      <c r="H4913" s="2" t="str">
        <f aca="false">IFERROR(__xludf.dummyfunction("IF(I4968="""", """", REGEXEXTRACT(I4968, ""Padrao/([^/]+)""))"),"Centro")</f>
        <v>Centro</v>
      </c>
    </row>
    <row r="4914" customFormat="false" ht="15.75" hidden="false" customHeight="false" outlineLevel="0" collapsed="false">
      <c r="A4914" s="2" t="n">
        <v>141107</v>
      </c>
      <c r="B4914" s="2" t="s">
        <v>3994</v>
      </c>
      <c r="C4914" s="2" t="n">
        <v>2</v>
      </c>
      <c r="D4914" s="2" t="n">
        <v>2</v>
      </c>
      <c r="E4914" s="2" t="n">
        <v>1</v>
      </c>
      <c r="F4914" s="2" t="n">
        <v>71</v>
      </c>
      <c r="G4914" s="2" t="s">
        <v>3959</v>
      </c>
      <c r="H4914" s="2" t="str">
        <f aca="false">IFERROR(__xludf.dummyfunction("IF(I4969="""", """", REGEXEXTRACT(I4969, ""Padrao/([^/]+)""))"),"Bonfim Paulista")</f>
        <v>Bonfim Paulista</v>
      </c>
    </row>
    <row r="4915" customFormat="false" ht="15.75" hidden="false" customHeight="false" outlineLevel="0" collapsed="false">
      <c r="A4915" s="2" t="n">
        <v>231914</v>
      </c>
      <c r="B4915" s="2" t="s">
        <v>2661</v>
      </c>
      <c r="C4915" s="2" t="n">
        <v>2</v>
      </c>
      <c r="D4915" s="2" t="n">
        <v>2</v>
      </c>
      <c r="E4915" s="2" t="n">
        <v>2</v>
      </c>
      <c r="F4915" s="2" t="n">
        <v>71</v>
      </c>
      <c r="G4915" s="2" t="s">
        <v>1556</v>
      </c>
      <c r="H4915" s="2" t="str">
        <f aca="false">IFERROR(__xludf.dummyfunction("IF(I4970="""", """", REGEXEXTRACT(I4970, ""Padrao/([^/]+)""))"),"Bosque das Juritis")</f>
        <v>Bosque das Juritis</v>
      </c>
    </row>
    <row r="4916" customFormat="false" ht="15.75" hidden="false" customHeight="false" outlineLevel="0" collapsed="false">
      <c r="A4916" s="2" t="n">
        <v>212537</v>
      </c>
      <c r="B4916" s="2" t="s">
        <v>3995</v>
      </c>
      <c r="C4916" s="2" t="n">
        <v>3</v>
      </c>
      <c r="D4916" s="2" t="n">
        <v>3</v>
      </c>
      <c r="E4916" s="2" t="n">
        <v>2</v>
      </c>
      <c r="F4916" s="2" t="n">
        <v>158</v>
      </c>
      <c r="G4916" s="2" t="s">
        <v>1556</v>
      </c>
      <c r="H4916" s="2" t="str">
        <f aca="false">IFERROR(__xludf.dummyfunction("IF(I4971="""", """", REGEXEXTRACT(I4971, ""Padrao/([^/]+)""))"),"Centro")</f>
        <v>Centro</v>
      </c>
    </row>
    <row r="4917" customFormat="false" ht="15.75" hidden="false" customHeight="false" outlineLevel="0" collapsed="false">
      <c r="A4917" s="2" t="n">
        <v>242420</v>
      </c>
      <c r="B4917" s="2" t="s">
        <v>3996</v>
      </c>
      <c r="C4917" s="2" t="n">
        <v>2</v>
      </c>
      <c r="D4917" s="2" t="n">
        <v>3</v>
      </c>
      <c r="E4917" s="2" t="n">
        <v>1</v>
      </c>
      <c r="F4917" s="2" t="n">
        <v>77</v>
      </c>
      <c r="G4917" s="2" t="s">
        <v>1559</v>
      </c>
      <c r="H4917" s="2" t="str">
        <f aca="false">IFERROR(__xludf.dummyfunction("IF(I4972="""", """", REGEXEXTRACT(I4972, ""Padrao/([^/]+)""))"),"Nova Alianca")</f>
        <v>Nova Alianca</v>
      </c>
    </row>
    <row r="4918" customFormat="false" ht="15.75" hidden="false" customHeight="false" outlineLevel="0" collapsed="false">
      <c r="A4918" s="2" t="n">
        <v>241952</v>
      </c>
      <c r="B4918" s="2" t="s">
        <v>3997</v>
      </c>
      <c r="C4918" s="2" t="n">
        <v>2</v>
      </c>
      <c r="D4918" s="2" t="n">
        <v>3</v>
      </c>
      <c r="E4918" s="2" t="n">
        <v>1</v>
      </c>
      <c r="F4918" s="2" t="n">
        <v>65</v>
      </c>
      <c r="G4918" s="2" t="s">
        <v>1559</v>
      </c>
      <c r="H4918" s="2" t="str">
        <f aca="false">IFERROR(__xludf.dummyfunction("IF(I4973="""", """", REGEXEXTRACT(I4973, ""Padrao/([^/]+)""))"),"Residencial Taiwan")</f>
        <v>Residencial Taiwan</v>
      </c>
    </row>
    <row r="4919" customFormat="false" ht="15.75" hidden="false" customHeight="false" outlineLevel="0" collapsed="false">
      <c r="A4919" s="2" t="n">
        <v>241208</v>
      </c>
      <c r="B4919" s="2" t="s">
        <v>3998</v>
      </c>
      <c r="C4919" s="2" t="n">
        <v>2</v>
      </c>
      <c r="D4919" s="2" t="n">
        <v>3</v>
      </c>
      <c r="E4919" s="2" t="n">
        <v>2</v>
      </c>
      <c r="F4919" s="2" t="n">
        <v>120</v>
      </c>
      <c r="G4919" s="2" t="s">
        <v>1559</v>
      </c>
      <c r="H4919" s="2" t="str">
        <f aca="false">IFERROR(__xludf.dummyfunction("IF(I4974="""", """", REGEXEXTRACT(I4974, ""Padrao/([^/]+)""))"),"Parque dos Bandeirantes")</f>
        <v>Parque dos Bandeirantes</v>
      </c>
    </row>
    <row r="4920" customFormat="false" ht="15.75" hidden="false" customHeight="false" outlineLevel="0" collapsed="false">
      <c r="A4920" s="2" t="n">
        <v>234341</v>
      </c>
      <c r="B4920" s="2" t="s">
        <v>3999</v>
      </c>
      <c r="C4920" s="2" t="n">
        <v>2</v>
      </c>
      <c r="D4920" s="2" t="n">
        <v>2</v>
      </c>
      <c r="E4920" s="2" t="n">
        <v>1</v>
      </c>
      <c r="F4920" s="2" t="n">
        <v>58</v>
      </c>
      <c r="G4920" s="2" t="s">
        <v>1559</v>
      </c>
      <c r="H4920" s="2" t="str">
        <f aca="false">IFERROR(__xludf.dummyfunction("IF(I4975="""", """", REGEXEXTRACT(I4975, ""Padrao/([^/]+)""))"),"Ribeirania")</f>
        <v>Ribeirania</v>
      </c>
    </row>
    <row r="4921" customFormat="false" ht="15.75" hidden="false" customHeight="false" outlineLevel="0" collapsed="false">
      <c r="A4921" s="2" t="n">
        <v>228068</v>
      </c>
      <c r="B4921" s="2" t="s">
        <v>4000</v>
      </c>
      <c r="C4921" s="2" t="n">
        <v>2</v>
      </c>
      <c r="D4921" s="2" t="n">
        <v>2</v>
      </c>
      <c r="E4921" s="2" t="n">
        <v>1</v>
      </c>
      <c r="F4921" s="2" t="n">
        <v>70</v>
      </c>
      <c r="G4921" s="2" t="s">
        <v>1559</v>
      </c>
      <c r="H4921" s="2" t="str">
        <f aca="false">IFERROR(__xludf.dummyfunction("IF(I4976="""", """", REGEXEXTRACT(I4976, ""Padrao/([^/]+)""))"),"Jardim Macedo")</f>
        <v>Jardim Macedo</v>
      </c>
    </row>
    <row r="4922" customFormat="false" ht="15.75" hidden="false" customHeight="false" outlineLevel="0" collapsed="false">
      <c r="A4922" s="2" t="n">
        <v>226751</v>
      </c>
      <c r="B4922" s="2" t="s">
        <v>3836</v>
      </c>
      <c r="C4922" s="2" t="n">
        <v>2</v>
      </c>
      <c r="D4922" s="2" t="n">
        <v>1</v>
      </c>
      <c r="E4922" s="2" t="n">
        <v>1</v>
      </c>
      <c r="F4922" s="2" t="n">
        <v>54</v>
      </c>
      <c r="G4922" s="2" t="s">
        <v>1559</v>
      </c>
      <c r="H4922" s="2" t="str">
        <f aca="false">IFERROR(__xludf.dummyfunction("IF(I4977="""", """", REGEXEXTRACT(I4977, ""Padrao/([^/]+)""))"),"Santa Cruz do Jose Jacques")</f>
        <v>Santa Cruz do Jose Jacques</v>
      </c>
    </row>
    <row r="4923" customFormat="false" ht="15.75" hidden="false" customHeight="false" outlineLevel="0" collapsed="false">
      <c r="A4923" s="2" t="n">
        <v>226289</v>
      </c>
      <c r="B4923" s="2" t="s">
        <v>3895</v>
      </c>
      <c r="C4923" s="2" t="n">
        <v>2</v>
      </c>
      <c r="D4923" s="2" t="n">
        <v>2</v>
      </c>
      <c r="E4923" s="2" t="n">
        <v>1</v>
      </c>
      <c r="F4923" s="2" t="n">
        <v>61</v>
      </c>
      <c r="G4923" s="2" t="s">
        <v>1559</v>
      </c>
      <c r="H4923" s="2" t="str">
        <f aca="false">IFERROR(__xludf.dummyfunction("IF(I4978="""", """", REGEXEXTRACT(I4978, ""Padrao/([^/]+)""))"),"Quinta da Primavera")</f>
        <v>Quinta da Primavera</v>
      </c>
    </row>
    <row r="4924" customFormat="false" ht="15.75" hidden="false" customHeight="false" outlineLevel="0" collapsed="false">
      <c r="A4924" s="2" t="n">
        <v>224120</v>
      </c>
      <c r="B4924" s="2" t="s">
        <v>3890</v>
      </c>
      <c r="C4924" s="2" t="n">
        <v>2</v>
      </c>
      <c r="D4924" s="2" t="n">
        <v>3</v>
      </c>
      <c r="E4924" s="2" t="n">
        <v>1</v>
      </c>
      <c r="F4924" s="2" t="n">
        <v>65</v>
      </c>
      <c r="G4924" s="2" t="s">
        <v>1559</v>
      </c>
      <c r="H4924" s="2" t="str">
        <f aca="false">IFERROR(__xludf.dummyfunction("IF(I4979="""", """", REGEXEXTRACT(I4979, ""Padrao/([^/]+)""))"),"Residencial Taiwan")</f>
        <v>Residencial Taiwan</v>
      </c>
    </row>
    <row r="4925" customFormat="false" ht="15.75" hidden="false" customHeight="false" outlineLevel="0" collapsed="false">
      <c r="A4925" s="2" t="n">
        <v>220208</v>
      </c>
      <c r="B4925" s="2" t="s">
        <v>4001</v>
      </c>
      <c r="C4925" s="2" t="n">
        <v>3</v>
      </c>
      <c r="D4925" s="2" t="n">
        <v>3</v>
      </c>
      <c r="E4925" s="2" t="n">
        <v>2</v>
      </c>
      <c r="F4925" s="2" t="n">
        <v>124</v>
      </c>
      <c r="G4925" s="2" t="s">
        <v>1559</v>
      </c>
      <c r="H4925" s="2" t="str">
        <f aca="false">IFERROR(__xludf.dummyfunction("IF(I4980="""", """", REGEXEXTRACT(I4980, ""Padrao/([^/]+)""))"),"Centro")</f>
        <v>Centro</v>
      </c>
    </row>
    <row r="4926" customFormat="false" ht="15.75" hidden="false" customHeight="false" outlineLevel="0" collapsed="false">
      <c r="A4926" s="2" t="n">
        <v>211004</v>
      </c>
      <c r="B4926" s="2" t="s">
        <v>4002</v>
      </c>
      <c r="C4926" s="2" t="n">
        <v>3</v>
      </c>
      <c r="D4926" s="2" t="n">
        <v>2</v>
      </c>
      <c r="E4926" s="2" t="n">
        <v>1</v>
      </c>
      <c r="F4926" s="2" t="n">
        <v>138</v>
      </c>
      <c r="G4926" s="2" t="s">
        <v>1559</v>
      </c>
      <c r="H4926" s="2" t="str">
        <f aca="false">IFERROR(__xludf.dummyfunction("IF(I4981="""", """", REGEXEXTRACT(I4981, ""Padrao/([^/]+)""))"),"Vila Seixas")</f>
        <v>Vila Seixas</v>
      </c>
    </row>
    <row r="4927" customFormat="false" ht="15.75" hidden="false" customHeight="false" outlineLevel="0" collapsed="false">
      <c r="A4927" s="2" t="n">
        <v>193355</v>
      </c>
      <c r="B4927" s="2" t="s">
        <v>4003</v>
      </c>
      <c r="C4927" s="2" t="n">
        <v>3</v>
      </c>
      <c r="D4927" s="2" t="n">
        <v>3</v>
      </c>
      <c r="E4927" s="2" t="n">
        <v>1</v>
      </c>
      <c r="F4927" s="2" t="n">
        <v>129</v>
      </c>
      <c r="G4927" s="2" t="s">
        <v>1559</v>
      </c>
      <c r="H4927" s="2" t="str">
        <f aca="false">IFERROR(__xludf.dummyfunction("IF(I4982="""", """", REGEXEXTRACT(I4982, ""Padrao/([^/]+)""))"),"Centro")</f>
        <v>Centro</v>
      </c>
    </row>
    <row r="4928" customFormat="false" ht="15.75" hidden="false" customHeight="false" outlineLevel="0" collapsed="false">
      <c r="A4928" s="2" t="n">
        <v>177389</v>
      </c>
      <c r="B4928" s="2" t="s">
        <v>4004</v>
      </c>
      <c r="C4928" s="2" t="n">
        <v>2</v>
      </c>
      <c r="D4928" s="2" t="n">
        <v>3</v>
      </c>
      <c r="E4928" s="2" t="n">
        <v>2</v>
      </c>
      <c r="F4928" s="2" t="n">
        <v>72</v>
      </c>
      <c r="G4928" s="2" t="s">
        <v>1559</v>
      </c>
      <c r="H4928" s="2" t="str">
        <f aca="false">IFERROR(__xludf.dummyfunction("IF(I4983="""", """", REGEXEXTRACT(I4983, ""Padrao/([^/]+)""))"),"Vila Seixas")</f>
        <v>Vila Seixas</v>
      </c>
    </row>
    <row r="4929" customFormat="false" ht="15.75" hidden="false" customHeight="false" outlineLevel="0" collapsed="false">
      <c r="A4929" s="2" t="n">
        <v>150542</v>
      </c>
      <c r="B4929" s="2" t="s">
        <v>4005</v>
      </c>
      <c r="C4929" s="2" t="n">
        <v>3</v>
      </c>
      <c r="D4929" s="2" t="n">
        <v>3</v>
      </c>
      <c r="E4929" s="2" t="n">
        <v>1</v>
      </c>
      <c r="F4929" s="2" t="n">
        <v>204</v>
      </c>
      <c r="G4929" s="2" t="s">
        <v>1559</v>
      </c>
      <c r="H4929" s="2" t="str">
        <f aca="false">IFERROR(__xludf.dummyfunction("IF(I4985="""", """", REGEXEXTRACT(I4985, ""Padrao/([^/]+)""))"),"Centro")</f>
        <v>Centro</v>
      </c>
    </row>
    <row r="4930" customFormat="false" ht="15.75" hidden="false" customHeight="false" outlineLevel="0" collapsed="false">
      <c r="A4930" s="2" t="n">
        <v>142769</v>
      </c>
      <c r="B4930" s="2" t="s">
        <v>3105</v>
      </c>
      <c r="C4930" s="2" t="n">
        <v>3</v>
      </c>
      <c r="D4930" s="2" t="n">
        <v>3</v>
      </c>
      <c r="E4930" s="2" t="n">
        <v>1</v>
      </c>
      <c r="F4930" s="2" t="n">
        <v>141</v>
      </c>
      <c r="G4930" s="2" t="s">
        <v>1559</v>
      </c>
      <c r="H4930" s="2" t="str">
        <f aca="false">IFERROR(__xludf.dummyfunction("IF(I4986="""", """", REGEXEXTRACT(I4986, ""Padrao/([^/]+)""))"),"Centro")</f>
        <v>Centro</v>
      </c>
    </row>
    <row r="4931" customFormat="false" ht="15.75" hidden="false" customHeight="false" outlineLevel="0" collapsed="false">
      <c r="A4931" s="2" t="n">
        <v>139637</v>
      </c>
      <c r="B4931" s="2" t="s">
        <v>4006</v>
      </c>
      <c r="C4931" s="2" t="n">
        <v>3</v>
      </c>
      <c r="D4931" s="2" t="n">
        <v>2</v>
      </c>
      <c r="E4931" s="2" t="n">
        <v>1</v>
      </c>
      <c r="F4931" s="2" t="n">
        <v>115</v>
      </c>
      <c r="G4931" s="2" t="s">
        <v>1559</v>
      </c>
      <c r="H4931" s="2" t="str">
        <f aca="false">IFERROR(__xludf.dummyfunction("IF(I4987="""", """", REGEXEXTRACT(I4987, ""Padrao/([^/]+)""))"),"Jardim Iraja")</f>
        <v>Jardim Iraja</v>
      </c>
    </row>
    <row r="4932" customFormat="false" ht="15.75" hidden="false" customHeight="false" outlineLevel="0" collapsed="false">
      <c r="A4932" s="2" t="n">
        <v>132671</v>
      </c>
      <c r="B4932" s="2" t="s">
        <v>4007</v>
      </c>
      <c r="C4932" s="2" t="n">
        <v>3</v>
      </c>
      <c r="D4932" s="2" t="n">
        <v>4</v>
      </c>
      <c r="E4932" s="2" t="n">
        <v>1</v>
      </c>
      <c r="F4932" s="2" t="n">
        <v>165</v>
      </c>
      <c r="G4932" s="2" t="s">
        <v>1559</v>
      </c>
      <c r="H4932" s="2" t="str">
        <f aca="false">IFERROR(__xludf.dummyfunction("IF(I4988="""", """", REGEXEXTRACT(I4988, ""Padrao/([^/]+)""))"),"Centro")</f>
        <v>Centro</v>
      </c>
    </row>
    <row r="4933" customFormat="false" ht="15.75" hidden="false" customHeight="false" outlineLevel="0" collapsed="false">
      <c r="A4933" s="2" t="n">
        <v>125018</v>
      </c>
      <c r="B4933" s="2" t="s">
        <v>602</v>
      </c>
      <c r="C4933" s="2" t="n">
        <v>3</v>
      </c>
      <c r="D4933" s="2" t="n">
        <v>3</v>
      </c>
      <c r="E4933" s="2" t="n">
        <v>2</v>
      </c>
      <c r="F4933" s="2" t="n">
        <v>123</v>
      </c>
      <c r="G4933" s="2" t="s">
        <v>1559</v>
      </c>
      <c r="H4933" s="2" t="str">
        <f aca="false">IFERROR(__xludf.dummyfunction("IF(I4989="""", """", REGEXEXTRACT(I4989, ""Padrao/([^/]+)""))"),"Centro")</f>
        <v>Centro</v>
      </c>
    </row>
    <row r="4934" customFormat="false" ht="15.75" hidden="false" customHeight="false" outlineLevel="0" collapsed="false">
      <c r="A4934" s="2" t="n">
        <v>116582</v>
      </c>
      <c r="B4934" s="2" t="s">
        <v>4008</v>
      </c>
      <c r="C4934" s="2" t="n">
        <v>3</v>
      </c>
      <c r="D4934" s="2" t="n">
        <v>2</v>
      </c>
      <c r="E4934" s="2" t="n">
        <v>2</v>
      </c>
      <c r="F4934" s="2" t="n">
        <v>82</v>
      </c>
      <c r="G4934" s="2" t="s">
        <v>1559</v>
      </c>
      <c r="H4934" s="2" t="str">
        <f aca="false">IFERROR(__xludf.dummyfunction("IF(I4990="""", """", REGEXEXTRACT(I4990, ""Padrao/([^/]+)""))"),"Nova Alianca")</f>
        <v>Nova Alianca</v>
      </c>
    </row>
    <row r="4935" customFormat="false" ht="15.75" hidden="false" customHeight="false" outlineLevel="0" collapsed="false">
      <c r="A4935" s="2" t="n">
        <v>109715</v>
      </c>
      <c r="B4935" s="2" t="s">
        <v>4009</v>
      </c>
      <c r="C4935" s="2" t="n">
        <v>3</v>
      </c>
      <c r="D4935" s="2" t="n">
        <v>2</v>
      </c>
      <c r="E4935" s="2" t="n">
        <v>2</v>
      </c>
      <c r="F4935" s="2" t="n">
        <v>84</v>
      </c>
      <c r="G4935" s="2" t="s">
        <v>1559</v>
      </c>
      <c r="H4935" s="2" t="str">
        <f aca="false">IFERROR(__xludf.dummyfunction("IF(I4991="""", """", REGEXEXTRACT(I4991, ""Padrao/([^/]+)""))"),"Jardim Nova Alianca Sul")</f>
        <v>Jardim Nova Alianca Sul</v>
      </c>
    </row>
    <row r="4936" customFormat="false" ht="15.75" hidden="false" customHeight="false" outlineLevel="0" collapsed="false">
      <c r="A4936" s="2" t="n">
        <v>109133</v>
      </c>
      <c r="B4936" s="2" t="s">
        <v>3135</v>
      </c>
      <c r="C4936" s="2" t="n">
        <v>3</v>
      </c>
      <c r="D4936" s="2" t="n">
        <v>2</v>
      </c>
      <c r="E4936" s="2" t="n">
        <v>1</v>
      </c>
      <c r="F4936" s="2" t="n">
        <v>141</v>
      </c>
      <c r="G4936" s="2" t="s">
        <v>1559</v>
      </c>
      <c r="H4936" s="2" t="str">
        <f aca="false">IFERROR(__xludf.dummyfunction("IF(I4992="""", """", REGEXEXTRACT(I4992, ""Padrao/([^/]+)""))"),"Centro")</f>
        <v>Centro</v>
      </c>
    </row>
    <row r="4937" customFormat="false" ht="15.75" hidden="false" customHeight="false" outlineLevel="0" collapsed="false">
      <c r="A4937" s="2" t="n">
        <v>105053</v>
      </c>
      <c r="B4937" s="2" t="s">
        <v>162</v>
      </c>
      <c r="C4937" s="2" t="n">
        <v>3</v>
      </c>
      <c r="D4937" s="2" t="n">
        <v>4</v>
      </c>
      <c r="E4937" s="2" t="n">
        <v>2</v>
      </c>
      <c r="F4937" s="2" t="n">
        <v>118</v>
      </c>
      <c r="G4937" s="2" t="s">
        <v>1559</v>
      </c>
      <c r="H4937" s="2" t="str">
        <f aca="false">IFERROR(__xludf.dummyfunction("IF(I4993="""", """", REGEXEXTRACT(I4993, ""Padrao/([^/]+)""))"),"Jardim Botanico")</f>
        <v>Jardim Botanico</v>
      </c>
    </row>
    <row r="4938" customFormat="false" ht="15.75" hidden="false" customHeight="false" outlineLevel="0" collapsed="false">
      <c r="A4938" s="2" t="n">
        <v>96764</v>
      </c>
      <c r="B4938" s="2" t="s">
        <v>440</v>
      </c>
      <c r="C4938" s="2" t="n">
        <v>3</v>
      </c>
      <c r="D4938" s="2" t="n">
        <v>3</v>
      </c>
      <c r="E4938" s="2" t="n">
        <v>2</v>
      </c>
      <c r="F4938" s="2" t="n">
        <v>103</v>
      </c>
      <c r="G4938" s="2" t="s">
        <v>1559</v>
      </c>
      <c r="H4938" s="2" t="str">
        <f aca="false">IFERROR(__xludf.dummyfunction("IF(I4994="""", """", REGEXEXTRACT(I4994, ""Padrao/([^/]+)""))"),"Vila Seixas")</f>
        <v>Vila Seixas</v>
      </c>
    </row>
    <row r="4939" customFormat="false" ht="15.75" hidden="false" customHeight="false" outlineLevel="0" collapsed="false">
      <c r="A4939" s="2" t="n">
        <v>95519</v>
      </c>
      <c r="B4939" s="2" t="s">
        <v>4010</v>
      </c>
      <c r="C4939" s="2" t="n">
        <v>2</v>
      </c>
      <c r="D4939" s="2" t="n">
        <v>3</v>
      </c>
      <c r="E4939" s="2" t="n">
        <v>2</v>
      </c>
      <c r="F4939" s="2" t="n">
        <v>78</v>
      </c>
      <c r="G4939" s="2" t="s">
        <v>1559</v>
      </c>
      <c r="H4939" s="2" t="str">
        <f aca="false">IFERROR(__xludf.dummyfunction("IF(I4995="""", """", REGEXEXTRACT(I4995, ""Padrao/([^/]+)""))"),"Nova Alianca")</f>
        <v>Nova Alianca</v>
      </c>
    </row>
    <row r="4940" customFormat="false" ht="15.75" hidden="false" customHeight="false" outlineLevel="0" collapsed="false">
      <c r="A4940" s="2" t="n">
        <v>85376</v>
      </c>
      <c r="B4940" s="2" t="s">
        <v>4011</v>
      </c>
      <c r="C4940" s="2" t="n">
        <v>3</v>
      </c>
      <c r="D4940" s="2" t="n">
        <v>2</v>
      </c>
      <c r="E4940" s="2" t="n">
        <v>2</v>
      </c>
      <c r="F4940" s="2" t="n">
        <v>79</v>
      </c>
      <c r="G4940" s="2" t="s">
        <v>1559</v>
      </c>
      <c r="H4940" s="2" t="str">
        <f aca="false">IFERROR(__xludf.dummyfunction("IF(I4996="""", """", REGEXEXTRACT(I4996, ""Padrao/([^/]+)""))"),"Jardim Botanico")</f>
        <v>Jardim Botanico</v>
      </c>
    </row>
    <row r="4941" customFormat="false" ht="15.75" hidden="false" customHeight="false" outlineLevel="0" collapsed="false">
      <c r="A4941" s="2" t="n">
        <v>83696</v>
      </c>
      <c r="B4941" s="2" t="s">
        <v>4012</v>
      </c>
      <c r="C4941" s="2" t="n">
        <v>2</v>
      </c>
      <c r="D4941" s="2" t="n">
        <v>2</v>
      </c>
      <c r="E4941" s="2" t="n">
        <v>1</v>
      </c>
      <c r="F4941" s="2" t="n">
        <v>82</v>
      </c>
      <c r="G4941" s="2" t="s">
        <v>1559</v>
      </c>
      <c r="H4941" s="2" t="str">
        <f aca="false">IFERROR(__xludf.dummyfunction("IF(I4997="""", """", REGEXEXTRACT(I4997, ""Padrao/([^/]+)""))"),"Jardim Paulista")</f>
        <v>Jardim Paulista</v>
      </c>
    </row>
    <row r="4942" customFormat="false" ht="15.75" hidden="false" customHeight="false" outlineLevel="0" collapsed="false">
      <c r="A4942" s="2" t="n">
        <v>64124</v>
      </c>
      <c r="B4942" s="2" t="s">
        <v>4013</v>
      </c>
      <c r="C4942" s="2" t="n">
        <v>2</v>
      </c>
      <c r="D4942" s="2" t="n">
        <v>2</v>
      </c>
      <c r="E4942" s="2" t="n">
        <v>1</v>
      </c>
      <c r="F4942" s="2" t="n">
        <v>64</v>
      </c>
      <c r="G4942" s="2" t="s">
        <v>1559</v>
      </c>
      <c r="H4942" s="2" t="str">
        <f aca="false">IFERROR(__xludf.dummyfunction("IF(I4998="""", """", REGEXEXTRACT(I4998, ""Padrao/([^/]+)""))"),"Jardim Botanico")</f>
        <v>Jardim Botanico</v>
      </c>
    </row>
    <row r="4943" customFormat="false" ht="15.75" hidden="false" customHeight="false" outlineLevel="0" collapsed="false">
      <c r="A4943" s="2" t="n">
        <v>61664</v>
      </c>
      <c r="B4943" s="2" t="s">
        <v>4014</v>
      </c>
      <c r="C4943" s="2" t="n">
        <v>3</v>
      </c>
      <c r="D4943" s="2" t="n">
        <v>2</v>
      </c>
      <c r="E4943" s="2" t="n">
        <v>1</v>
      </c>
      <c r="F4943" s="2" t="n">
        <v>97</v>
      </c>
      <c r="G4943" s="2" t="s">
        <v>1559</v>
      </c>
      <c r="H4943" s="2" t="str">
        <f aca="false">IFERROR(__xludf.dummyfunction("IF(I4999="""", """", REGEXEXTRACT(I4999, ""Padrao/([^/]+)""))"),"Campos Eliseos")</f>
        <v>Campos Eliseos</v>
      </c>
    </row>
    <row r="4944" customFormat="false" ht="15.75" hidden="false" customHeight="false" outlineLevel="0" collapsed="false">
      <c r="A4944" s="2" t="n">
        <v>74357</v>
      </c>
      <c r="B4944" s="2" t="s">
        <v>162</v>
      </c>
      <c r="C4944" s="2" t="n">
        <v>2</v>
      </c>
      <c r="D4944" s="2" t="n">
        <v>2</v>
      </c>
      <c r="E4944" s="2" t="n">
        <v>1</v>
      </c>
      <c r="F4944" s="2" t="n">
        <v>60</v>
      </c>
      <c r="G4944" s="2" t="s">
        <v>4015</v>
      </c>
      <c r="H4944" s="2" t="str">
        <f aca="false">IFERROR(__xludf.dummyfunction("IF(I5000="""", """", REGEXEXTRACT(I5000, ""Padrao/([^/]+)""))"),"Nova Alianca")</f>
        <v>Nova Alianca</v>
      </c>
    </row>
    <row r="4945" customFormat="false" ht="15.75" hidden="false" customHeight="false" outlineLevel="0" collapsed="false">
      <c r="A4945" s="2" t="n">
        <v>239462</v>
      </c>
      <c r="B4945" s="2" t="s">
        <v>3756</v>
      </c>
      <c r="C4945" s="2" t="n">
        <v>2</v>
      </c>
      <c r="D4945" s="2" t="n">
        <v>2</v>
      </c>
      <c r="E4945" s="2" t="n">
        <v>1</v>
      </c>
      <c r="F4945" s="2" t="n">
        <v>67</v>
      </c>
      <c r="G4945" s="2" t="s">
        <v>4016</v>
      </c>
      <c r="H4945" s="2" t="str">
        <f aca="false">IFERROR(__xludf.dummyfunction("IF(I5001="""", """", REGEXEXTRACT(I5001, ""Padrao/([^/]+)""))"),"Jardim Iraja")</f>
        <v>Jardim Iraja</v>
      </c>
    </row>
    <row r="4946" customFormat="false" ht="15.75" hidden="false" customHeight="false" outlineLevel="0" collapsed="false">
      <c r="A4946" s="2" t="n">
        <v>197885</v>
      </c>
      <c r="B4946" s="2" t="s">
        <v>4017</v>
      </c>
      <c r="C4946" s="2" t="n">
        <v>3</v>
      </c>
      <c r="D4946" s="2" t="n">
        <v>2</v>
      </c>
      <c r="E4946" s="2" t="n">
        <v>1</v>
      </c>
      <c r="F4946" s="2" t="n">
        <v>129</v>
      </c>
      <c r="G4946" s="2" t="s">
        <v>4016</v>
      </c>
      <c r="H4946" s="2" t="str">
        <f aca="false">IFERROR(__xludf.dummyfunction("IF(I5002="""", """", REGEXEXTRACT(I5002, ""Padrao/([^/]+)""))"),"Jardim Botanico")</f>
        <v>Jardim Botanico</v>
      </c>
    </row>
    <row r="4947" customFormat="false" ht="15.75" hidden="false" customHeight="false" outlineLevel="0" collapsed="false">
      <c r="A4947" s="2" t="n">
        <v>161117</v>
      </c>
      <c r="B4947" s="2" t="s">
        <v>4018</v>
      </c>
      <c r="C4947" s="2" t="n">
        <v>3</v>
      </c>
      <c r="D4947" s="2" t="n">
        <v>3</v>
      </c>
      <c r="E4947" s="2" t="n">
        <v>1</v>
      </c>
      <c r="F4947" s="2" t="n">
        <v>87</v>
      </c>
      <c r="G4947" s="2" t="s">
        <v>4019</v>
      </c>
      <c r="H4947" s="2" t="str">
        <f aca="false">IFERROR(__xludf.dummyfunction("IF(I5003="""", """", REGEXEXTRACT(I5003, ""Padrao/([^/]+)""))"),"Jardim Botanico")</f>
        <v>Jardim Botanico</v>
      </c>
    </row>
    <row r="4948" customFormat="false" ht="15.75" hidden="false" customHeight="false" outlineLevel="0" collapsed="false">
      <c r="A4948" s="2" t="n">
        <v>216044</v>
      </c>
      <c r="B4948" s="2" t="s">
        <v>3895</v>
      </c>
      <c r="C4948" s="2" t="n">
        <v>2</v>
      </c>
      <c r="D4948" s="2" t="n">
        <v>2</v>
      </c>
      <c r="E4948" s="2" t="n">
        <v>1</v>
      </c>
      <c r="F4948" s="2" t="n">
        <v>61</v>
      </c>
      <c r="G4948" s="2" t="s">
        <v>4020</v>
      </c>
      <c r="H4948" s="2" t="str">
        <f aca="false">IFERROR(__xludf.dummyfunction("IF(I5004="""", """", REGEXEXTRACT(I5004, ""Padrao/([^/]+)""))"),"Quinta da Primavera")</f>
        <v>Quinta da Primavera</v>
      </c>
    </row>
    <row r="4949" customFormat="false" ht="15.75" hidden="false" customHeight="false" outlineLevel="0" collapsed="false">
      <c r="A4949" s="2" t="n">
        <v>235205</v>
      </c>
      <c r="B4949" s="2" t="s">
        <v>3826</v>
      </c>
      <c r="C4949" s="2" t="n">
        <v>2</v>
      </c>
      <c r="D4949" s="2" t="n">
        <v>2</v>
      </c>
      <c r="E4949" s="2" t="n">
        <v>1</v>
      </c>
      <c r="F4949" s="2" t="n">
        <v>65</v>
      </c>
      <c r="G4949" s="2" t="s">
        <v>4021</v>
      </c>
      <c r="H4949" s="2" t="str">
        <f aca="false">IFERROR(__xludf.dummyfunction("IF(I5005="""", """", REGEXEXTRACT(I5005, ""Padrao/([^/]+)""))"),"Nova Alianca")</f>
        <v>Nova Alianca</v>
      </c>
    </row>
    <row r="4950" customFormat="false" ht="15.75" hidden="false" customHeight="false" outlineLevel="0" collapsed="false">
      <c r="A4950" s="2" t="n">
        <v>231971</v>
      </c>
      <c r="B4950" s="2" t="s">
        <v>2661</v>
      </c>
      <c r="C4950" s="2" t="n">
        <v>2</v>
      </c>
      <c r="D4950" s="2" t="n">
        <v>2</v>
      </c>
      <c r="E4950" s="2" t="n">
        <v>2</v>
      </c>
      <c r="F4950" s="2" t="n">
        <v>71</v>
      </c>
      <c r="G4950" s="2" t="s">
        <v>1556</v>
      </c>
      <c r="H4950" s="2" t="str">
        <f aca="false">IFERROR(__xludf.dummyfunction("IF(I5006="""", """", REGEXEXTRACT(I5006, ""Padrao/([^/]+)""))"),"Bosque das Juritis")</f>
        <v>Bosque das Juritis</v>
      </c>
    </row>
    <row r="4951" customFormat="false" ht="15.75" hidden="false" customHeight="false" outlineLevel="0" collapsed="false">
      <c r="A4951" s="2" t="n">
        <v>231962</v>
      </c>
      <c r="B4951" s="2" t="s">
        <v>4022</v>
      </c>
      <c r="C4951" s="2" t="n">
        <v>2</v>
      </c>
      <c r="D4951" s="2" t="n">
        <v>2</v>
      </c>
      <c r="E4951" s="2" t="n">
        <v>2</v>
      </c>
      <c r="F4951" s="2" t="n">
        <v>75</v>
      </c>
      <c r="G4951" s="2" t="s">
        <v>1556</v>
      </c>
      <c r="H4951" s="2" t="str">
        <f aca="false">IFERROR(__xludf.dummyfunction("IF(I5007="""", """", REGEXEXTRACT(I5007, ""Padrao/([^/]+)""))"),"Bosque das Juritis")</f>
        <v>Bosque das Juritis</v>
      </c>
    </row>
    <row r="4952" customFormat="false" ht="15.75" hidden="false" customHeight="false" outlineLevel="0" collapsed="false">
      <c r="A4952" s="2" t="n">
        <v>231959</v>
      </c>
      <c r="B4952" s="2" t="s">
        <v>4023</v>
      </c>
      <c r="C4952" s="2" t="n">
        <v>2</v>
      </c>
      <c r="D4952" s="2" t="n">
        <v>2</v>
      </c>
      <c r="E4952" s="2" t="n">
        <v>2</v>
      </c>
      <c r="F4952" s="2" t="n">
        <v>75</v>
      </c>
      <c r="G4952" s="2" t="s">
        <v>1556</v>
      </c>
      <c r="H4952" s="2" t="str">
        <f aca="false">IFERROR(__xludf.dummyfunction("IF(I5008="""", """", REGEXEXTRACT(I5008, ""Padrao/([^/]+)""))"),"Bosque das Juritis")</f>
        <v>Bosque das Juritis</v>
      </c>
    </row>
    <row r="4953" customFormat="false" ht="15.75" hidden="false" customHeight="false" outlineLevel="0" collapsed="false">
      <c r="A4953" s="2" t="n">
        <v>231950</v>
      </c>
      <c r="B4953" s="2" t="s">
        <v>4022</v>
      </c>
      <c r="C4953" s="2" t="n">
        <v>2</v>
      </c>
      <c r="D4953" s="2" t="n">
        <v>2</v>
      </c>
      <c r="E4953" s="2" t="n">
        <v>2</v>
      </c>
      <c r="F4953" s="2" t="n">
        <v>75</v>
      </c>
      <c r="G4953" s="2" t="s">
        <v>1556</v>
      </c>
      <c r="H4953" s="2" t="str">
        <f aca="false">IFERROR(__xludf.dummyfunction("IF(I5009="""", """", REGEXEXTRACT(I5009, ""Padrao/([^/]+)""))"),"Bosque das Juritis")</f>
        <v>Bosque das Juritis</v>
      </c>
    </row>
    <row r="4954" customFormat="false" ht="15.75" hidden="false" customHeight="false" outlineLevel="0" collapsed="false">
      <c r="A4954" s="2" t="n">
        <v>231947</v>
      </c>
      <c r="B4954" s="2" t="s">
        <v>4022</v>
      </c>
      <c r="C4954" s="2" t="n">
        <v>2</v>
      </c>
      <c r="D4954" s="2" t="n">
        <v>2</v>
      </c>
      <c r="E4954" s="2" t="n">
        <v>2</v>
      </c>
      <c r="F4954" s="2" t="n">
        <v>75</v>
      </c>
      <c r="G4954" s="2" t="s">
        <v>1556</v>
      </c>
      <c r="H4954" s="2" t="str">
        <f aca="false">IFERROR(__xludf.dummyfunction("IF(I5010="""", """", REGEXEXTRACT(I5010, ""Padrao/([^/]+)""))"),"Bosque das Juritis")</f>
        <v>Bosque das Juritis</v>
      </c>
    </row>
    <row r="4955" customFormat="false" ht="15.75" hidden="false" customHeight="false" outlineLevel="0" collapsed="false">
      <c r="A4955" s="2" t="n">
        <v>231974</v>
      </c>
      <c r="B4955" s="2" t="s">
        <v>2661</v>
      </c>
      <c r="C4955" s="2" t="n">
        <v>2</v>
      </c>
      <c r="D4955" s="2" t="n">
        <v>2</v>
      </c>
      <c r="E4955" s="2" t="n">
        <v>2</v>
      </c>
      <c r="F4955" s="2" t="n">
        <v>71</v>
      </c>
      <c r="G4955" s="2" t="s">
        <v>1559</v>
      </c>
      <c r="H4955" s="2" t="str">
        <f aca="false">IFERROR(__xludf.dummyfunction("IF(I5011="""", """", REGEXEXTRACT(I5011, ""Padrao/([^/]+)""))"),"Bosque das Juritis")</f>
        <v>Bosque das Juritis</v>
      </c>
    </row>
    <row r="4956" customFormat="false" ht="15.75" hidden="false" customHeight="false" outlineLevel="0" collapsed="false">
      <c r="A4956" s="2" t="n">
        <v>231965</v>
      </c>
      <c r="B4956" s="2" t="s">
        <v>4022</v>
      </c>
      <c r="C4956" s="2" t="n">
        <v>2</v>
      </c>
      <c r="D4956" s="2" t="n">
        <v>2</v>
      </c>
      <c r="E4956" s="2" t="n">
        <v>2</v>
      </c>
      <c r="F4956" s="2" t="n">
        <v>75</v>
      </c>
      <c r="G4956" s="2" t="s">
        <v>1559</v>
      </c>
      <c r="H4956" s="2" t="str">
        <f aca="false">IFERROR(__xludf.dummyfunction("IF(I5012="""", """", REGEXEXTRACT(I5012, ""Padrao/([^/]+)""))"),"Bosque das Juritis")</f>
        <v>Bosque das Juritis</v>
      </c>
    </row>
    <row r="4957" customFormat="false" ht="15.75" hidden="false" customHeight="false" outlineLevel="0" collapsed="false">
      <c r="A4957" s="2" t="n">
        <v>231953</v>
      </c>
      <c r="B4957" s="2" t="s">
        <v>4022</v>
      </c>
      <c r="C4957" s="2" t="n">
        <v>2</v>
      </c>
      <c r="D4957" s="2" t="n">
        <v>2</v>
      </c>
      <c r="E4957" s="2" t="n">
        <v>2</v>
      </c>
      <c r="F4957" s="2" t="n">
        <v>75</v>
      </c>
      <c r="G4957" s="2" t="s">
        <v>1559</v>
      </c>
      <c r="H4957" s="2" t="str">
        <f aca="false">IFERROR(__xludf.dummyfunction("IF(I5013="""", """", REGEXEXTRACT(I5013, ""Padrao/([^/]+)""))"),"Bosque das Juritis")</f>
        <v>Bosque das Juritis</v>
      </c>
    </row>
    <row r="4958" customFormat="false" ht="15.75" hidden="false" customHeight="false" outlineLevel="0" collapsed="false">
      <c r="A4958" s="2" t="n">
        <v>82316</v>
      </c>
      <c r="B4958" s="2" t="s">
        <v>4024</v>
      </c>
      <c r="C4958" s="2" t="n">
        <v>2</v>
      </c>
      <c r="D4958" s="2" t="n">
        <v>2</v>
      </c>
      <c r="E4958" s="2" t="n">
        <v>2</v>
      </c>
      <c r="F4958" s="2" t="n">
        <v>72</v>
      </c>
      <c r="G4958" s="2" t="s">
        <v>4015</v>
      </c>
      <c r="H4958" s="2" t="str">
        <f aca="false">IFERROR(__xludf.dummyfunction("IF(I5014="""", """", REGEXEXTRACT(I5014, ""Padrao/([^/]+)""))"),"Nova Alianca")</f>
        <v>Nova Alianca</v>
      </c>
    </row>
    <row r="4959" customFormat="false" ht="15.75" hidden="false" customHeight="false" outlineLevel="0" collapsed="false">
      <c r="A4959" s="2" t="n">
        <v>231977</v>
      </c>
      <c r="B4959" s="2" t="s">
        <v>2661</v>
      </c>
      <c r="C4959" s="2" t="n">
        <v>2</v>
      </c>
      <c r="D4959" s="2" t="n">
        <v>2</v>
      </c>
      <c r="E4959" s="2" t="n">
        <v>2</v>
      </c>
      <c r="F4959" s="2" t="n">
        <v>71</v>
      </c>
      <c r="G4959" s="2" t="s">
        <v>4016</v>
      </c>
      <c r="H4959" s="2" t="str">
        <f aca="false">IFERROR(__xludf.dummyfunction("IF(I5015="""", """", REGEXEXTRACT(I5015, ""Padrao/([^/]+)""))"),"Bosque das Juritis")</f>
        <v>Bosque das Juritis</v>
      </c>
    </row>
    <row r="4960" customFormat="false" ht="15.75" hidden="false" customHeight="false" outlineLevel="0" collapsed="false">
      <c r="A4960" s="2" t="n">
        <v>231968</v>
      </c>
      <c r="B4960" s="2" t="s">
        <v>4022</v>
      </c>
      <c r="C4960" s="2" t="n">
        <v>2</v>
      </c>
      <c r="D4960" s="2" t="n">
        <v>2</v>
      </c>
      <c r="E4960" s="2" t="n">
        <v>2</v>
      </c>
      <c r="F4960" s="2" t="n">
        <v>75</v>
      </c>
      <c r="G4960" s="2" t="s">
        <v>4016</v>
      </c>
      <c r="H4960" s="2" t="str">
        <f aca="false">IFERROR(__xludf.dummyfunction("IF(I5016="""", """", REGEXEXTRACT(I5016, ""Padrao/([^/]+)""))"),"Bosque das Juritis")</f>
        <v>Bosque das Juritis</v>
      </c>
    </row>
    <row r="4961" customFormat="false" ht="15.75" hidden="false" customHeight="false" outlineLevel="0" collapsed="false">
      <c r="A4961" s="2" t="n">
        <v>231956</v>
      </c>
      <c r="B4961" s="2" t="s">
        <v>4022</v>
      </c>
      <c r="C4961" s="2" t="n">
        <v>2</v>
      </c>
      <c r="D4961" s="2" t="n">
        <v>2</v>
      </c>
      <c r="E4961" s="2" t="n">
        <v>2</v>
      </c>
      <c r="F4961" s="2" t="n">
        <v>75</v>
      </c>
      <c r="G4961" s="2" t="s">
        <v>4016</v>
      </c>
      <c r="H4961" s="2" t="str">
        <f aca="false">IFERROR(__xludf.dummyfunction("IF(I5017="""", """", REGEXEXTRACT(I5017, ""Padrao/([^/]+)""))"),"Bosque das Juritis")</f>
        <v>Bosque das Juritis</v>
      </c>
    </row>
    <row r="4962" customFormat="false" ht="15.75" hidden="false" customHeight="false" outlineLevel="0" collapsed="false">
      <c r="A4962" s="2" t="n">
        <v>231944</v>
      </c>
      <c r="B4962" s="2" t="s">
        <v>4022</v>
      </c>
      <c r="C4962" s="2" t="n">
        <v>2</v>
      </c>
      <c r="D4962" s="2" t="n">
        <v>2</v>
      </c>
      <c r="E4962" s="2" t="n">
        <v>2</v>
      </c>
      <c r="F4962" s="2" t="n">
        <v>75</v>
      </c>
      <c r="G4962" s="2" t="s">
        <v>1595</v>
      </c>
      <c r="H4962" s="2" t="str">
        <f aca="false">IFERROR(__xludf.dummyfunction("IF(I5018="""", """", REGEXEXTRACT(I5018, ""Padrao/([^/]+)""))"),"Bosque das Juritis")</f>
        <v>Bosque das Juritis</v>
      </c>
    </row>
    <row r="4963" customFormat="false" ht="15.75" hidden="false" customHeight="false" outlineLevel="0" collapsed="false">
      <c r="A4963" s="2" t="n">
        <v>231935</v>
      </c>
      <c r="B4963" s="2" t="s">
        <v>4022</v>
      </c>
      <c r="C4963" s="2" t="n">
        <v>2</v>
      </c>
      <c r="D4963" s="2" t="n">
        <v>2</v>
      </c>
      <c r="E4963" s="2" t="n">
        <v>2</v>
      </c>
      <c r="F4963" s="2" t="n">
        <v>75</v>
      </c>
      <c r="G4963" s="2" t="s">
        <v>1595</v>
      </c>
      <c r="H4963" s="2" t="str">
        <f aca="false">IFERROR(__xludf.dummyfunction("IF(I5019="""", """", REGEXEXTRACT(I5019, ""Padrao/([^/]+)""))"),"Bosque das Juritis")</f>
        <v>Bosque das Juritis</v>
      </c>
    </row>
    <row r="4964" customFormat="false" ht="15.75" hidden="false" customHeight="false" outlineLevel="0" collapsed="false">
      <c r="A4964" s="2" t="n">
        <v>231932</v>
      </c>
      <c r="B4964" s="2" t="s">
        <v>4022</v>
      </c>
      <c r="C4964" s="2" t="n">
        <v>2</v>
      </c>
      <c r="D4964" s="2" t="n">
        <v>2</v>
      </c>
      <c r="E4964" s="2" t="n">
        <v>2</v>
      </c>
      <c r="F4964" s="2" t="n">
        <v>75</v>
      </c>
      <c r="G4964" s="2" t="s">
        <v>1595</v>
      </c>
      <c r="H4964" s="2" t="str">
        <f aca="false">IFERROR(__xludf.dummyfunction("IF(I5020="""", """", REGEXEXTRACT(I5020, ""Padrao/([^/]+)""))"),"Bosque das Juritis")</f>
        <v>Bosque das Juritis</v>
      </c>
    </row>
    <row r="4965" customFormat="false" ht="15.75" hidden="false" customHeight="false" outlineLevel="0" collapsed="false">
      <c r="A4965" s="2" t="n">
        <v>231911</v>
      </c>
      <c r="B4965" s="2" t="s">
        <v>4022</v>
      </c>
      <c r="C4965" s="2" t="n">
        <v>2</v>
      </c>
      <c r="D4965" s="2" t="n">
        <v>2</v>
      </c>
      <c r="E4965" s="2" t="n">
        <v>2</v>
      </c>
      <c r="F4965" s="2" t="n">
        <v>75</v>
      </c>
      <c r="G4965" s="2" t="s">
        <v>1595</v>
      </c>
      <c r="H4965" s="2" t="str">
        <f aca="false">IFERROR(__xludf.dummyfunction("IF(I5021="""", """", REGEXEXTRACT(I5021, ""Padrao/([^/]+)""))"),"Bosque das Juritis")</f>
        <v>Bosque das Juritis</v>
      </c>
    </row>
    <row r="4966" customFormat="false" ht="15.75" hidden="false" customHeight="false" outlineLevel="0" collapsed="false">
      <c r="A4966" s="2" t="n">
        <v>224315</v>
      </c>
      <c r="B4966" s="2" t="s">
        <v>4025</v>
      </c>
      <c r="C4966" s="2" t="n">
        <v>3</v>
      </c>
      <c r="D4966" s="2" t="n">
        <v>3</v>
      </c>
      <c r="E4966" s="2" t="n">
        <v>2</v>
      </c>
      <c r="F4966" s="2" t="n">
        <v>122</v>
      </c>
      <c r="G4966" s="2" t="s">
        <v>1595</v>
      </c>
      <c r="H4966" s="2" t="str">
        <f aca="false">IFERROR(__xludf.dummyfunction("IF(I5022="""", """", REGEXEXTRACT(I5022, ""Padrao/([^/]+)""))"),"Centro")</f>
        <v>Centro</v>
      </c>
    </row>
    <row r="4967" customFormat="false" ht="15.75" hidden="false" customHeight="false" outlineLevel="0" collapsed="false">
      <c r="A4967" s="2" t="n">
        <v>211457</v>
      </c>
      <c r="B4967" s="2" t="s">
        <v>4026</v>
      </c>
      <c r="C4967" s="2" t="n">
        <v>2</v>
      </c>
      <c r="D4967" s="2" t="n">
        <v>3</v>
      </c>
      <c r="E4967" s="2" t="n">
        <v>2</v>
      </c>
      <c r="F4967" s="2" t="n">
        <v>76</v>
      </c>
      <c r="G4967" s="2" t="s">
        <v>1595</v>
      </c>
      <c r="H4967" s="2" t="str">
        <f aca="false">IFERROR(__xludf.dummyfunction("IF(I5023="""", """", REGEXEXTRACT(I5023, ""Padrao/([^/]+)""))"),"Jardim Botanico")</f>
        <v>Jardim Botanico</v>
      </c>
    </row>
    <row r="4968" customFormat="false" ht="15.75" hidden="false" customHeight="false" outlineLevel="0" collapsed="false">
      <c r="A4968" s="2" t="n">
        <v>206534</v>
      </c>
      <c r="B4968" s="2" t="s">
        <v>3926</v>
      </c>
      <c r="C4968" s="2" t="n">
        <v>3</v>
      </c>
      <c r="D4968" s="2" t="n">
        <v>3</v>
      </c>
      <c r="E4968" s="2" t="n">
        <v>1</v>
      </c>
      <c r="F4968" s="2" t="n">
        <v>110</v>
      </c>
      <c r="G4968" s="2" t="s">
        <v>1595</v>
      </c>
      <c r="H4968" s="2" t="str">
        <f aca="false">IFERROR(__xludf.dummyfunction("IF(I5024="""", """", REGEXEXTRACT(I5024, ""Padrao/([^/]+)""))"),"Jardim Paulista")</f>
        <v>Jardim Paulista</v>
      </c>
    </row>
    <row r="4969" customFormat="false" ht="15.75" hidden="false" customHeight="false" outlineLevel="0" collapsed="false">
      <c r="A4969" s="2" t="n">
        <v>205856</v>
      </c>
      <c r="B4969" s="2" t="s">
        <v>4027</v>
      </c>
      <c r="C4969" s="2" t="n">
        <v>4</v>
      </c>
      <c r="D4969" s="2" t="n">
        <v>2</v>
      </c>
      <c r="E4969" s="2" t="n">
        <v>2</v>
      </c>
      <c r="F4969" s="2" t="n">
        <v>96</v>
      </c>
      <c r="G4969" s="2" t="s">
        <v>1595</v>
      </c>
      <c r="H4969" s="2" t="str">
        <f aca="false">IFERROR(__xludf.dummyfunction("IF(I5025="""", """", REGEXEXTRACT(I5025, ""Padrao/([^/]+)""))"),"Centro")</f>
        <v>Centro</v>
      </c>
    </row>
    <row r="4970" customFormat="false" ht="15.75" hidden="false" customHeight="false" outlineLevel="0" collapsed="false">
      <c r="A4970" s="2" t="n">
        <v>195113</v>
      </c>
      <c r="B4970" s="2" t="s">
        <v>4028</v>
      </c>
      <c r="C4970" s="2" t="n">
        <v>2</v>
      </c>
      <c r="D4970" s="2" t="n">
        <v>2</v>
      </c>
      <c r="E4970" s="2" t="n">
        <v>2</v>
      </c>
      <c r="F4970" s="2" t="n">
        <v>66</v>
      </c>
      <c r="G4970" s="2" t="s">
        <v>1595</v>
      </c>
      <c r="H4970" s="2" t="str">
        <f aca="false">IFERROR(__xludf.dummyfunction("IF(I5026="""", """", REGEXEXTRACT(I5026, ""Padrao/([^/]+)""))"),"Jardim Sumare")</f>
        <v>Jardim Sumare</v>
      </c>
    </row>
    <row r="4971" customFormat="false" ht="15.75" hidden="false" customHeight="false" outlineLevel="0" collapsed="false">
      <c r="A4971" s="2" t="n">
        <v>194816</v>
      </c>
      <c r="B4971" s="2" t="s">
        <v>4029</v>
      </c>
      <c r="C4971" s="2" t="n">
        <v>2</v>
      </c>
      <c r="D4971" s="2" t="n">
        <v>2</v>
      </c>
      <c r="E4971" s="2" t="n">
        <v>2</v>
      </c>
      <c r="F4971" s="2" t="n">
        <v>90</v>
      </c>
      <c r="G4971" s="2" t="s">
        <v>1595</v>
      </c>
      <c r="H4971" s="2" t="str">
        <f aca="false">IFERROR(__xludf.dummyfunction("IF(I5027="""", """", REGEXEXTRACT(I5027, ""Padrao/([^/]+)""))"),"Jardim Botanico")</f>
        <v>Jardim Botanico</v>
      </c>
    </row>
    <row r="4972" customFormat="false" ht="15.75" hidden="false" customHeight="false" outlineLevel="0" collapsed="false">
      <c r="A4972" s="2" t="n">
        <v>159512</v>
      </c>
      <c r="B4972" s="2" t="s">
        <v>4030</v>
      </c>
      <c r="C4972" s="2" t="n">
        <v>2</v>
      </c>
      <c r="D4972" s="2" t="n">
        <v>2</v>
      </c>
      <c r="E4972" s="2" t="n">
        <v>1</v>
      </c>
      <c r="F4972" s="2" t="n">
        <v>57</v>
      </c>
      <c r="G4972" s="2" t="s">
        <v>1595</v>
      </c>
      <c r="H4972" s="2" t="str">
        <f aca="false">IFERROR(__xludf.dummyfunction("IF(I5028="""", """", REGEXEXTRACT(I5028, ""Padrao/([^/]+)""))"),"Nova Alianca")</f>
        <v>Nova Alianca</v>
      </c>
    </row>
    <row r="4973" customFormat="false" ht="15.75" hidden="false" customHeight="false" outlineLevel="0" collapsed="false">
      <c r="A4973" s="2" t="n">
        <v>93287</v>
      </c>
      <c r="B4973" s="2" t="s">
        <v>4031</v>
      </c>
      <c r="C4973" s="2" t="n">
        <v>3</v>
      </c>
      <c r="D4973" s="2" t="n">
        <v>2</v>
      </c>
      <c r="E4973" s="2" t="n">
        <v>2</v>
      </c>
      <c r="F4973" s="2" t="n">
        <v>101</v>
      </c>
      <c r="G4973" s="2" t="s">
        <v>1595</v>
      </c>
      <c r="H4973" s="2" t="str">
        <f aca="false">IFERROR(__xludf.dummyfunction("IF(I5029="""", """", REGEXEXTRACT(I5029, ""Padrao/([^/]+)""))"),"Nova Alianca")</f>
        <v>Nova Alianca</v>
      </c>
    </row>
    <row r="4974" customFormat="false" ht="15.75" hidden="false" customHeight="false" outlineLevel="0" collapsed="false">
      <c r="A4974" s="2" t="n">
        <v>84926</v>
      </c>
      <c r="B4974" s="2" t="s">
        <v>4032</v>
      </c>
      <c r="C4974" s="2" t="n">
        <v>3</v>
      </c>
      <c r="D4974" s="2" t="n">
        <v>3</v>
      </c>
      <c r="E4974" s="2" t="n">
        <v>2</v>
      </c>
      <c r="F4974" s="2" t="n">
        <v>142</v>
      </c>
      <c r="G4974" s="2" t="s">
        <v>1595</v>
      </c>
      <c r="H4974" s="2" t="str">
        <f aca="false">IFERROR(__xludf.dummyfunction("IF(I5030="""", """", REGEXEXTRACT(I5030, ""Padrao/([^/]+)""))"),"Jardim Sumare")</f>
        <v>Jardim Sumare</v>
      </c>
    </row>
    <row r="4975" customFormat="false" ht="15.75" hidden="false" customHeight="false" outlineLevel="0" collapsed="false">
      <c r="A4975" s="2" t="n">
        <v>73220</v>
      </c>
      <c r="B4975" s="2" t="s">
        <v>4033</v>
      </c>
      <c r="C4975" s="2" t="n">
        <v>3</v>
      </c>
      <c r="D4975" s="2" t="n">
        <v>2</v>
      </c>
      <c r="E4975" s="2" t="n">
        <v>2</v>
      </c>
      <c r="F4975" s="2" t="n">
        <v>77</v>
      </c>
      <c r="G4975" s="2" t="s">
        <v>1595</v>
      </c>
      <c r="H4975" s="2" t="str">
        <f aca="false">IFERROR(__xludf.dummyfunction("IF(I5031="""", """", REGEXEXTRACT(I5031, ""Padrao/([^/]+)""))"),"Nova Alianca")</f>
        <v>Nova Alianca</v>
      </c>
    </row>
    <row r="4976" customFormat="false" ht="15.75" hidden="false" customHeight="false" outlineLevel="0" collapsed="false">
      <c r="A4976" s="2" t="n">
        <v>85400</v>
      </c>
      <c r="B4976" s="2" t="s">
        <v>4034</v>
      </c>
      <c r="C4976" s="2" t="n">
        <v>3</v>
      </c>
      <c r="D4976" s="2" t="n">
        <v>3</v>
      </c>
      <c r="E4976" s="2" t="n">
        <v>2</v>
      </c>
      <c r="F4976" s="2" t="n">
        <v>98</v>
      </c>
      <c r="G4976" s="2" t="s">
        <v>4035</v>
      </c>
      <c r="H4976" s="2" t="str">
        <f aca="false">IFERROR(__xludf.dummyfunction("IF(I5032="""", """", REGEXEXTRACT(I5032, ""Padrao/([^/]+)""))"),"Santa Cruz do Jose Jacques")</f>
        <v>Santa Cruz do Jose Jacques</v>
      </c>
    </row>
    <row r="4977" customFormat="false" ht="15.75" hidden="false" customHeight="false" outlineLevel="0" collapsed="false">
      <c r="A4977" s="2" t="n">
        <v>161120</v>
      </c>
      <c r="B4977" s="2" t="s">
        <v>4018</v>
      </c>
      <c r="C4977" s="2" t="n">
        <v>3</v>
      </c>
      <c r="D4977" s="2" t="n">
        <v>3</v>
      </c>
      <c r="E4977" s="2" t="n">
        <v>1</v>
      </c>
      <c r="F4977" s="2" t="n">
        <v>89</v>
      </c>
      <c r="G4977" s="2" t="s">
        <v>4036</v>
      </c>
      <c r="H4977" s="2" t="str">
        <f aca="false">IFERROR(__xludf.dummyfunction("IF(I5033="""", """", REGEXEXTRACT(I5033, ""Padrao/([^/]+)""))"),"Jardim Botanico")</f>
        <v>Jardim Botanico</v>
      </c>
    </row>
    <row r="4978" customFormat="false" ht="15.75" hidden="false" customHeight="false" outlineLevel="0" collapsed="false">
      <c r="A4978" s="2" t="n">
        <v>213929</v>
      </c>
      <c r="B4978" s="2" t="s">
        <v>4037</v>
      </c>
      <c r="C4978" s="2" t="n">
        <v>3</v>
      </c>
      <c r="D4978" s="2" t="n">
        <v>4</v>
      </c>
      <c r="E4978" s="2" t="n">
        <v>1</v>
      </c>
      <c r="F4978" s="2" t="n">
        <v>210</v>
      </c>
      <c r="G4978" s="2" t="s">
        <v>4038</v>
      </c>
      <c r="H4978" s="2" t="str">
        <f aca="false">IFERROR(__xludf.dummyfunction("IF(I5034="""", """", REGEXEXTRACT(I5034, ""Padrao/([^/]+)""))"),"Centro")</f>
        <v>Centro</v>
      </c>
    </row>
    <row r="4979" customFormat="false" ht="15.75" hidden="false" customHeight="false" outlineLevel="0" collapsed="false">
      <c r="A4979" s="2" t="n">
        <v>238832</v>
      </c>
      <c r="B4979" s="2" t="s">
        <v>4039</v>
      </c>
      <c r="C4979" s="2" t="n">
        <v>2</v>
      </c>
      <c r="D4979" s="2" t="n">
        <v>1</v>
      </c>
      <c r="E4979" s="2" t="n">
        <v>1</v>
      </c>
      <c r="F4979" s="2" t="n">
        <v>63</v>
      </c>
      <c r="G4979" s="2" t="s">
        <v>4040</v>
      </c>
      <c r="H4979" s="2" t="str">
        <f aca="false">IFERROR(__xludf.dummyfunction("IF(I5035="""", """", REGEXEXTRACT(I5035, ""Padrao/([^/]+)""))"),"Jardim Sumare")</f>
        <v>Jardim Sumare</v>
      </c>
    </row>
    <row r="4980" customFormat="false" ht="15.75" hidden="false" customHeight="false" outlineLevel="0" collapsed="false">
      <c r="A4980" s="2" t="n">
        <v>238811</v>
      </c>
      <c r="B4980" s="2" t="s">
        <v>4041</v>
      </c>
      <c r="C4980" s="2" t="n">
        <v>2</v>
      </c>
      <c r="D4980" s="2" t="n">
        <v>2</v>
      </c>
      <c r="E4980" s="2" t="n">
        <v>1</v>
      </c>
      <c r="F4980" s="2" t="n">
        <v>63</v>
      </c>
      <c r="G4980" s="2" t="s">
        <v>4040</v>
      </c>
      <c r="H4980" s="2" t="str">
        <f aca="false">IFERROR(__xludf.dummyfunction("IF(I5036="""", """", REGEXEXTRACT(I5036, ""Padrao/([^/]+)""))"),"Jardim Sumare")</f>
        <v>Jardim Sumare</v>
      </c>
    </row>
    <row r="4981" customFormat="false" ht="15.75" hidden="false" customHeight="false" outlineLevel="0" collapsed="false">
      <c r="A4981" s="2" t="n">
        <v>238808</v>
      </c>
      <c r="B4981" s="2" t="s">
        <v>4039</v>
      </c>
      <c r="C4981" s="2" t="n">
        <v>2</v>
      </c>
      <c r="D4981" s="2" t="n">
        <v>2</v>
      </c>
      <c r="E4981" s="2" t="n">
        <v>1</v>
      </c>
      <c r="F4981" s="2" t="n">
        <v>63</v>
      </c>
      <c r="G4981" s="2" t="s">
        <v>4040</v>
      </c>
      <c r="H4981" s="2" t="str">
        <f aca="false">IFERROR(__xludf.dummyfunction("IF(I5037="""", """", REGEXEXTRACT(I5037, ""Padrao/([^/]+)""))"),"Jardim Sumare")</f>
        <v>Jardim Sumare</v>
      </c>
    </row>
    <row r="4982" customFormat="false" ht="15.75" hidden="false" customHeight="false" outlineLevel="0" collapsed="false">
      <c r="A4982" s="2" t="n">
        <v>244409</v>
      </c>
      <c r="B4982" s="2" t="s">
        <v>4042</v>
      </c>
      <c r="C4982" s="2" t="n">
        <v>3</v>
      </c>
      <c r="D4982" s="2" t="n">
        <v>2</v>
      </c>
      <c r="E4982" s="2" t="n">
        <v>2</v>
      </c>
      <c r="F4982" s="2" t="n">
        <v>95</v>
      </c>
      <c r="G4982" s="2" t="s">
        <v>4043</v>
      </c>
      <c r="H4982" s="2" t="str">
        <f aca="false">IFERROR(__xludf.dummyfunction("IF(I5038="""", """", REGEXEXTRACT(I5038, ""Padrao/([^/]+)""))"),"Campos Eliseos")</f>
        <v>Campos Eliseos</v>
      </c>
    </row>
    <row r="4983" customFormat="false" ht="15.75" hidden="false" customHeight="false" outlineLevel="0" collapsed="false">
      <c r="A4983" s="2" t="n">
        <v>96662</v>
      </c>
      <c r="B4983" s="2" t="s">
        <v>2983</v>
      </c>
      <c r="C4983" s="2" t="n">
        <v>3</v>
      </c>
      <c r="D4983" s="2" t="n">
        <v>2</v>
      </c>
      <c r="E4983" s="2" t="n">
        <v>1</v>
      </c>
      <c r="F4983" s="2" t="n">
        <v>75</v>
      </c>
      <c r="G4983" s="2" t="s">
        <v>618</v>
      </c>
      <c r="H4983" s="2" t="str">
        <f aca="false">IFERROR(__xludf.dummyfunction("IF(I5039="""", """", REGEXEXTRACT(I5039, ""Padrao/([^/]+)""))"),"Presidente Medici")</f>
        <v>Presidente Medici</v>
      </c>
    </row>
    <row r="4984" customFormat="false" ht="15.75" hidden="false" customHeight="false" outlineLevel="0" collapsed="false">
      <c r="A4984" s="2" t="n">
        <v>139061</v>
      </c>
      <c r="B4984" s="2" t="s">
        <v>4044</v>
      </c>
      <c r="C4984" s="2" t="n">
        <v>3</v>
      </c>
      <c r="D4984" s="2" t="n">
        <v>3</v>
      </c>
      <c r="E4984" s="2" t="n">
        <v>2</v>
      </c>
      <c r="F4984" s="2" t="n">
        <v>95</v>
      </c>
      <c r="G4984" s="2" t="s">
        <v>1553</v>
      </c>
      <c r="H4984" s="2" t="str">
        <f aca="false">IFERROR(__xludf.dummyfunction("IF(I5040="""", """", REGEXEXTRACT(I5040, ""Padrao/([^/]+)""))"),"Jardim Paulista")</f>
        <v>Jardim Paulista</v>
      </c>
    </row>
    <row r="4985" customFormat="false" ht="15.75" hidden="false" customHeight="false" outlineLevel="0" collapsed="false">
      <c r="A4985" s="2" t="n">
        <v>207833</v>
      </c>
      <c r="B4985" s="2" t="s">
        <v>4045</v>
      </c>
      <c r="C4985" s="2" t="n">
        <v>4</v>
      </c>
      <c r="D4985" s="2" t="n">
        <v>3</v>
      </c>
      <c r="E4985" s="2" t="n">
        <v>2</v>
      </c>
      <c r="F4985" s="2" t="n">
        <v>124</v>
      </c>
      <c r="G4985" s="2" t="s">
        <v>649</v>
      </c>
      <c r="H4985" s="2" t="str">
        <f aca="false">IFERROR(__xludf.dummyfunction("IF(I5041="""", """", REGEXEXTRACT(I5041, ""Padrao/([^/]+)""))"),"Centro")</f>
        <v>Centro</v>
      </c>
    </row>
    <row r="4986" customFormat="false" ht="15.75" hidden="false" customHeight="false" outlineLevel="0" collapsed="false">
      <c r="A4986" s="2" t="n">
        <v>189596</v>
      </c>
      <c r="B4986" s="2" t="s">
        <v>4046</v>
      </c>
      <c r="C4986" s="2" t="n">
        <v>1</v>
      </c>
      <c r="D4986" s="2" t="n">
        <v>1</v>
      </c>
      <c r="E4986" s="2" t="n">
        <v>1</v>
      </c>
      <c r="F4986" s="2" t="n">
        <v>51</v>
      </c>
      <c r="G4986" s="2" t="s">
        <v>649</v>
      </c>
      <c r="H4986" s="2" t="str">
        <f aca="false">IFERROR(__xludf.dummyfunction("IF(I5042="""", """", REGEXEXTRACT(I5042, ""Padrao/([^/]+)""))"),"Jardim Iraja")</f>
        <v>Jardim Iraja</v>
      </c>
    </row>
    <row r="4987" customFormat="false" ht="15.75" hidden="false" customHeight="false" outlineLevel="0" collapsed="false">
      <c r="A4987" s="2" t="n">
        <v>152393</v>
      </c>
      <c r="B4987" s="2" t="s">
        <v>4047</v>
      </c>
      <c r="C4987" s="2" t="n">
        <v>2</v>
      </c>
      <c r="D4987" s="2" t="n">
        <v>2</v>
      </c>
      <c r="E4987" s="2" t="n">
        <v>1</v>
      </c>
      <c r="F4987" s="2" t="n">
        <v>64</v>
      </c>
      <c r="G4987" s="2" t="s">
        <v>3959</v>
      </c>
      <c r="H4987" s="2" t="str">
        <f aca="false">IFERROR(__xludf.dummyfunction("IF(I5043="""", """", REGEXEXTRACT(I5043, ""Padrao/([^/]+)""))"),"Jardim Botanico")</f>
        <v>Jardim Botanico</v>
      </c>
    </row>
    <row r="4988" customFormat="false" ht="15.75" hidden="false" customHeight="false" outlineLevel="0" collapsed="false">
      <c r="A4988" s="2" t="n">
        <v>200282</v>
      </c>
      <c r="B4988" s="2" t="s">
        <v>162</v>
      </c>
      <c r="C4988" s="2" t="n">
        <v>2</v>
      </c>
      <c r="D4988" s="2" t="n">
        <v>2</v>
      </c>
      <c r="E4988" s="2" t="n">
        <v>2</v>
      </c>
      <c r="F4988" s="2" t="n">
        <v>90</v>
      </c>
      <c r="G4988" s="2" t="s">
        <v>4048</v>
      </c>
      <c r="H4988" s="2" t="str">
        <f aca="false">IFERROR(__xludf.dummyfunction("IF(I5044="""", """", REGEXEXTRACT(I5044, ""Padrao/([^/]+)""))"),"Bosque das Juritis")</f>
        <v>Bosque das Juritis</v>
      </c>
    </row>
    <row r="4989" customFormat="false" ht="15.75" hidden="false" customHeight="false" outlineLevel="0" collapsed="false">
      <c r="A4989" s="2" t="n">
        <v>86405</v>
      </c>
      <c r="B4989" s="2" t="s">
        <v>440</v>
      </c>
      <c r="C4989" s="2" t="n">
        <v>3</v>
      </c>
      <c r="D4989" s="2" t="n">
        <v>3</v>
      </c>
      <c r="E4989" s="2" t="n">
        <v>2</v>
      </c>
      <c r="F4989" s="2" t="n">
        <v>103</v>
      </c>
      <c r="G4989" s="2" t="s">
        <v>1559</v>
      </c>
      <c r="H4989" s="2" t="str">
        <f aca="false">IFERROR(__xludf.dummyfunction("IF(I5045="""", """", REGEXEXTRACT(I5045, ""Padrao/([^/]+)""))"),"Vila Seixas")</f>
        <v>Vila Seixas</v>
      </c>
    </row>
    <row r="4990" customFormat="false" ht="15.75" hidden="false" customHeight="false" outlineLevel="0" collapsed="false">
      <c r="A4990" s="2" t="n">
        <v>130142</v>
      </c>
      <c r="B4990" s="2" t="s">
        <v>4049</v>
      </c>
      <c r="C4990" s="2" t="n">
        <v>3</v>
      </c>
      <c r="D4990" s="2" t="n">
        <v>2</v>
      </c>
      <c r="E4990" s="2" t="n">
        <v>2</v>
      </c>
      <c r="F4990" s="2" t="n">
        <v>97</v>
      </c>
      <c r="G4990" s="2" t="s">
        <v>1595</v>
      </c>
      <c r="H4990" s="2" t="str">
        <f aca="false">IFERROR(__xludf.dummyfunction("IF(I5046="""", """", REGEXEXTRACT(I5046, ""Padrao/([^/]+)""))"),"Campos Eliseos")</f>
        <v>Campos Eliseos</v>
      </c>
    </row>
    <row r="4991" customFormat="false" ht="15.75" hidden="false" customHeight="false" outlineLevel="0" collapsed="false">
      <c r="A4991" s="2" t="n">
        <v>121424</v>
      </c>
      <c r="B4991" s="2" t="s">
        <v>4050</v>
      </c>
      <c r="C4991" s="2" t="n">
        <v>3</v>
      </c>
      <c r="D4991" s="2" t="n">
        <v>3</v>
      </c>
      <c r="E4991" s="2" t="n">
        <v>2</v>
      </c>
      <c r="F4991" s="2" t="n">
        <v>149</v>
      </c>
      <c r="G4991" s="2" t="s">
        <v>1595</v>
      </c>
      <c r="H4991" s="2" t="str">
        <f aca="false">IFERROR(__xludf.dummyfunction("IF(I5047="""", """", REGEXEXTRACT(I5047, ""Padrao/([^/]+)""))"),"Santa Cruz do Jose Jacques")</f>
        <v>Santa Cruz do Jose Jacques</v>
      </c>
    </row>
    <row r="4992" customFormat="false" ht="15.75" hidden="false" customHeight="false" outlineLevel="0" collapsed="false">
      <c r="A4992" s="2" t="n">
        <v>206933</v>
      </c>
      <c r="B4992" s="2" t="s">
        <v>4051</v>
      </c>
      <c r="C4992" s="2" t="n">
        <v>3</v>
      </c>
      <c r="D4992" s="2" t="n">
        <v>2</v>
      </c>
      <c r="E4992" s="2" t="n">
        <v>1</v>
      </c>
      <c r="F4992" s="2" t="n">
        <v>156</v>
      </c>
      <c r="G4992" s="2" t="s">
        <v>4052</v>
      </c>
      <c r="H4992" s="2" t="str">
        <f aca="false">IFERROR(__xludf.dummyfunction("IF(I5048="""", """", REGEXEXTRACT(I5048, ""Padrao/([^/]+)""))"),"Centro")</f>
        <v>Centro</v>
      </c>
    </row>
    <row r="4993" customFormat="false" ht="15.75" hidden="false" customHeight="false" outlineLevel="0" collapsed="false">
      <c r="A4993" s="2" t="n">
        <v>245000</v>
      </c>
      <c r="B4993" s="2" t="s">
        <v>4053</v>
      </c>
      <c r="C4993" s="2" t="n">
        <v>2</v>
      </c>
      <c r="D4993" s="2" t="n">
        <v>2</v>
      </c>
      <c r="E4993" s="2" t="n">
        <v>2</v>
      </c>
      <c r="F4993" s="2" t="n">
        <v>70</v>
      </c>
      <c r="G4993" s="2" t="s">
        <v>1469</v>
      </c>
      <c r="H4993" s="2" t="str">
        <f aca="false">IFERROR(__xludf.dummyfunction("IF(I5049="""", """", REGEXEXTRACT(I5049, ""Padrao/([^/]+)""))"),"Presidente Medici")</f>
        <v>Presidente Medici</v>
      </c>
    </row>
    <row r="4994" customFormat="false" ht="15.75" hidden="false" customHeight="false" outlineLevel="0" collapsed="false">
      <c r="A4994" s="2" t="n">
        <v>241943</v>
      </c>
      <c r="B4994" s="2" t="s">
        <v>4054</v>
      </c>
      <c r="C4994" s="2" t="n">
        <v>3</v>
      </c>
      <c r="D4994" s="2" t="n">
        <v>2</v>
      </c>
      <c r="E4994" s="2" t="n">
        <v>2</v>
      </c>
      <c r="F4994" s="2" t="n">
        <v>77</v>
      </c>
      <c r="G4994" s="2" t="s">
        <v>1469</v>
      </c>
      <c r="H4994" s="2" t="str">
        <f aca="false">IFERROR(__xludf.dummyfunction("IF(I5050="""", """", REGEXEXTRACT(I5050, ""Padrao/([^/]+)""))"),"Nova Alianca")</f>
        <v>Nova Alianca</v>
      </c>
    </row>
    <row r="4995" customFormat="false" ht="15.75" hidden="false" customHeight="false" outlineLevel="0" collapsed="false">
      <c r="A4995" s="2" t="n">
        <v>231842</v>
      </c>
      <c r="B4995" s="2" t="s">
        <v>3887</v>
      </c>
      <c r="C4995" s="2" t="n">
        <v>2</v>
      </c>
      <c r="D4995" s="2" t="n">
        <v>2</v>
      </c>
      <c r="E4995" s="2" t="n">
        <v>1</v>
      </c>
      <c r="F4995" s="2" t="n">
        <v>71</v>
      </c>
      <c r="G4995" s="2" t="s">
        <v>1469</v>
      </c>
      <c r="H4995" s="2" t="str">
        <f aca="false">IFERROR(__xludf.dummyfunction("IF(I5051="""", """", REGEXEXTRACT(I5051, ""Padrao/([^/]+)""))"),"Bonfim Paulista")</f>
        <v>Bonfim Paulista</v>
      </c>
    </row>
    <row r="4996" customFormat="false" ht="15.75" hidden="false" customHeight="false" outlineLevel="0" collapsed="false">
      <c r="A4996" s="2" t="n">
        <v>227558</v>
      </c>
      <c r="B4996" s="2" t="s">
        <v>4055</v>
      </c>
      <c r="C4996" s="2" t="n">
        <v>2</v>
      </c>
      <c r="D4996" s="2" t="n">
        <v>2</v>
      </c>
      <c r="E4996" s="2" t="n">
        <v>2</v>
      </c>
      <c r="F4996" s="2" t="n">
        <v>80</v>
      </c>
      <c r="G4996" s="2" t="s">
        <v>1469</v>
      </c>
      <c r="H4996" s="2" t="str">
        <f aca="false">IFERROR(__xludf.dummyfunction("IF(I5052="""", """", REGEXEXTRACT(I5052, ""Padrao/([^/]+)""))"),"Jardim Paulista")</f>
        <v>Jardim Paulista</v>
      </c>
    </row>
    <row r="4997" customFormat="false" ht="15.75" hidden="false" customHeight="false" outlineLevel="0" collapsed="false">
      <c r="A4997" s="2" t="n">
        <v>218624</v>
      </c>
      <c r="B4997" s="2" t="s">
        <v>3406</v>
      </c>
      <c r="C4997" s="2" t="n">
        <v>3</v>
      </c>
      <c r="D4997" s="2" t="n">
        <v>2</v>
      </c>
      <c r="E4997" s="2" t="n">
        <v>1</v>
      </c>
      <c r="F4997" s="2" t="n">
        <v>67</v>
      </c>
      <c r="G4997" s="2" t="s">
        <v>1469</v>
      </c>
      <c r="H4997" s="2" t="str">
        <f aca="false">IFERROR(__xludf.dummyfunction("IF(I5053="""", """", REGEXEXTRACT(I5053, ""Padrao/([^/]+)""))"),"Jardim Olhos DAgua")</f>
        <v>Jardim Olhos DAgua</v>
      </c>
    </row>
    <row r="4998" customFormat="false" ht="15.75" hidden="false" customHeight="false" outlineLevel="0" collapsed="false">
      <c r="A4998" s="2" t="n">
        <v>213518</v>
      </c>
      <c r="B4998" s="2" t="s">
        <v>4056</v>
      </c>
      <c r="C4998" s="2" t="n">
        <v>3</v>
      </c>
      <c r="D4998" s="2" t="n">
        <v>3</v>
      </c>
      <c r="E4998" s="2" t="n">
        <v>2</v>
      </c>
      <c r="F4998" s="2" t="n">
        <v>122</v>
      </c>
      <c r="G4998" s="2" t="s">
        <v>1469</v>
      </c>
      <c r="H4998" s="2" t="str">
        <f aca="false">IFERROR(__xludf.dummyfunction("IF(I5054="""", """", REGEXEXTRACT(I5054, ""Padrao/([^/]+)""))"),"Centro")</f>
        <v>Centro</v>
      </c>
    </row>
    <row r="4999" customFormat="false" ht="15.75" hidden="false" customHeight="false" outlineLevel="0" collapsed="false">
      <c r="A4999" s="2" t="n">
        <v>212624</v>
      </c>
      <c r="B4999" s="2" t="s">
        <v>4057</v>
      </c>
      <c r="C4999" s="2" t="n">
        <v>2</v>
      </c>
      <c r="D4999" s="2" t="n">
        <v>2</v>
      </c>
      <c r="E4999" s="2" t="n">
        <v>2</v>
      </c>
      <c r="F4999" s="2" t="n">
        <v>61</v>
      </c>
      <c r="G4999" s="2" t="s">
        <v>1469</v>
      </c>
      <c r="H4999" s="2" t="str">
        <f aca="false">IFERROR(__xludf.dummyfunction("IF(I5055="""", """", REGEXEXTRACT(I5055, ""Padrao/([^/]+)""))"),"Quinta da Primavera")</f>
        <v>Quinta da Primavera</v>
      </c>
    </row>
    <row r="5000" customFormat="false" ht="15.75" hidden="false" customHeight="false" outlineLevel="0" collapsed="false">
      <c r="A5000" s="2" t="n">
        <v>205076</v>
      </c>
      <c r="B5000" s="2" t="s">
        <v>4058</v>
      </c>
      <c r="C5000" s="2" t="n">
        <v>1</v>
      </c>
      <c r="D5000" s="2" t="n">
        <v>1</v>
      </c>
      <c r="E5000" s="2" t="n">
        <v>1</v>
      </c>
      <c r="F5000" s="2" t="n">
        <v>54</v>
      </c>
      <c r="G5000" s="2" t="s">
        <v>1469</v>
      </c>
      <c r="H5000" s="2" t="str">
        <f aca="false">IFERROR(__xludf.dummyfunction("IF(I5057="""", """", REGEXEXTRACT(I5057, ""Padrao/([^/]+)""))"),"Santa Cruz do Jose Jacques")</f>
        <v>Santa Cruz do Jose Jacques</v>
      </c>
    </row>
    <row r="5001" customFormat="false" ht="15.75" hidden="false" customHeight="false" outlineLevel="0" collapsed="false">
      <c r="A5001" s="2" t="n">
        <v>202136</v>
      </c>
      <c r="B5001" s="2" t="s">
        <v>602</v>
      </c>
      <c r="C5001" s="2" t="n">
        <v>3</v>
      </c>
      <c r="D5001" s="2" t="n">
        <v>2</v>
      </c>
      <c r="E5001" s="2" t="n">
        <v>1</v>
      </c>
      <c r="F5001" s="2" t="n">
        <v>155</v>
      </c>
      <c r="G5001" s="2" t="s">
        <v>1469</v>
      </c>
      <c r="H5001" s="2" t="str">
        <f aca="false">IFERROR(__xludf.dummyfunction("IF(I5058="""", """", REGEXEXTRACT(I5058, ""Padrao/([^/]+)""))"),"Centro")</f>
        <v>Centro</v>
      </c>
    </row>
    <row r="5002" customFormat="false" ht="15.75" hidden="false" customHeight="false" outlineLevel="0" collapsed="false">
      <c r="A5002" s="2" t="n">
        <v>200033</v>
      </c>
      <c r="B5002" s="2" t="s">
        <v>4059</v>
      </c>
      <c r="C5002" s="2" t="n">
        <v>2</v>
      </c>
      <c r="D5002" s="2" t="n">
        <v>2</v>
      </c>
      <c r="E5002" s="2" t="n">
        <v>1</v>
      </c>
      <c r="F5002" s="2" t="n">
        <v>75</v>
      </c>
      <c r="G5002" s="2" t="s">
        <v>1469</v>
      </c>
      <c r="H5002" s="2" t="str">
        <f aca="false">IFERROR(__xludf.dummyfunction("IF(I5059="""", """", REGEXEXTRACT(I5059, ""Padrao/([^/]+)""))"),"Vila Amelia")</f>
        <v>Vila Amelia</v>
      </c>
    </row>
    <row r="5003" customFormat="false" ht="15.75" hidden="false" customHeight="false" outlineLevel="0" collapsed="false">
      <c r="A5003" s="2" t="n">
        <v>187598</v>
      </c>
      <c r="B5003" s="2" t="s">
        <v>3316</v>
      </c>
      <c r="C5003" s="2" t="n">
        <v>3</v>
      </c>
      <c r="D5003" s="2" t="n">
        <v>3</v>
      </c>
      <c r="E5003" s="2" t="n">
        <v>2</v>
      </c>
      <c r="F5003" s="2" t="n">
        <v>116</v>
      </c>
      <c r="G5003" s="2" t="s">
        <v>1469</v>
      </c>
      <c r="H5003" s="2" t="str">
        <f aca="false">IFERROR(__xludf.dummyfunction("IF(I5060="""", """", REGEXEXTRACT(I5060, ""Padrao/([^/]+)""))"),"Republica")</f>
        <v>Republica</v>
      </c>
    </row>
    <row r="5004" customFormat="false" ht="15.75" hidden="false" customHeight="false" outlineLevel="0" collapsed="false">
      <c r="A5004" s="2" t="n">
        <v>178535</v>
      </c>
      <c r="B5004" s="2" t="s">
        <v>3647</v>
      </c>
      <c r="C5004" s="2" t="n">
        <v>1</v>
      </c>
      <c r="D5004" s="2" t="n">
        <v>1</v>
      </c>
      <c r="E5004" s="2" t="n">
        <v>1</v>
      </c>
      <c r="F5004" s="2" t="n">
        <v>43</v>
      </c>
      <c r="G5004" s="2" t="s">
        <v>1469</v>
      </c>
      <c r="H5004" s="2" t="str">
        <f aca="false">IFERROR(__xludf.dummyfunction("IF(I5061="""", """", REGEXEXTRACT(I5061, ""Padrao/([^/]+)""))"),"Quinta da Primavera")</f>
        <v>Quinta da Primavera</v>
      </c>
    </row>
    <row r="5005" customFormat="false" ht="15.75" hidden="false" customHeight="false" outlineLevel="0" collapsed="false">
      <c r="A5005" s="2" t="n">
        <v>177224</v>
      </c>
      <c r="B5005" s="2" t="s">
        <v>602</v>
      </c>
      <c r="C5005" s="2" t="n">
        <v>3</v>
      </c>
      <c r="D5005" s="2" t="n">
        <v>3</v>
      </c>
      <c r="E5005" s="2" t="n">
        <v>2</v>
      </c>
      <c r="F5005" s="2" t="n">
        <v>131</v>
      </c>
      <c r="G5005" s="2" t="s">
        <v>1469</v>
      </c>
      <c r="H5005" s="2" t="str">
        <f aca="false">IFERROR(__xludf.dummyfunction("IF(I5062="""", """", REGEXEXTRACT(I5062, ""Padrao/([^/]+)""))"),"Centro")</f>
        <v>Centro</v>
      </c>
    </row>
    <row r="5006" customFormat="false" ht="15.75" hidden="false" customHeight="false" outlineLevel="0" collapsed="false">
      <c r="A5006" s="2" t="n">
        <v>168434</v>
      </c>
      <c r="B5006" s="2" t="s">
        <v>4060</v>
      </c>
      <c r="C5006" s="2" t="n">
        <v>2</v>
      </c>
      <c r="D5006" s="2" t="n">
        <v>3</v>
      </c>
      <c r="E5006" s="2" t="n">
        <v>2</v>
      </c>
      <c r="F5006" s="2" t="n">
        <v>79</v>
      </c>
      <c r="G5006" s="2" t="s">
        <v>1469</v>
      </c>
      <c r="H5006" s="2" t="str">
        <f aca="false">IFERROR(__xludf.dummyfunction("IF(I5063="""", """", REGEXEXTRACT(I5063, ""Padrao/([^/]+)""))"),"Nova Alianca")</f>
        <v>Nova Alianca</v>
      </c>
    </row>
    <row r="5007" customFormat="false" ht="15.75" hidden="false" customHeight="false" outlineLevel="0" collapsed="false">
      <c r="A5007" s="2" t="n">
        <v>167966</v>
      </c>
      <c r="B5007" s="2" t="s">
        <v>4061</v>
      </c>
      <c r="C5007" s="2" t="n">
        <v>2</v>
      </c>
      <c r="D5007" s="2" t="n">
        <v>1</v>
      </c>
      <c r="E5007" s="2" t="n">
        <v>2</v>
      </c>
      <c r="F5007" s="2" t="n">
        <v>55</v>
      </c>
      <c r="G5007" s="2" t="s">
        <v>1469</v>
      </c>
      <c r="H5007" s="2" t="str">
        <f aca="false">IFERROR(__xludf.dummyfunction("IF(I5064="""", """", REGEXEXTRACT(I5064, ""Padrao/([^/]+)""))"),"Santa Cruz do Jose Jacques")</f>
        <v>Santa Cruz do Jose Jacques</v>
      </c>
    </row>
    <row r="5008" customFormat="false" ht="15.75" hidden="false" customHeight="false" outlineLevel="0" collapsed="false">
      <c r="A5008" s="2" t="n">
        <v>163067</v>
      </c>
      <c r="B5008" s="2" t="s">
        <v>4062</v>
      </c>
      <c r="C5008" s="2" t="n">
        <v>3</v>
      </c>
      <c r="D5008" s="2" t="n">
        <v>2</v>
      </c>
      <c r="E5008" s="2" t="n">
        <v>2</v>
      </c>
      <c r="F5008" s="2" t="n">
        <v>123</v>
      </c>
      <c r="G5008" s="2" t="s">
        <v>1469</v>
      </c>
      <c r="H5008" s="2" t="str">
        <f aca="false">IFERROR(__xludf.dummyfunction("IF(I5065="""", """", REGEXEXTRACT(I5065, ""Padrao/([^/]+)""))"),"Santa Cruz do Jose Jacques")</f>
        <v>Santa Cruz do Jose Jacques</v>
      </c>
    </row>
    <row r="5009" customFormat="false" ht="15.75" hidden="false" customHeight="false" outlineLevel="0" collapsed="false">
      <c r="A5009" s="2" t="n">
        <v>157787</v>
      </c>
      <c r="B5009" s="2" t="s">
        <v>1481</v>
      </c>
      <c r="C5009" s="2" t="n">
        <v>3</v>
      </c>
      <c r="D5009" s="2" t="n">
        <v>5</v>
      </c>
      <c r="E5009" s="2" t="n">
        <v>2</v>
      </c>
      <c r="F5009" s="2" t="n">
        <v>125</v>
      </c>
      <c r="G5009" s="2" t="s">
        <v>1469</v>
      </c>
      <c r="H5009" s="2" t="str">
        <f aca="false">IFERROR(__xludf.dummyfunction("IF(I5066="""", """", REGEXEXTRACT(I5066, ""Padrao/([^/]+)""))"),"Centro")</f>
        <v>Centro</v>
      </c>
    </row>
    <row r="5010" customFormat="false" ht="15.75" hidden="false" customHeight="false" outlineLevel="0" collapsed="false">
      <c r="A5010" s="2" t="n">
        <v>153452</v>
      </c>
      <c r="B5010" s="2" t="s">
        <v>4063</v>
      </c>
      <c r="C5010" s="2" t="n">
        <v>2</v>
      </c>
      <c r="D5010" s="2" t="n">
        <v>3</v>
      </c>
      <c r="E5010" s="2" t="n">
        <v>1</v>
      </c>
      <c r="F5010" s="2" t="n">
        <v>129</v>
      </c>
      <c r="G5010" s="2" t="s">
        <v>1469</v>
      </c>
      <c r="H5010" s="2" t="str">
        <f aca="false">IFERROR(__xludf.dummyfunction("IF(I5067="""", """", REGEXEXTRACT(I5067, ""Padrao/([^/]+)""))"),"Nova Alianca")</f>
        <v>Nova Alianca</v>
      </c>
    </row>
    <row r="5011" customFormat="false" ht="15.75" hidden="false" customHeight="false" outlineLevel="0" collapsed="false">
      <c r="A5011" s="2" t="n">
        <v>150923</v>
      </c>
      <c r="B5011" s="2" t="s">
        <v>602</v>
      </c>
      <c r="C5011" s="2" t="n">
        <v>3</v>
      </c>
      <c r="D5011" s="2" t="n">
        <v>3</v>
      </c>
      <c r="E5011" s="2" t="n">
        <v>2</v>
      </c>
      <c r="F5011" s="2" t="n">
        <v>131</v>
      </c>
      <c r="G5011" s="2" t="s">
        <v>1469</v>
      </c>
      <c r="H5011" s="2" t="str">
        <f aca="false">IFERROR(__xludf.dummyfunction("IF(I5068="""", """", REGEXEXTRACT(I5068, ""Padrao/([^/]+)""))"),"Centro")</f>
        <v>Centro</v>
      </c>
    </row>
    <row r="5012" customFormat="false" ht="15.75" hidden="false" customHeight="false" outlineLevel="0" collapsed="false">
      <c r="A5012" s="2" t="n">
        <v>145334</v>
      </c>
      <c r="B5012" s="2" t="s">
        <v>4064</v>
      </c>
      <c r="C5012" s="2" t="n">
        <v>2</v>
      </c>
      <c r="D5012" s="2" t="n">
        <v>2</v>
      </c>
      <c r="E5012" s="2" t="n">
        <v>2</v>
      </c>
      <c r="F5012" s="2" t="n">
        <v>81</v>
      </c>
      <c r="G5012" s="2" t="s">
        <v>1469</v>
      </c>
      <c r="H5012" s="2" t="str">
        <f aca="false">IFERROR(__xludf.dummyfunction("IF(I5069="""", """", REGEXEXTRACT(I5069, ""Padrao/([^/]+)""))"),"Vila do Golf")</f>
        <v>Vila do Golf</v>
      </c>
    </row>
    <row r="5013" customFormat="false" ht="15.75" hidden="false" customHeight="false" outlineLevel="0" collapsed="false">
      <c r="A5013" s="2" t="n">
        <v>137126</v>
      </c>
      <c r="B5013" s="2" t="s">
        <v>1518</v>
      </c>
      <c r="C5013" s="2" t="n">
        <v>3</v>
      </c>
      <c r="D5013" s="2" t="n">
        <v>3</v>
      </c>
      <c r="E5013" s="2" t="n">
        <v>1</v>
      </c>
      <c r="F5013" s="2" t="n">
        <v>158</v>
      </c>
      <c r="G5013" s="2" t="s">
        <v>1469</v>
      </c>
      <c r="H5013" s="2" t="str">
        <f aca="false">IFERROR(__xludf.dummyfunction("IF(I5070="""", """", REGEXEXTRACT(I5070, ""Padrao/([^/]+)""))"),"Centro")</f>
        <v>Centro</v>
      </c>
    </row>
    <row r="5014" customFormat="false" ht="15.75" hidden="false" customHeight="false" outlineLevel="0" collapsed="false">
      <c r="A5014" s="2" t="n">
        <v>131231</v>
      </c>
      <c r="B5014" s="2" t="s">
        <v>162</v>
      </c>
      <c r="C5014" s="2" t="n">
        <v>2</v>
      </c>
      <c r="D5014" s="2" t="n">
        <v>3</v>
      </c>
      <c r="E5014" s="2" t="n">
        <v>2</v>
      </c>
      <c r="F5014" s="2" t="n">
        <v>88</v>
      </c>
      <c r="G5014" s="2" t="s">
        <v>1469</v>
      </c>
      <c r="H5014" s="2" t="str">
        <f aca="false">IFERROR(__xludf.dummyfunction("IF(I5071="""", """", REGEXEXTRACT(I5071, ""Padrao/([^/]+)""))"),"Nova Alianca")</f>
        <v>Nova Alianca</v>
      </c>
    </row>
    <row r="5015" customFormat="false" ht="15.75" hidden="false" customHeight="false" outlineLevel="0" collapsed="false">
      <c r="A5015" s="2" t="n">
        <v>129260</v>
      </c>
      <c r="B5015" s="2" t="s">
        <v>1668</v>
      </c>
      <c r="C5015" s="2" t="n">
        <v>3</v>
      </c>
      <c r="D5015" s="2" t="n">
        <v>1</v>
      </c>
      <c r="E5015" s="2" t="n">
        <v>2</v>
      </c>
      <c r="F5015" s="2" t="n">
        <v>126</v>
      </c>
      <c r="G5015" s="2" t="s">
        <v>1469</v>
      </c>
      <c r="H5015" s="2" t="str">
        <f aca="false">IFERROR(__xludf.dummyfunction("IF(I5072="""", """", REGEXEXTRACT(I5072, ""Padrao/([^/]+)""))"),"Jardim Paulista")</f>
        <v>Jardim Paulista</v>
      </c>
    </row>
    <row r="5016" customFormat="false" ht="15.75" hidden="false" customHeight="false" outlineLevel="0" collapsed="false">
      <c r="A5016" s="2" t="n">
        <v>120947</v>
      </c>
      <c r="B5016" s="2" t="s">
        <v>4065</v>
      </c>
      <c r="C5016" s="2" t="n">
        <v>2</v>
      </c>
      <c r="D5016" s="2" t="n">
        <v>2</v>
      </c>
      <c r="E5016" s="2" t="n">
        <v>2</v>
      </c>
      <c r="F5016" s="2" t="n">
        <v>86</v>
      </c>
      <c r="G5016" s="2" t="s">
        <v>1469</v>
      </c>
      <c r="H5016" s="2" t="str">
        <f aca="false">IFERROR(__xludf.dummyfunction("IF(I5073="""", """", REGEXEXTRACT(I5073, ""Padrao/([^/]+)""))"),"Vila Seixas")</f>
        <v>Vila Seixas</v>
      </c>
    </row>
    <row r="5017" customFormat="false" ht="15.75" hidden="false" customHeight="false" outlineLevel="0" collapsed="false">
      <c r="A5017" s="2" t="n">
        <v>118808</v>
      </c>
      <c r="B5017" s="2" t="s">
        <v>4066</v>
      </c>
      <c r="C5017" s="2" t="n">
        <v>3</v>
      </c>
      <c r="D5017" s="2" t="n">
        <v>2</v>
      </c>
      <c r="E5017" s="2" t="n">
        <v>2</v>
      </c>
      <c r="F5017" s="2" t="n">
        <v>54</v>
      </c>
      <c r="G5017" s="2" t="s">
        <v>1469</v>
      </c>
      <c r="H5017" s="2" t="str">
        <f aca="false">IFERROR(__xludf.dummyfunction("IF(I5074="""", """", REGEXEXTRACT(I5074, ""Padrao/([^/]+)""))"),"Jardim Botanico")</f>
        <v>Jardim Botanico</v>
      </c>
    </row>
    <row r="5018" customFormat="false" ht="15.75" hidden="false" customHeight="false" outlineLevel="0" collapsed="false">
      <c r="A5018" s="2" t="n">
        <v>114557</v>
      </c>
      <c r="B5018" s="2" t="s">
        <v>4067</v>
      </c>
      <c r="C5018" s="2" t="n">
        <v>2</v>
      </c>
      <c r="D5018" s="2" t="n">
        <v>3</v>
      </c>
      <c r="E5018" s="2" t="n">
        <v>2</v>
      </c>
      <c r="F5018" s="2" t="n">
        <v>73</v>
      </c>
      <c r="G5018" s="2" t="s">
        <v>1469</v>
      </c>
      <c r="H5018" s="2" t="str">
        <f aca="false">IFERROR(__xludf.dummyfunction("IF(I5075="""", """", REGEXEXTRACT(I5075, ""Padrao/([^/]+)""))"),"Jardim Botanico")</f>
        <v>Jardim Botanico</v>
      </c>
    </row>
    <row r="5019" customFormat="false" ht="15.75" hidden="false" customHeight="false" outlineLevel="0" collapsed="false">
      <c r="A5019" s="2" t="n">
        <v>102461</v>
      </c>
      <c r="B5019" s="2" t="s">
        <v>4068</v>
      </c>
      <c r="C5019" s="2" t="n">
        <v>2</v>
      </c>
      <c r="D5019" s="2" t="n">
        <v>2</v>
      </c>
      <c r="E5019" s="2" t="n">
        <v>1</v>
      </c>
      <c r="F5019" s="2" t="n">
        <v>66</v>
      </c>
      <c r="G5019" s="2" t="s">
        <v>1469</v>
      </c>
      <c r="H5019" s="2" t="str">
        <f aca="false">IFERROR(__xludf.dummyfunction("IF(I5076="""", """", REGEXEXTRACT(I5076, ""Padrao/([^/]+)""))"),"Jardim Paulista")</f>
        <v>Jardim Paulista</v>
      </c>
    </row>
    <row r="5020" customFormat="false" ht="15.75" hidden="false" customHeight="false" outlineLevel="0" collapsed="false">
      <c r="A5020" s="2" t="n">
        <v>89129</v>
      </c>
      <c r="B5020" s="2" t="s">
        <v>4069</v>
      </c>
      <c r="C5020" s="2" t="n">
        <v>3</v>
      </c>
      <c r="D5020" s="2" t="n">
        <v>3</v>
      </c>
      <c r="E5020" s="2" t="n">
        <v>2</v>
      </c>
      <c r="F5020" s="2" t="n">
        <v>88</v>
      </c>
      <c r="G5020" s="2" t="s">
        <v>1469</v>
      </c>
      <c r="H5020" s="2" t="str">
        <f aca="false">IFERROR(__xludf.dummyfunction("IF(I5077="""", """", REGEXEXTRACT(I5077, ""Padrao/([^/]+)""))"),"Jardim Iraja")</f>
        <v>Jardim Iraja</v>
      </c>
    </row>
    <row r="5021" customFormat="false" ht="15.75" hidden="false" customHeight="false" outlineLevel="0" collapsed="false">
      <c r="A5021" s="2" t="n">
        <v>89114</v>
      </c>
      <c r="B5021" s="2" t="s">
        <v>4070</v>
      </c>
      <c r="C5021" s="2" t="n">
        <v>3</v>
      </c>
      <c r="D5021" s="2" t="n">
        <v>2</v>
      </c>
      <c r="E5021" s="2" t="n">
        <v>2</v>
      </c>
      <c r="F5021" s="2" t="n">
        <v>110</v>
      </c>
      <c r="G5021" s="2" t="s">
        <v>1469</v>
      </c>
      <c r="H5021" s="2" t="str">
        <f aca="false">IFERROR(__xludf.dummyfunction("IF(I5078="""", """", REGEXEXTRACT(I5078, ""Padrao/([^/]+)""))"),"Parque dos Bandeirantes")</f>
        <v>Parque dos Bandeirantes</v>
      </c>
    </row>
    <row r="5022" customFormat="false" ht="15.75" hidden="false" customHeight="false" outlineLevel="0" collapsed="false">
      <c r="A5022" s="2" t="n">
        <v>65846</v>
      </c>
      <c r="B5022" s="2" t="s">
        <v>4071</v>
      </c>
      <c r="C5022" s="2" t="n">
        <v>3</v>
      </c>
      <c r="D5022" s="2" t="n">
        <v>4</v>
      </c>
      <c r="E5022" s="2" t="n">
        <v>2</v>
      </c>
      <c r="F5022" s="2" t="n">
        <v>172</v>
      </c>
      <c r="G5022" s="2" t="s">
        <v>1469</v>
      </c>
      <c r="H5022" s="2" t="str">
        <f aca="false">IFERROR(__xludf.dummyfunction("IF(I5079="""", """", REGEXEXTRACT(I5079, ""Padrao/([^/]+)""))"),"Higienopolis")</f>
        <v>Higienopolis</v>
      </c>
    </row>
    <row r="5023" customFormat="false" ht="15.75" hidden="false" customHeight="false" outlineLevel="0" collapsed="false">
      <c r="A5023" s="2" t="n">
        <v>182054</v>
      </c>
      <c r="B5023" s="2" t="s">
        <v>4072</v>
      </c>
      <c r="C5023" s="2" t="n">
        <v>1</v>
      </c>
      <c r="D5023" s="2" t="n">
        <v>2</v>
      </c>
      <c r="E5023" s="2" t="n">
        <v>1</v>
      </c>
      <c r="F5023" s="2" t="n">
        <v>69</v>
      </c>
      <c r="G5023" s="2" t="s">
        <v>4073</v>
      </c>
      <c r="H5023" s="2" t="str">
        <f aca="false">IFERROR(__xludf.dummyfunction("IF(I5080="""", """", REGEXEXTRACT(I5080, ""Padrao/([^/]+)""))"),"Jardim Olhos DAgua")</f>
        <v>Jardim Olhos DAgua</v>
      </c>
    </row>
    <row r="5024" customFormat="false" ht="15.75" hidden="false" customHeight="false" outlineLevel="0" collapsed="false">
      <c r="A5024" s="2" t="n">
        <v>142205</v>
      </c>
      <c r="B5024" s="2" t="s">
        <v>4074</v>
      </c>
      <c r="C5024" s="2" t="n">
        <v>3</v>
      </c>
      <c r="D5024" s="2" t="n">
        <v>2</v>
      </c>
      <c r="E5024" s="2" t="n">
        <v>2</v>
      </c>
      <c r="F5024" s="2" t="n">
        <v>83</v>
      </c>
      <c r="G5024" s="2" t="s">
        <v>4075</v>
      </c>
      <c r="H5024" s="2" t="str">
        <f aca="false">IFERROR(__xludf.dummyfunction("IF(I5081="""", """", REGEXEXTRACT(I5081, ""Padrao/([^/]+)""))"),"Centro")</f>
        <v>Centro</v>
      </c>
    </row>
    <row r="5025" customFormat="false" ht="15.75" hidden="false" customHeight="false" outlineLevel="0" collapsed="false">
      <c r="A5025" s="2" t="n">
        <v>239213</v>
      </c>
      <c r="B5025" s="2" t="s">
        <v>4018</v>
      </c>
      <c r="C5025" s="2" t="n">
        <v>3</v>
      </c>
      <c r="D5025" s="2" t="n">
        <v>3</v>
      </c>
      <c r="E5025" s="2" t="n">
        <v>1</v>
      </c>
      <c r="F5025" s="2" t="n">
        <v>89</v>
      </c>
      <c r="G5025" s="2" t="s">
        <v>4076</v>
      </c>
      <c r="H5025" s="2" t="str">
        <f aca="false">IFERROR(__xludf.dummyfunction("IF(I5082="""", """", REGEXEXTRACT(I5082, ""Padrao/([^/]+)""))"),"Jardim Botanico")</f>
        <v>Jardim Botanico</v>
      </c>
    </row>
    <row r="5026" customFormat="false" ht="15.75" hidden="false" customHeight="false" outlineLevel="0" collapsed="false">
      <c r="A5026" s="2" t="n">
        <v>183311</v>
      </c>
      <c r="B5026" s="2" t="s">
        <v>3895</v>
      </c>
      <c r="C5026" s="2" t="n">
        <v>2</v>
      </c>
      <c r="D5026" s="2" t="n">
        <v>2</v>
      </c>
      <c r="E5026" s="2" t="n">
        <v>1</v>
      </c>
      <c r="F5026" s="2" t="n">
        <v>61</v>
      </c>
      <c r="G5026" s="2" t="s">
        <v>4077</v>
      </c>
      <c r="H5026" s="2" t="str">
        <f aca="false">IFERROR(__xludf.dummyfunction("IF(I5083="""", """", REGEXEXTRACT(I5083, ""Padrao/([^/]+)""))"),"Quinta da Primavera")</f>
        <v>Quinta da Primavera</v>
      </c>
    </row>
    <row r="5027" customFormat="false" ht="15.75" hidden="false" customHeight="false" outlineLevel="0" collapsed="false">
      <c r="A5027" s="2" t="n">
        <v>176873</v>
      </c>
      <c r="B5027" s="2" t="s">
        <v>4078</v>
      </c>
      <c r="C5027" s="2" t="n">
        <v>2</v>
      </c>
      <c r="D5027" s="2" t="n">
        <v>3</v>
      </c>
      <c r="E5027" s="2" t="n">
        <v>1</v>
      </c>
      <c r="F5027" s="2" t="n">
        <v>69</v>
      </c>
      <c r="G5027" s="2" t="s">
        <v>4079</v>
      </c>
      <c r="H5027" s="2" t="str">
        <f aca="false">IFERROR(__xludf.dummyfunction("IF(I5084="""", """", REGEXEXTRACT(I5084, ""Padrao/([^/]+)""))"),"Nova Alianca")</f>
        <v>Nova Alianca</v>
      </c>
    </row>
    <row r="5028" customFormat="false" ht="15.75" hidden="false" customHeight="false" outlineLevel="0" collapsed="false">
      <c r="A5028" s="2" t="n">
        <v>242801</v>
      </c>
      <c r="B5028" s="2" t="s">
        <v>4080</v>
      </c>
      <c r="C5028" s="2" t="n">
        <v>1</v>
      </c>
      <c r="D5028" s="2" t="n">
        <v>2</v>
      </c>
      <c r="E5028" s="2" t="n">
        <v>1</v>
      </c>
      <c r="F5028" s="2" t="n">
        <v>61</v>
      </c>
      <c r="G5028" s="2" t="s">
        <v>4081</v>
      </c>
      <c r="H5028" s="2" t="str">
        <f aca="false">IFERROR(__xludf.dummyfunction("IF(I5085="""", """", REGEXEXTRACT(I5085, ""Padrao/([^/]+)""))"),"Quinta da Primavera")</f>
        <v>Quinta da Primavera</v>
      </c>
    </row>
    <row r="5029" customFormat="false" ht="15.75" hidden="false" customHeight="false" outlineLevel="0" collapsed="false">
      <c r="A5029" s="2" t="n">
        <v>238820</v>
      </c>
      <c r="B5029" s="2" t="s">
        <v>4082</v>
      </c>
      <c r="C5029" s="2" t="n">
        <v>2</v>
      </c>
      <c r="D5029" s="2" t="n">
        <v>2</v>
      </c>
      <c r="E5029" s="2" t="n">
        <v>1</v>
      </c>
      <c r="F5029" s="2" t="n">
        <v>69</v>
      </c>
      <c r="G5029" s="2" t="s">
        <v>4081</v>
      </c>
      <c r="H5029" s="2" t="str">
        <f aca="false">IFERROR(__xludf.dummyfunction("IF(I5086="""", """", REGEXEXTRACT(I5086, ""Padrao/([^/]+)""))"),"Jardim Sumare")</f>
        <v>Jardim Sumare</v>
      </c>
    </row>
    <row r="5030" customFormat="false" ht="15.75" hidden="false" customHeight="false" outlineLevel="0" collapsed="false">
      <c r="A5030" s="2" t="n">
        <v>197027</v>
      </c>
      <c r="B5030" s="2" t="s">
        <v>3105</v>
      </c>
      <c r="C5030" s="2" t="n">
        <v>3</v>
      </c>
      <c r="D5030" s="2" t="n">
        <v>1</v>
      </c>
      <c r="E5030" s="2" t="n">
        <v>1</v>
      </c>
      <c r="F5030" s="2" t="n">
        <v>141</v>
      </c>
      <c r="G5030" s="2" t="s">
        <v>3870</v>
      </c>
      <c r="H5030" s="2" t="str">
        <f aca="false">IFERROR(__xludf.dummyfunction("IF(I5087="""", """", REGEXEXTRACT(I5087, ""Padrao/([^/]+)""))"),"Centro")</f>
        <v>Centro</v>
      </c>
    </row>
    <row r="5031" customFormat="false" ht="15.75" hidden="false" customHeight="false" outlineLevel="0" collapsed="false">
      <c r="A5031" s="2" t="n">
        <v>237668</v>
      </c>
      <c r="B5031" s="2" t="s">
        <v>4083</v>
      </c>
      <c r="C5031" s="2" t="n">
        <v>3</v>
      </c>
      <c r="D5031" s="2" t="n">
        <v>2</v>
      </c>
      <c r="E5031" s="2" t="n">
        <v>2</v>
      </c>
      <c r="F5031" s="2" t="n">
        <v>95</v>
      </c>
      <c r="G5031" s="2" t="s">
        <v>1471</v>
      </c>
      <c r="H5031" s="2" t="str">
        <f aca="false">IFERROR(__xludf.dummyfunction("IF(I5088="""", """", REGEXEXTRACT(I5088, ""Padrao/([^/]+)""))"),"Campos Eliseos")</f>
        <v>Campos Eliseos</v>
      </c>
    </row>
    <row r="5032" customFormat="false" ht="15.75" hidden="false" customHeight="false" outlineLevel="0" collapsed="false">
      <c r="A5032" s="2" t="n">
        <v>198755</v>
      </c>
      <c r="B5032" s="2" t="s">
        <v>4084</v>
      </c>
      <c r="C5032" s="2" t="n">
        <v>2</v>
      </c>
      <c r="D5032" s="2" t="n">
        <v>2</v>
      </c>
      <c r="E5032" s="2" t="n">
        <v>1</v>
      </c>
      <c r="F5032" s="2" t="n">
        <v>62</v>
      </c>
      <c r="G5032" s="2" t="s">
        <v>1471</v>
      </c>
      <c r="H5032" s="2" t="str">
        <f aca="false">IFERROR(__xludf.dummyfunction("IF(I5089="""", """", REGEXEXTRACT(I5089, ""Padrao/([^/]+)""))"),"Jardim Botanico")</f>
        <v>Jardim Botanico</v>
      </c>
    </row>
    <row r="5033" customFormat="false" ht="15.75" hidden="false" customHeight="false" outlineLevel="0" collapsed="false">
      <c r="A5033" s="2" t="n">
        <v>164375</v>
      </c>
      <c r="B5033" s="2" t="s">
        <v>3926</v>
      </c>
      <c r="C5033" s="2" t="n">
        <v>3</v>
      </c>
      <c r="D5033" s="2" t="n">
        <v>3</v>
      </c>
      <c r="E5033" s="2" t="n">
        <v>1</v>
      </c>
      <c r="F5033" s="2" t="n">
        <v>110</v>
      </c>
      <c r="G5033" s="2" t="s">
        <v>1471</v>
      </c>
      <c r="H5033" s="2" t="str">
        <f aca="false">IFERROR(__xludf.dummyfunction("IF(I5090="""", """", REGEXEXTRACT(I5090, ""Padrao/([^/]+)""))"),"Jardim Paulista")</f>
        <v>Jardim Paulista</v>
      </c>
    </row>
    <row r="5034" customFormat="false" ht="15.75" hidden="false" customHeight="false" outlineLevel="0" collapsed="false">
      <c r="A5034" s="2" t="n">
        <v>146720</v>
      </c>
      <c r="B5034" s="2" t="s">
        <v>4085</v>
      </c>
      <c r="C5034" s="2" t="n">
        <v>3</v>
      </c>
      <c r="D5034" s="2" t="n">
        <v>2</v>
      </c>
      <c r="E5034" s="2" t="n">
        <v>2</v>
      </c>
      <c r="F5034" s="2" t="n">
        <v>82</v>
      </c>
      <c r="G5034" s="2" t="s">
        <v>1471</v>
      </c>
      <c r="H5034" s="2" t="str">
        <f aca="false">IFERROR(__xludf.dummyfunction("IF(I5091="""", """", REGEXEXTRACT(I5091, ""Padrao/([^/]+)""))"),"Nova Alianca")</f>
        <v>Nova Alianca</v>
      </c>
    </row>
    <row r="5035" customFormat="false" ht="15.75" hidden="false" customHeight="false" outlineLevel="0" collapsed="false">
      <c r="A5035" s="2" t="n">
        <v>128153</v>
      </c>
      <c r="B5035" s="2" t="s">
        <v>4086</v>
      </c>
      <c r="C5035" s="2" t="n">
        <v>3</v>
      </c>
      <c r="D5035" s="2" t="n">
        <v>2</v>
      </c>
      <c r="E5035" s="2" t="n">
        <v>2</v>
      </c>
      <c r="F5035" s="2" t="n">
        <v>142</v>
      </c>
      <c r="G5035" s="2" t="s">
        <v>1471</v>
      </c>
      <c r="H5035" s="2" t="str">
        <f aca="false">IFERROR(__xludf.dummyfunction("IF(I5092="""", """", REGEXEXTRACT(I5092, ""Padrao/([^/]+)""))"),"Jardim Sumare")</f>
        <v>Jardim Sumare</v>
      </c>
    </row>
    <row r="5036" customFormat="false" ht="15.75" hidden="false" customHeight="false" outlineLevel="0" collapsed="false">
      <c r="A5036" s="2" t="n">
        <v>112754</v>
      </c>
      <c r="B5036" s="2" t="s">
        <v>4087</v>
      </c>
      <c r="C5036" s="2" t="n">
        <v>2</v>
      </c>
      <c r="D5036" s="2" t="n">
        <v>2</v>
      </c>
      <c r="E5036" s="2" t="n">
        <v>1</v>
      </c>
      <c r="F5036" s="2" t="n">
        <v>88</v>
      </c>
      <c r="G5036" s="2" t="s">
        <v>1471</v>
      </c>
      <c r="H5036" s="2" t="str">
        <f aca="false">IFERROR(__xludf.dummyfunction("IF(I5093="""", """", REGEXEXTRACT(I5093, ""Padrao/([^/]+)""))"),"Santa Cruz do Jose Jacques")</f>
        <v>Santa Cruz do Jose Jacques</v>
      </c>
    </row>
    <row r="5037" customFormat="false" ht="15.75" hidden="false" customHeight="false" outlineLevel="0" collapsed="false">
      <c r="A5037" s="2" t="n">
        <v>99554</v>
      </c>
      <c r="B5037" s="2" t="s">
        <v>162</v>
      </c>
      <c r="C5037" s="2" t="n">
        <v>3</v>
      </c>
      <c r="D5037" s="2" t="n">
        <v>2</v>
      </c>
      <c r="E5037" s="2" t="n">
        <v>2</v>
      </c>
      <c r="F5037" s="2" t="n">
        <v>95</v>
      </c>
      <c r="G5037" s="2" t="s">
        <v>1471</v>
      </c>
      <c r="H5037" s="2" t="str">
        <f aca="false">IFERROR(__xludf.dummyfunction("IF(I5094="""", """", REGEXEXTRACT(I5094, ""Padrao/([^/]+)""))"),"Campos Eliseos")</f>
        <v>Campos Eliseos</v>
      </c>
    </row>
    <row r="5038" customFormat="false" ht="15.75" hidden="false" customHeight="false" outlineLevel="0" collapsed="false">
      <c r="A5038" s="2" t="n">
        <v>217937</v>
      </c>
      <c r="B5038" s="2" t="s">
        <v>4088</v>
      </c>
      <c r="C5038" s="2" t="n">
        <v>1</v>
      </c>
      <c r="D5038" s="2" t="n">
        <v>1</v>
      </c>
      <c r="E5038" s="2" t="n">
        <v>1</v>
      </c>
      <c r="F5038" s="2" t="n">
        <v>39</v>
      </c>
      <c r="G5038" s="2" t="s">
        <v>4089</v>
      </c>
      <c r="H5038" s="2" t="str">
        <f aca="false">IFERROR(__xludf.dummyfunction("IF(I5095="""", """", REGEXEXTRACT(I5095, ""Padrao/([^/]+)""))"),"Jardim Sumare")</f>
        <v>Jardim Sumare</v>
      </c>
    </row>
    <row r="5039" customFormat="false" ht="15.75" hidden="false" customHeight="false" outlineLevel="0" collapsed="false">
      <c r="A5039" s="2" t="n">
        <v>76136</v>
      </c>
      <c r="B5039" s="2" t="s">
        <v>4090</v>
      </c>
      <c r="C5039" s="2" t="n">
        <v>4</v>
      </c>
      <c r="D5039" s="2" t="n">
        <v>3</v>
      </c>
      <c r="E5039" s="2" t="n">
        <v>2</v>
      </c>
      <c r="F5039" s="2" t="n">
        <v>142</v>
      </c>
      <c r="G5039" s="2" t="s">
        <v>4091</v>
      </c>
      <c r="H5039" s="2" t="str">
        <f aca="false">IFERROR(__xludf.dummyfunction("IF(I5096="""", """", REGEXEXTRACT(I5096, ""Padrao/([^/]+)""))"),"Jardim Sumare")</f>
        <v>Jardim Sumare</v>
      </c>
    </row>
    <row r="5040" customFormat="false" ht="15.75" hidden="false" customHeight="false" outlineLevel="0" collapsed="false">
      <c r="A5040" s="2" t="n">
        <v>238769</v>
      </c>
      <c r="B5040" s="2" t="s">
        <v>4092</v>
      </c>
      <c r="C5040" s="2" t="n">
        <v>2</v>
      </c>
      <c r="D5040" s="2" t="n">
        <v>2</v>
      </c>
      <c r="E5040" s="2" t="n">
        <v>1</v>
      </c>
      <c r="F5040" s="2" t="n">
        <v>69</v>
      </c>
      <c r="G5040" s="2" t="s">
        <v>4093</v>
      </c>
      <c r="H5040" s="2" t="str">
        <f aca="false">IFERROR(__xludf.dummyfunction("IF(I5097="""", """", REGEXEXTRACT(I5097, ""Padrao/([^/]+)""))"),"Jardim Olhos DAgua")</f>
        <v>Jardim Olhos DAgua</v>
      </c>
    </row>
    <row r="5041" customFormat="false" ht="15.75" hidden="false" customHeight="false" outlineLevel="0" collapsed="false">
      <c r="A5041" s="2" t="n">
        <v>229892</v>
      </c>
      <c r="B5041" s="2" t="s">
        <v>4094</v>
      </c>
      <c r="C5041" s="2" t="n">
        <v>3</v>
      </c>
      <c r="D5041" s="2" t="n">
        <v>2</v>
      </c>
      <c r="E5041" s="2" t="n">
        <v>2</v>
      </c>
      <c r="F5041" s="2" t="n">
        <v>81</v>
      </c>
      <c r="G5041" s="2" t="s">
        <v>4093</v>
      </c>
      <c r="H5041" s="2" t="str">
        <f aca="false">IFERROR(__xludf.dummyfunction("IF(I5098="""", """", REGEXEXTRACT(I5098, ""Padrao/([^/]+)""))"),"Jardim Nova Alianca Sul")</f>
        <v>Jardim Nova Alianca Sul</v>
      </c>
    </row>
    <row r="5042" customFormat="false" ht="15.75" hidden="false" customHeight="false" outlineLevel="0" collapsed="false">
      <c r="A5042" s="2" t="n">
        <v>175211</v>
      </c>
      <c r="B5042" s="2" t="s">
        <v>4095</v>
      </c>
      <c r="C5042" s="2" t="n">
        <v>2</v>
      </c>
      <c r="D5042" s="2" t="n">
        <v>2</v>
      </c>
      <c r="E5042" s="2" t="n">
        <v>1</v>
      </c>
      <c r="F5042" s="2" t="n">
        <v>65</v>
      </c>
      <c r="G5042" s="2" t="s">
        <v>4096</v>
      </c>
      <c r="H5042" s="2" t="str">
        <f aca="false">IFERROR(__xludf.dummyfunction("IF(I5099="""", """", REGEXEXTRACT(I5099, ""Padrao/([^/]+)""))"),"Alamedas do Botanico")</f>
        <v>Alamedas do Botanico</v>
      </c>
    </row>
    <row r="5043" customFormat="false" ht="15.75" hidden="false" customHeight="false" outlineLevel="0" collapsed="false">
      <c r="A5043" s="2" t="n">
        <v>176861</v>
      </c>
      <c r="B5043" s="2" t="s">
        <v>4097</v>
      </c>
      <c r="C5043" s="2" t="n">
        <v>2</v>
      </c>
      <c r="D5043" s="2" t="n">
        <v>3</v>
      </c>
      <c r="E5043" s="2" t="n">
        <v>1</v>
      </c>
      <c r="F5043" s="2" t="n">
        <v>70</v>
      </c>
      <c r="G5043" s="2" t="s">
        <v>4098</v>
      </c>
      <c r="H5043" s="2" t="str">
        <f aca="false">IFERROR(__xludf.dummyfunction("IF(I5100="""", """", REGEXEXTRACT(I5100, ""Padrao/([^/]+)""))"),"Nova Alianca")</f>
        <v>Nova Alianca</v>
      </c>
    </row>
    <row r="5044" customFormat="false" ht="15.75" hidden="false" customHeight="false" outlineLevel="0" collapsed="false">
      <c r="A5044" s="2" t="n">
        <v>182057</v>
      </c>
      <c r="B5044" s="2" t="s">
        <v>4072</v>
      </c>
      <c r="C5044" s="2" t="n">
        <v>1</v>
      </c>
      <c r="D5044" s="2" t="n">
        <v>2</v>
      </c>
      <c r="E5044" s="2" t="n">
        <v>1</v>
      </c>
      <c r="F5044" s="2" t="n">
        <v>69</v>
      </c>
      <c r="G5044" s="2" t="s">
        <v>4099</v>
      </c>
      <c r="H5044" s="2" t="str">
        <f aca="false">IFERROR(__xludf.dummyfunction("IF(I5101="""", """", REGEXEXTRACT(I5101, ""Padrao/([^/]+)""))"),"Jardim Olhos DAgua")</f>
        <v>Jardim Olhos DAgua</v>
      </c>
    </row>
    <row r="5045" customFormat="false" ht="15.75" hidden="false" customHeight="false" outlineLevel="0" collapsed="false">
      <c r="A5045" s="2" t="n">
        <v>144923</v>
      </c>
      <c r="B5045" s="2" t="s">
        <v>4100</v>
      </c>
      <c r="C5045" s="2" t="n">
        <v>3</v>
      </c>
      <c r="D5045" s="2" t="n">
        <v>4</v>
      </c>
      <c r="E5045" s="2" t="n">
        <v>1</v>
      </c>
      <c r="F5045" s="2" t="n">
        <v>162</v>
      </c>
      <c r="G5045" s="2" t="s">
        <v>1469</v>
      </c>
      <c r="H5045" s="2" t="str">
        <f aca="false">IFERROR(__xludf.dummyfunction("IF(I5102="""", """", REGEXEXTRACT(I5102, ""Padrao/([^/]+)""))"),"Centro")</f>
        <v>Centro</v>
      </c>
    </row>
    <row r="5046" customFormat="false" ht="15.75" hidden="false" customHeight="false" outlineLevel="0" collapsed="false">
      <c r="A5046" s="2" t="n">
        <v>214853</v>
      </c>
      <c r="B5046" s="2" t="s">
        <v>4095</v>
      </c>
      <c r="C5046" s="2" t="n">
        <v>2</v>
      </c>
      <c r="D5046" s="2" t="n">
        <v>2</v>
      </c>
      <c r="E5046" s="2" t="n">
        <v>1</v>
      </c>
      <c r="F5046" s="2" t="n">
        <v>65</v>
      </c>
      <c r="G5046" s="2" t="s">
        <v>4101</v>
      </c>
      <c r="H5046" s="2" t="str">
        <f aca="false">IFERROR(__xludf.dummyfunction("IF(I5103="""", """", REGEXEXTRACT(I5103, ""Padrao/([^/]+)""))"),"Alamedas do Botanico")</f>
        <v>Alamedas do Botanico</v>
      </c>
    </row>
    <row r="5047" customFormat="false" ht="15.75" hidden="false" customHeight="false" outlineLevel="0" collapsed="false">
      <c r="A5047" s="2" t="n">
        <v>244979</v>
      </c>
      <c r="B5047" s="2" t="s">
        <v>4102</v>
      </c>
      <c r="C5047" s="2" t="n">
        <v>3</v>
      </c>
      <c r="D5047" s="2" t="n">
        <v>2</v>
      </c>
      <c r="E5047" s="2" t="n">
        <v>2</v>
      </c>
      <c r="F5047" s="2" t="n">
        <v>76</v>
      </c>
      <c r="G5047" s="2" t="s">
        <v>4103</v>
      </c>
      <c r="H5047" s="2" t="str">
        <f aca="false">IFERROR(__xludf.dummyfunction("IF(I5104="""", """", REGEXEXTRACT(I5104, ""Padrao/([^/]+)""))"),"Bonfim Paulista")</f>
        <v>Bonfim Paulista</v>
      </c>
    </row>
    <row r="5048" customFormat="false" ht="15.75" hidden="false" customHeight="false" outlineLevel="0" collapsed="false">
      <c r="A5048" s="2" t="n">
        <v>236636</v>
      </c>
      <c r="B5048" s="2" t="s">
        <v>3974</v>
      </c>
      <c r="C5048" s="2" t="n">
        <v>2</v>
      </c>
      <c r="D5048" s="2" t="n">
        <v>2</v>
      </c>
      <c r="E5048" s="2" t="n">
        <v>1</v>
      </c>
      <c r="F5048" s="2" t="n">
        <v>62</v>
      </c>
      <c r="G5048" s="2" t="s">
        <v>4103</v>
      </c>
      <c r="H5048" s="2" t="str">
        <f aca="false">IFERROR(__xludf.dummyfunction("IF(I5105="""", """", REGEXEXTRACT(I5105, ""Padrao/([^/]+)""))"),"Ribeirania")</f>
        <v>Ribeirania</v>
      </c>
    </row>
    <row r="5049" customFormat="false" ht="15.75" hidden="false" customHeight="false" outlineLevel="0" collapsed="false">
      <c r="A5049" s="2" t="n">
        <v>216632</v>
      </c>
      <c r="B5049" s="2" t="s">
        <v>4104</v>
      </c>
      <c r="C5049" s="2" t="n">
        <v>2</v>
      </c>
      <c r="D5049" s="2" t="n">
        <v>2</v>
      </c>
      <c r="E5049" s="2" t="n">
        <v>2</v>
      </c>
      <c r="F5049" s="2" t="n">
        <v>88</v>
      </c>
      <c r="G5049" s="2" t="s">
        <v>4103</v>
      </c>
      <c r="H5049" s="2" t="str">
        <f aca="false">IFERROR(__xludf.dummyfunction("IF(I5106="""", """", REGEXEXTRACT(I5106, ""Padrao/([^/]+)""))"),"Bosque das Juritis")</f>
        <v>Bosque das Juritis</v>
      </c>
    </row>
    <row r="5050" customFormat="false" ht="15.75" hidden="false" customHeight="false" outlineLevel="0" collapsed="false">
      <c r="A5050" s="2" t="n">
        <v>213131</v>
      </c>
      <c r="B5050" s="2" t="s">
        <v>4105</v>
      </c>
      <c r="C5050" s="2" t="n">
        <v>3</v>
      </c>
      <c r="D5050" s="2" t="n">
        <v>2</v>
      </c>
      <c r="E5050" s="2" t="n">
        <v>1</v>
      </c>
      <c r="F5050" s="2" t="n">
        <v>104</v>
      </c>
      <c r="G5050" s="2" t="s">
        <v>4103</v>
      </c>
      <c r="H5050" s="2" t="str">
        <f aca="false">IFERROR(__xludf.dummyfunction("IF(I5107="""", """", REGEXEXTRACT(I5107, ""Padrao/([^/]+)""))"),"Centro")</f>
        <v>Centro</v>
      </c>
    </row>
    <row r="5051" customFormat="false" ht="15.75" hidden="false" customHeight="false" outlineLevel="0" collapsed="false">
      <c r="A5051" s="2" t="n">
        <v>167054</v>
      </c>
      <c r="B5051" s="2" t="s">
        <v>2970</v>
      </c>
      <c r="C5051" s="2" t="n">
        <v>3</v>
      </c>
      <c r="D5051" s="2" t="n">
        <v>2</v>
      </c>
      <c r="E5051" s="2" t="n">
        <v>2</v>
      </c>
      <c r="F5051" s="2" t="n">
        <v>222</v>
      </c>
      <c r="G5051" s="2" t="s">
        <v>4103</v>
      </c>
      <c r="H5051" s="2" t="str">
        <f aca="false">IFERROR(__xludf.dummyfunction("IF(I5108="""", """", REGEXEXTRACT(I5108, ""Padrao/([^/]+)""))"),"Vila Seixas")</f>
        <v>Vila Seixas</v>
      </c>
    </row>
    <row r="5052" customFormat="false" ht="15.75" hidden="false" customHeight="false" outlineLevel="0" collapsed="false">
      <c r="A5052" s="2" t="n">
        <v>120398</v>
      </c>
      <c r="B5052" s="2" t="s">
        <v>4106</v>
      </c>
      <c r="C5052" s="2" t="n">
        <v>3</v>
      </c>
      <c r="D5052" s="2" t="n">
        <v>2</v>
      </c>
      <c r="E5052" s="2" t="n">
        <v>2</v>
      </c>
      <c r="F5052" s="2" t="n">
        <v>95</v>
      </c>
      <c r="G5052" s="2" t="s">
        <v>4103</v>
      </c>
      <c r="H5052" s="2" t="str">
        <f aca="false">IFERROR(__xludf.dummyfunction("IF(I5109="""", """", REGEXEXTRACT(I5109, ""Padrao/([^/]+)""))"),"Jardim Canada")</f>
        <v>Jardim Canada</v>
      </c>
    </row>
    <row r="5053" customFormat="false" ht="15.75" hidden="false" customHeight="false" outlineLevel="0" collapsed="false">
      <c r="A5053" s="2" t="n">
        <v>74408</v>
      </c>
      <c r="B5053" s="2" t="s">
        <v>4107</v>
      </c>
      <c r="C5053" s="2" t="n">
        <v>3</v>
      </c>
      <c r="D5053" s="2" t="n">
        <v>3</v>
      </c>
      <c r="E5053" s="2" t="n">
        <v>1</v>
      </c>
      <c r="F5053" s="2" t="n">
        <v>135</v>
      </c>
      <c r="G5053" s="2" t="s">
        <v>4103</v>
      </c>
      <c r="H5053" s="2" t="str">
        <f aca="false">IFERROR(__xludf.dummyfunction("IF(I5110="""", """", REGEXEXTRACT(I5110, ""Padrao/([^/]+)""))"),"Jardim Sumare")</f>
        <v>Jardim Sumare</v>
      </c>
    </row>
    <row r="5054" customFormat="false" ht="15.75" hidden="false" customHeight="false" outlineLevel="0" collapsed="false">
      <c r="A5054" s="2" t="n">
        <v>238826</v>
      </c>
      <c r="B5054" s="2" t="s">
        <v>4108</v>
      </c>
      <c r="C5054" s="2" t="n">
        <v>2</v>
      </c>
      <c r="D5054" s="2" t="n">
        <v>2</v>
      </c>
      <c r="E5054" s="2" t="n">
        <v>1</v>
      </c>
      <c r="F5054" s="2" t="n">
        <v>69</v>
      </c>
      <c r="G5054" s="2" t="s">
        <v>4109</v>
      </c>
      <c r="H5054" s="2" t="str">
        <f aca="false">IFERROR(__xludf.dummyfunction("IF(I5111="""", """", REGEXEXTRACT(I5111, ""Padrao/([^/]+)""))"),"Jardim Sumare")</f>
        <v>Jardim Sumare</v>
      </c>
    </row>
    <row r="5055" customFormat="false" ht="15.75" hidden="false" customHeight="false" outlineLevel="0" collapsed="false">
      <c r="A5055" s="2" t="n">
        <v>142676</v>
      </c>
      <c r="B5055" s="2" t="s">
        <v>4110</v>
      </c>
      <c r="C5055" s="2" t="n">
        <v>3</v>
      </c>
      <c r="D5055" s="2" t="n">
        <v>3</v>
      </c>
      <c r="E5055" s="2" t="n">
        <v>2</v>
      </c>
      <c r="F5055" s="2" t="n">
        <v>91</v>
      </c>
      <c r="G5055" s="2" t="s">
        <v>2743</v>
      </c>
      <c r="H5055" s="2" t="str">
        <f aca="false">IFERROR(__xludf.dummyfunction("IF(I5112="""", """", REGEXEXTRACT(I5112, ""Padrao/([^/]+)""))"),"Ribeirania")</f>
        <v>Ribeirania</v>
      </c>
    </row>
    <row r="5056" customFormat="false" ht="15.75" hidden="false" customHeight="false" outlineLevel="0" collapsed="false">
      <c r="A5056" s="2" t="n">
        <v>239222</v>
      </c>
      <c r="B5056" s="2" t="s">
        <v>4018</v>
      </c>
      <c r="C5056" s="2" t="n">
        <v>3</v>
      </c>
      <c r="D5056" s="2" t="n">
        <v>3</v>
      </c>
      <c r="E5056" s="2" t="n">
        <v>2</v>
      </c>
      <c r="F5056" s="2" t="n">
        <v>89</v>
      </c>
      <c r="G5056" s="2" t="s">
        <v>4111</v>
      </c>
      <c r="H5056" s="2" t="str">
        <f aca="false">IFERROR(__xludf.dummyfunction("IF(I5113="""", """", REGEXEXTRACT(I5113, ""Padrao/([^/]+)""))"),"Jardim Botanico")</f>
        <v>Jardim Botanico</v>
      </c>
    </row>
    <row r="5057" customFormat="false" ht="15.75" hidden="false" customHeight="false" outlineLevel="0" collapsed="false">
      <c r="A5057" s="2" t="n">
        <v>182060</v>
      </c>
      <c r="B5057" s="2" t="s">
        <v>4072</v>
      </c>
      <c r="C5057" s="2" t="n">
        <v>1</v>
      </c>
      <c r="D5057" s="2" t="n">
        <v>2</v>
      </c>
      <c r="E5057" s="2" t="n">
        <v>1</v>
      </c>
      <c r="F5057" s="2" t="n">
        <v>69</v>
      </c>
      <c r="G5057" s="2" t="s">
        <v>4112</v>
      </c>
      <c r="H5057" s="2" t="str">
        <f aca="false">IFERROR(__xludf.dummyfunction("IF(I5114="""", """", REGEXEXTRACT(I5114, ""Padrao/([^/]+)""))"),"Jardim Olhos DAgua")</f>
        <v>Jardim Olhos DAgua</v>
      </c>
    </row>
    <row r="5058" customFormat="false" ht="15.75" hidden="false" customHeight="false" outlineLevel="0" collapsed="false">
      <c r="A5058" s="2" t="n">
        <v>238328</v>
      </c>
      <c r="B5058" s="2" t="s">
        <v>4113</v>
      </c>
      <c r="C5058" s="2" t="n">
        <v>2</v>
      </c>
      <c r="D5058" s="2" t="n">
        <v>2</v>
      </c>
      <c r="E5058" s="2" t="n">
        <v>1</v>
      </c>
      <c r="F5058" s="2" t="n">
        <v>63</v>
      </c>
      <c r="G5058" s="2" t="s">
        <v>4114</v>
      </c>
      <c r="H5058" s="2" t="str">
        <f aca="false">IFERROR(__xludf.dummyfunction("IF(I5115="""", """", REGEXEXTRACT(I5115, ""Padrao/([^/]+)""))"),"Quinta da Primavera")</f>
        <v>Quinta da Primavera</v>
      </c>
    </row>
    <row r="5059" customFormat="false" ht="15.75" hidden="false" customHeight="false" outlineLevel="0" collapsed="false">
      <c r="A5059" s="2" t="n">
        <v>240914</v>
      </c>
      <c r="B5059" s="2" t="s">
        <v>4037</v>
      </c>
      <c r="C5059" s="2" t="n">
        <v>4</v>
      </c>
      <c r="D5059" s="2" t="n">
        <v>4</v>
      </c>
      <c r="E5059" s="2" t="n">
        <v>1</v>
      </c>
      <c r="F5059" s="2" t="n">
        <v>210</v>
      </c>
      <c r="G5059" s="2" t="s">
        <v>4115</v>
      </c>
      <c r="H5059" s="2" t="str">
        <f aca="false">IFERROR(__xludf.dummyfunction("IF(I5116="""", """", REGEXEXTRACT(I5116, ""Padrao/([^/]+)""))"),"Centro")</f>
        <v>Centro</v>
      </c>
    </row>
    <row r="5060" customFormat="false" ht="15.75" hidden="false" customHeight="false" outlineLevel="0" collapsed="false">
      <c r="A5060" s="2" t="n">
        <v>245111</v>
      </c>
      <c r="B5060" s="2" t="s">
        <v>4116</v>
      </c>
      <c r="C5060" s="2" t="n">
        <v>3</v>
      </c>
      <c r="D5060" s="2" t="n">
        <v>2</v>
      </c>
      <c r="E5060" s="2" t="n">
        <v>2</v>
      </c>
      <c r="F5060" s="2" t="n">
        <v>107</v>
      </c>
      <c r="G5060" s="2" t="s">
        <v>1482</v>
      </c>
      <c r="H5060" s="2" t="str">
        <f aca="false">IFERROR(__xludf.dummyfunction("IF(I5117="""", """", REGEXEXTRACT(I5117, ""Padrao/([^/]+)""))"),"Vila Ana Maria")</f>
        <v>Vila Ana Maria</v>
      </c>
    </row>
    <row r="5061" customFormat="false" ht="15.75" hidden="false" customHeight="false" outlineLevel="0" collapsed="false">
      <c r="A5061" s="2" t="n">
        <v>230870</v>
      </c>
      <c r="B5061" s="2" t="s">
        <v>4117</v>
      </c>
      <c r="C5061" s="2" t="n">
        <v>2</v>
      </c>
      <c r="D5061" s="2" t="n">
        <v>3</v>
      </c>
      <c r="E5061" s="2" t="n">
        <v>2</v>
      </c>
      <c r="F5061" s="2" t="n">
        <v>87</v>
      </c>
      <c r="G5061" s="2" t="s">
        <v>1482</v>
      </c>
      <c r="H5061" s="2" t="str">
        <f aca="false">IFERROR(__xludf.dummyfunction("IF(I5118="""", """", REGEXEXTRACT(I5118, ""Padrao/([^/]+)""))"),"Bosque das Juritis")</f>
        <v>Bosque das Juritis</v>
      </c>
    </row>
    <row r="5062" customFormat="false" ht="15.75" hidden="false" customHeight="false" outlineLevel="0" collapsed="false">
      <c r="A5062" s="2" t="n">
        <v>225242</v>
      </c>
      <c r="B5062" s="2" t="s">
        <v>4118</v>
      </c>
      <c r="C5062" s="2" t="n">
        <v>2</v>
      </c>
      <c r="D5062" s="2" t="n">
        <v>2</v>
      </c>
      <c r="E5062" s="2" t="n">
        <v>1</v>
      </c>
      <c r="F5062" s="2" t="n">
        <v>59</v>
      </c>
      <c r="G5062" s="2" t="s">
        <v>1482</v>
      </c>
      <c r="H5062" s="2" t="str">
        <f aca="false">IFERROR(__xludf.dummyfunction("IF(I5119="""", """", REGEXEXTRACT(I5119, ""Padrao/([^/]+)""))"),"Residencial Taiwan")</f>
        <v>Residencial Taiwan</v>
      </c>
    </row>
    <row r="5063" customFormat="false" ht="15.75" hidden="false" customHeight="false" outlineLevel="0" collapsed="false">
      <c r="A5063" s="2" t="n">
        <v>211493</v>
      </c>
      <c r="B5063" s="2" t="s">
        <v>4119</v>
      </c>
      <c r="C5063" s="2" t="n">
        <v>2</v>
      </c>
      <c r="D5063" s="2" t="n">
        <v>3</v>
      </c>
      <c r="E5063" s="2" t="n">
        <v>2</v>
      </c>
      <c r="F5063" s="2" t="n">
        <v>76</v>
      </c>
      <c r="G5063" s="2" t="s">
        <v>1482</v>
      </c>
      <c r="H5063" s="2" t="str">
        <f aca="false">IFERROR(__xludf.dummyfunction("IF(I5120="""", """", REGEXEXTRACT(I5120, ""Padrao/([^/]+)""))"),"Jardim Botanico")</f>
        <v>Jardim Botanico</v>
      </c>
    </row>
    <row r="5064" customFormat="false" ht="15.75" hidden="false" customHeight="false" outlineLevel="0" collapsed="false">
      <c r="A5064" s="2" t="n">
        <v>192017</v>
      </c>
      <c r="B5064" s="2" t="s">
        <v>4120</v>
      </c>
      <c r="C5064" s="2" t="n">
        <v>3</v>
      </c>
      <c r="D5064" s="2" t="n">
        <v>2</v>
      </c>
      <c r="E5064" s="2" t="n">
        <v>2</v>
      </c>
      <c r="F5064" s="2" t="n">
        <v>93</v>
      </c>
      <c r="G5064" s="2" t="s">
        <v>1482</v>
      </c>
      <c r="H5064" s="2" t="str">
        <f aca="false">IFERROR(__xludf.dummyfunction("IF(I5121="""", """", REGEXEXTRACT(I5121, ""Padrao/([^/]+)""))"),"Santa Cruz do Jose Jacques")</f>
        <v>Santa Cruz do Jose Jacques</v>
      </c>
    </row>
    <row r="5065" customFormat="false" ht="15.75" hidden="false" customHeight="false" outlineLevel="0" collapsed="false">
      <c r="A5065" s="2" t="n">
        <v>186065</v>
      </c>
      <c r="B5065" s="2" t="s">
        <v>4121</v>
      </c>
      <c r="C5065" s="2" t="n">
        <v>2</v>
      </c>
      <c r="D5065" s="2" t="n">
        <v>2</v>
      </c>
      <c r="E5065" s="2" t="n">
        <v>1</v>
      </c>
      <c r="F5065" s="2" t="n">
        <v>67</v>
      </c>
      <c r="G5065" s="2" t="s">
        <v>1482</v>
      </c>
      <c r="H5065" s="2" t="str">
        <f aca="false">IFERROR(__xludf.dummyfunction("IF(I5122="""", """", REGEXEXTRACT(I5122, ""Padrao/([^/]+)""))"),"Jardim Iraja")</f>
        <v>Jardim Iraja</v>
      </c>
    </row>
    <row r="5066" customFormat="false" ht="15.75" hidden="false" customHeight="false" outlineLevel="0" collapsed="false">
      <c r="A5066" s="2" t="n">
        <v>172793</v>
      </c>
      <c r="B5066" s="2" t="s">
        <v>1470</v>
      </c>
      <c r="C5066" s="2" t="n">
        <v>3</v>
      </c>
      <c r="D5066" s="2" t="n">
        <v>4</v>
      </c>
      <c r="E5066" s="2" t="n">
        <v>4</v>
      </c>
      <c r="F5066" s="2" t="n">
        <v>138</v>
      </c>
      <c r="G5066" s="2" t="s">
        <v>1482</v>
      </c>
      <c r="H5066" s="2" t="str">
        <f aca="false">IFERROR(__xludf.dummyfunction("IF(I5123="""", """", REGEXEXTRACT(I5123, ""Padrao/([^/]+)""))"),"Jardim Sumare")</f>
        <v>Jardim Sumare</v>
      </c>
    </row>
    <row r="5067" customFormat="false" ht="15.75" hidden="false" customHeight="false" outlineLevel="0" collapsed="false">
      <c r="A5067" s="2" t="n">
        <v>134171</v>
      </c>
      <c r="B5067" s="2" t="s">
        <v>602</v>
      </c>
      <c r="C5067" s="2" t="n">
        <v>3</v>
      </c>
      <c r="D5067" s="2" t="n">
        <v>2</v>
      </c>
      <c r="E5067" s="2" t="n">
        <v>1</v>
      </c>
      <c r="F5067" s="2" t="n">
        <v>140</v>
      </c>
      <c r="G5067" s="2" t="s">
        <v>1482</v>
      </c>
      <c r="H5067" s="2" t="str">
        <f aca="false">IFERROR(__xludf.dummyfunction("IF(I5124="""", """", REGEXEXTRACT(I5124, ""Padrao/([^/]+)""))"),"Centro")</f>
        <v>Centro</v>
      </c>
    </row>
    <row r="5068" customFormat="false" ht="15.75" hidden="false" customHeight="false" outlineLevel="0" collapsed="false">
      <c r="A5068" s="2" t="n">
        <v>79724</v>
      </c>
      <c r="B5068" s="2" t="s">
        <v>4122</v>
      </c>
      <c r="C5068" s="2" t="n">
        <v>3</v>
      </c>
      <c r="D5068" s="2" t="n">
        <v>2</v>
      </c>
      <c r="E5068" s="2" t="n">
        <v>2</v>
      </c>
      <c r="F5068" s="2" t="n">
        <v>103</v>
      </c>
      <c r="G5068" s="2" t="s">
        <v>1482</v>
      </c>
      <c r="H5068" s="2" t="str">
        <f aca="false">IFERROR(__xludf.dummyfunction("IF(I5125="""", """", REGEXEXTRACT(I5125, ""Padrao/([^/]+)""))"),"Republica")</f>
        <v>Republica</v>
      </c>
    </row>
    <row r="5069" customFormat="false" ht="15.75" hidden="false" customHeight="false" outlineLevel="0" collapsed="false">
      <c r="A5069" s="2" t="n">
        <v>178238</v>
      </c>
      <c r="B5069" s="2" t="s">
        <v>4123</v>
      </c>
      <c r="C5069" s="2" t="n">
        <v>2</v>
      </c>
      <c r="D5069" s="2" t="n">
        <v>3</v>
      </c>
      <c r="E5069" s="2" t="n">
        <v>2</v>
      </c>
      <c r="F5069" s="2" t="n">
        <v>65</v>
      </c>
      <c r="G5069" s="2" t="s">
        <v>4124</v>
      </c>
      <c r="H5069" s="2" t="str">
        <f aca="false">IFERROR(__xludf.dummyfunction("IF(I5126="""", """", REGEXEXTRACT(I5126, ""Padrao/([^/]+)""))"),"Nova Alianca")</f>
        <v>Nova Alianca</v>
      </c>
    </row>
    <row r="5070" customFormat="false" ht="15.75" hidden="false" customHeight="false" outlineLevel="0" collapsed="false">
      <c r="A5070" s="2" t="n">
        <v>137312</v>
      </c>
      <c r="B5070" s="2" t="s">
        <v>4125</v>
      </c>
      <c r="C5070" s="2" t="n">
        <v>3</v>
      </c>
      <c r="D5070" s="2" t="n">
        <v>3</v>
      </c>
      <c r="E5070" s="2" t="n">
        <v>2</v>
      </c>
      <c r="F5070" s="2" t="n">
        <v>104</v>
      </c>
      <c r="G5070" s="2" t="s">
        <v>648</v>
      </c>
      <c r="H5070" s="2" t="str">
        <f aca="false">IFERROR(__xludf.dummyfunction("IF(I5127="""", """", REGEXEXTRACT(I5127, ""Padrao/([^/]+)""))"),"Centro")</f>
        <v>Centro</v>
      </c>
    </row>
    <row r="5071" customFormat="false" ht="15.75" hidden="false" customHeight="false" outlineLevel="0" collapsed="false">
      <c r="A5071" s="2" t="n">
        <v>128114</v>
      </c>
      <c r="B5071" s="2" t="s">
        <v>4126</v>
      </c>
      <c r="C5071" s="2" t="n">
        <v>3</v>
      </c>
      <c r="D5071" s="2" t="n">
        <v>3</v>
      </c>
      <c r="E5071" s="2" t="n">
        <v>2</v>
      </c>
      <c r="F5071" s="2" t="n">
        <v>109</v>
      </c>
      <c r="G5071" s="2" t="s">
        <v>4127</v>
      </c>
      <c r="H5071" s="2" t="str">
        <f aca="false">IFERROR(__xludf.dummyfunction("IF(I5128="""", """", REGEXEXTRACT(I5128, ""Padrao/([^/]+)""))"),"Jardim Paulistano")</f>
        <v>Jardim Paulistano</v>
      </c>
    </row>
    <row r="5072" customFormat="false" ht="15.75" hidden="false" customHeight="false" outlineLevel="0" collapsed="false">
      <c r="A5072" s="2" t="n">
        <v>84038</v>
      </c>
      <c r="B5072" s="2" t="s">
        <v>4128</v>
      </c>
      <c r="C5072" s="2" t="n">
        <v>3</v>
      </c>
      <c r="D5072" s="2" t="n">
        <v>2</v>
      </c>
      <c r="E5072" s="2" t="n">
        <v>1</v>
      </c>
      <c r="F5072" s="2" t="n">
        <v>118</v>
      </c>
      <c r="G5072" s="2" t="s">
        <v>4127</v>
      </c>
      <c r="H5072" s="2" t="str">
        <f aca="false">IFERROR(__xludf.dummyfunction("IF(I5129="""", """", REGEXEXTRACT(I5129, ""Padrao/([^/]+)""))"),"Jardim Sao Luiz")</f>
        <v>Jardim Sao Luiz</v>
      </c>
    </row>
    <row r="5073" customFormat="false" ht="15.75" hidden="false" customHeight="false" outlineLevel="0" collapsed="false">
      <c r="A5073" s="2" t="n">
        <v>239228</v>
      </c>
      <c r="B5073" s="2" t="s">
        <v>4018</v>
      </c>
      <c r="C5073" s="2" t="n">
        <v>3</v>
      </c>
      <c r="D5073" s="2" t="n">
        <v>3</v>
      </c>
      <c r="E5073" s="2" t="n">
        <v>2</v>
      </c>
      <c r="F5073" s="2" t="n">
        <v>89</v>
      </c>
      <c r="G5073" s="2" t="s">
        <v>4129</v>
      </c>
      <c r="H5073" s="2" t="str">
        <f aca="false">IFERROR(__xludf.dummyfunction("IF(I5130="""", """", REGEXEXTRACT(I5130, ""Padrao/([^/]+)""))"),"Jardim Botanico")</f>
        <v>Jardim Botanico</v>
      </c>
    </row>
    <row r="5074" customFormat="false" ht="15.75" hidden="false" customHeight="false" outlineLevel="0" collapsed="false">
      <c r="A5074" s="2" t="n">
        <v>186680</v>
      </c>
      <c r="B5074" s="2" t="s">
        <v>4130</v>
      </c>
      <c r="C5074" s="2" t="n">
        <v>4</v>
      </c>
      <c r="D5074" s="2" t="n">
        <v>4</v>
      </c>
      <c r="E5074" s="2" t="n">
        <v>1</v>
      </c>
      <c r="F5074" s="2" t="n">
        <v>159</v>
      </c>
      <c r="G5074" s="2" t="s">
        <v>4043</v>
      </c>
      <c r="H5074" s="2" t="str">
        <f aca="false">IFERROR(__xludf.dummyfunction("IF(I5131="""", """", REGEXEXTRACT(I5131, ""Padrao/([^/]+)""))"),"Centro")</f>
        <v>Centro</v>
      </c>
    </row>
    <row r="5075" customFormat="false" ht="15.75" hidden="false" customHeight="false" outlineLevel="0" collapsed="false">
      <c r="A5075" s="2" t="n">
        <v>130829</v>
      </c>
      <c r="B5075" s="2" t="s">
        <v>4131</v>
      </c>
      <c r="C5075" s="2" t="n">
        <v>3</v>
      </c>
      <c r="D5075" s="2" t="n">
        <v>3</v>
      </c>
      <c r="E5075" s="2" t="n">
        <v>2</v>
      </c>
      <c r="F5075" s="2" t="n">
        <v>142</v>
      </c>
      <c r="G5075" s="2" t="s">
        <v>1482</v>
      </c>
      <c r="H5075" s="2" t="str">
        <f aca="false">IFERROR(__xludf.dummyfunction("IF(I5132="""", """", REGEXEXTRACT(I5132, ""Padrao/([^/]+)""))"),"Jardim Sumare")</f>
        <v>Jardim Sumare</v>
      </c>
    </row>
    <row r="5076" customFormat="false" ht="15.75" hidden="false" customHeight="false" outlineLevel="0" collapsed="false">
      <c r="A5076" s="2" t="n">
        <v>243503</v>
      </c>
      <c r="B5076" s="2" t="s">
        <v>4132</v>
      </c>
      <c r="C5076" s="2" t="n">
        <v>2</v>
      </c>
      <c r="D5076" s="2" t="n">
        <v>3</v>
      </c>
      <c r="E5076" s="2" t="n">
        <v>2</v>
      </c>
      <c r="F5076" s="2" t="n">
        <v>76</v>
      </c>
      <c r="G5076" s="2" t="s">
        <v>4133</v>
      </c>
      <c r="H5076" s="2" t="str">
        <f aca="false">IFERROR(__xludf.dummyfunction("IF(I5133="""", """", REGEXEXTRACT(I5133, ""Padrao/([^/]+)""))"),"Jardim Botanico")</f>
        <v>Jardim Botanico</v>
      </c>
    </row>
    <row r="5077" customFormat="false" ht="15.75" hidden="false" customHeight="false" outlineLevel="0" collapsed="false">
      <c r="A5077" s="2" t="n">
        <v>129302</v>
      </c>
      <c r="B5077" s="2" t="s">
        <v>4134</v>
      </c>
      <c r="C5077" s="2" t="n">
        <v>2</v>
      </c>
      <c r="D5077" s="2" t="n">
        <v>3</v>
      </c>
      <c r="E5077" s="2" t="n">
        <v>2</v>
      </c>
      <c r="F5077" s="2" t="n">
        <v>76</v>
      </c>
      <c r="G5077" s="2" t="s">
        <v>4133</v>
      </c>
      <c r="H5077" s="2" t="str">
        <f aca="false">IFERROR(__xludf.dummyfunction("IF(I5134="""", """", REGEXEXTRACT(I5134, ""Padrao/([^/]+)""))"),"Jardim Botanico")</f>
        <v>Jardim Botanico</v>
      </c>
    </row>
    <row r="5078" customFormat="false" ht="15.75" hidden="false" customHeight="false" outlineLevel="0" collapsed="false">
      <c r="A5078" s="2" t="n">
        <v>214976</v>
      </c>
      <c r="B5078" s="2" t="s">
        <v>4135</v>
      </c>
      <c r="C5078" s="2" t="n">
        <v>2</v>
      </c>
      <c r="D5078" s="2" t="n">
        <v>2</v>
      </c>
      <c r="E5078" s="2" t="n">
        <v>1</v>
      </c>
      <c r="F5078" s="2" t="n">
        <v>66</v>
      </c>
      <c r="G5078" s="2" t="s">
        <v>4136</v>
      </c>
      <c r="H5078" s="2" t="str">
        <f aca="false">IFERROR(__xludf.dummyfunction("IF(I5136="""", """", REGEXEXTRACT(I5136, ""Padrao/([^/]+)""))"),"Quinta da Primavera")</f>
        <v>Quinta da Primavera</v>
      </c>
    </row>
    <row r="5079" customFormat="false" ht="15.75" hidden="false" customHeight="false" outlineLevel="0" collapsed="false">
      <c r="A5079" s="2" t="n">
        <v>174053</v>
      </c>
      <c r="B5079" s="2" t="s">
        <v>4137</v>
      </c>
      <c r="C5079" s="2" t="n">
        <v>3</v>
      </c>
      <c r="D5079" s="2" t="n">
        <v>4</v>
      </c>
      <c r="E5079" s="2" t="n">
        <v>1</v>
      </c>
      <c r="F5079" s="2" t="n">
        <v>216</v>
      </c>
      <c r="G5079" s="2" t="s">
        <v>4138</v>
      </c>
      <c r="H5079" s="2" t="str">
        <f aca="false">IFERROR(__xludf.dummyfunction("IF(I5137="""", """", REGEXEXTRACT(I5137, ""Padrao/([^/]+)""))"),"Vila Seixas")</f>
        <v>Vila Seixas</v>
      </c>
    </row>
    <row r="5080" customFormat="false" ht="15.75" hidden="false" customHeight="false" outlineLevel="0" collapsed="false">
      <c r="A5080" s="2" t="n">
        <v>178265</v>
      </c>
      <c r="B5080" s="2" t="s">
        <v>3981</v>
      </c>
      <c r="C5080" s="2" t="n">
        <v>2</v>
      </c>
      <c r="D5080" s="2" t="n">
        <v>3</v>
      </c>
      <c r="E5080" s="2" t="n">
        <v>1</v>
      </c>
      <c r="F5080" s="2" t="n">
        <v>61</v>
      </c>
      <c r="G5080" s="2" t="s">
        <v>4139</v>
      </c>
      <c r="H5080" s="2" t="str">
        <f aca="false">IFERROR(__xludf.dummyfunction("IF(I5138="""", """", REGEXEXTRACT(I5138, ""Padrao/([^/]+)""))"),"Nova Alianca")</f>
        <v>Nova Alianca</v>
      </c>
    </row>
    <row r="5081" customFormat="false" ht="15.75" hidden="false" customHeight="false" outlineLevel="0" collapsed="false">
      <c r="A5081" s="2" t="n">
        <v>134513</v>
      </c>
      <c r="B5081" s="2" t="s">
        <v>4140</v>
      </c>
      <c r="C5081" s="2" t="n">
        <v>4</v>
      </c>
      <c r="D5081" s="2" t="n">
        <v>5</v>
      </c>
      <c r="E5081" s="2" t="n">
        <v>3</v>
      </c>
      <c r="F5081" s="2" t="n">
        <v>204</v>
      </c>
      <c r="G5081" s="2" t="s">
        <v>3888</v>
      </c>
      <c r="H5081" s="2" t="str">
        <f aca="false">IFERROR(__xludf.dummyfunction("IF(I5139="""", """", REGEXEXTRACT(I5139, ""Padrao/([^/]+)""))"),"Vila Seixas")</f>
        <v>Vila Seixas</v>
      </c>
    </row>
    <row r="5082" customFormat="false" ht="15.75" hidden="false" customHeight="false" outlineLevel="0" collapsed="false">
      <c r="A5082" s="2" t="n">
        <v>207596</v>
      </c>
      <c r="B5082" s="2" t="s">
        <v>4141</v>
      </c>
      <c r="C5082" s="2" t="n">
        <v>3</v>
      </c>
      <c r="D5082" s="2" t="n">
        <v>2</v>
      </c>
      <c r="E5082" s="2" t="n">
        <v>2</v>
      </c>
      <c r="F5082" s="2" t="n">
        <v>84</v>
      </c>
      <c r="G5082" s="2" t="s">
        <v>2743</v>
      </c>
      <c r="H5082" s="2" t="str">
        <f aca="false">IFERROR(__xludf.dummyfunction("IF(I5140="""", """", REGEXEXTRACT(I5140, ""Padrao/([^/]+)""))"),"Bonfim Paulista")</f>
        <v>Bonfim Paulista</v>
      </c>
    </row>
    <row r="5083" customFormat="false" ht="15.75" hidden="false" customHeight="false" outlineLevel="0" collapsed="false">
      <c r="A5083" s="2" t="n">
        <v>236963</v>
      </c>
      <c r="B5083" s="2" t="s">
        <v>4142</v>
      </c>
      <c r="C5083" s="2" t="n">
        <v>2</v>
      </c>
      <c r="D5083" s="2" t="n">
        <v>2</v>
      </c>
      <c r="E5083" s="2" t="n">
        <v>2</v>
      </c>
      <c r="F5083" s="2" t="n">
        <v>75</v>
      </c>
      <c r="G5083" s="2" t="s">
        <v>4143</v>
      </c>
      <c r="H5083" s="2" t="str">
        <f aca="false">IFERROR(__xludf.dummyfunction("IF(I5141="""", """", REGEXEXTRACT(I5141, ""Padrao/([^/]+)""))"),"Jardim Nova Alianca Sul")</f>
        <v>Jardim Nova Alianca Sul</v>
      </c>
    </row>
    <row r="5084" customFormat="false" ht="15.75" hidden="false" customHeight="false" outlineLevel="0" collapsed="false">
      <c r="A5084" s="2" t="n">
        <v>224552</v>
      </c>
      <c r="B5084" s="2" t="s">
        <v>4144</v>
      </c>
      <c r="C5084" s="2" t="n">
        <v>3</v>
      </c>
      <c r="D5084" s="2" t="n">
        <v>2</v>
      </c>
      <c r="E5084" s="2" t="n">
        <v>2</v>
      </c>
      <c r="F5084" s="2" t="n">
        <v>95</v>
      </c>
      <c r="G5084" s="2" t="s">
        <v>4143</v>
      </c>
      <c r="H5084" s="2" t="str">
        <f aca="false">IFERROR(__xludf.dummyfunction("IF(I5142="""", """", REGEXEXTRACT(I5142, ""Padrao/([^/]+)""))"),"Campos Eliseos")</f>
        <v>Campos Eliseos</v>
      </c>
    </row>
    <row r="5085" customFormat="false" ht="15.75" hidden="false" customHeight="false" outlineLevel="0" collapsed="false">
      <c r="A5085" s="2" t="n">
        <v>199913</v>
      </c>
      <c r="B5085" s="2" t="s">
        <v>4145</v>
      </c>
      <c r="C5085" s="2" t="n">
        <v>3</v>
      </c>
      <c r="D5085" s="2" t="n">
        <v>4</v>
      </c>
      <c r="E5085" s="2" t="n">
        <v>1</v>
      </c>
      <c r="F5085" s="2" t="n">
        <v>165</v>
      </c>
      <c r="G5085" s="2" t="s">
        <v>4143</v>
      </c>
      <c r="H5085" s="2" t="str">
        <f aca="false">IFERROR(__xludf.dummyfunction("IF(I5143="""", """", REGEXEXTRACT(I5143, ""Padrao/([^/]+)""))"),"Centro")</f>
        <v>Centro</v>
      </c>
    </row>
    <row r="5086" customFormat="false" ht="15.75" hidden="false" customHeight="false" outlineLevel="0" collapsed="false">
      <c r="A5086" s="2" t="n">
        <v>152903</v>
      </c>
      <c r="B5086" s="2" t="s">
        <v>4146</v>
      </c>
      <c r="C5086" s="2" t="n">
        <v>2</v>
      </c>
      <c r="D5086" s="2" t="n">
        <v>3</v>
      </c>
      <c r="E5086" s="2" t="n">
        <v>2</v>
      </c>
      <c r="F5086" s="2" t="n">
        <v>87</v>
      </c>
      <c r="G5086" s="2" t="s">
        <v>4143</v>
      </c>
      <c r="H5086" s="2" t="str">
        <f aca="false">IFERROR(__xludf.dummyfunction("IF(I5144="""", """", REGEXEXTRACT(I5144, ""Padrao/([^/]+)""))"),"Jardim America")</f>
        <v>Jardim America</v>
      </c>
    </row>
    <row r="5087" customFormat="false" ht="15.75" hidden="false" customHeight="false" outlineLevel="0" collapsed="false">
      <c r="A5087" s="2" t="n">
        <v>120401</v>
      </c>
      <c r="B5087" s="2" t="s">
        <v>4147</v>
      </c>
      <c r="C5087" s="2" t="n">
        <v>3</v>
      </c>
      <c r="D5087" s="2" t="n">
        <v>3</v>
      </c>
      <c r="E5087" s="2" t="n">
        <v>2</v>
      </c>
      <c r="F5087" s="2" t="n">
        <v>94</v>
      </c>
      <c r="G5087" s="2" t="s">
        <v>4143</v>
      </c>
      <c r="H5087" s="2" t="str">
        <f aca="false">IFERROR(__xludf.dummyfunction("IF(I5145="""", """", REGEXEXTRACT(I5145, ""Padrao/([^/]+)""))"),"Jardim Canada")</f>
        <v>Jardim Canada</v>
      </c>
    </row>
    <row r="5088" customFormat="false" ht="15.75" hidden="false" customHeight="false" outlineLevel="0" collapsed="false">
      <c r="A5088" s="2" t="n">
        <v>94298</v>
      </c>
      <c r="B5088" s="2" t="s">
        <v>4148</v>
      </c>
      <c r="C5088" s="2" t="n">
        <v>3</v>
      </c>
      <c r="D5088" s="2" t="n">
        <v>2</v>
      </c>
      <c r="E5088" s="2" t="n">
        <v>2</v>
      </c>
      <c r="F5088" s="2" t="n">
        <v>97</v>
      </c>
      <c r="G5088" s="2" t="s">
        <v>4143</v>
      </c>
      <c r="H5088" s="2" t="str">
        <f aca="false">IFERROR(__xludf.dummyfunction("IF(I5146="""", """", REGEXEXTRACT(I5146, ""Padrao/([^/]+)""))"),"Campos Eliseos")</f>
        <v>Campos Eliseos</v>
      </c>
    </row>
    <row r="5089" customFormat="false" ht="15.75" hidden="false" customHeight="false" outlineLevel="0" collapsed="false">
      <c r="A5089" s="2" t="n">
        <v>84932</v>
      </c>
      <c r="B5089" s="2" t="s">
        <v>4149</v>
      </c>
      <c r="C5089" s="2" t="n">
        <v>3</v>
      </c>
      <c r="D5089" s="2" t="n">
        <v>3</v>
      </c>
      <c r="E5089" s="2" t="n">
        <v>2</v>
      </c>
      <c r="F5089" s="2" t="n">
        <v>138</v>
      </c>
      <c r="G5089" s="2" t="s">
        <v>4143</v>
      </c>
      <c r="H5089" s="2" t="str">
        <f aca="false">IFERROR(__xludf.dummyfunction("IF(I5147="""", """", REGEXEXTRACT(I5147, ""Padrao/([^/]+)""))"),"Jardim Sumare")</f>
        <v>Jardim Sumare</v>
      </c>
    </row>
    <row r="5090" customFormat="false" ht="15.75" hidden="false" customHeight="false" outlineLevel="0" collapsed="false">
      <c r="A5090" s="2" t="n">
        <v>178847</v>
      </c>
      <c r="B5090" s="2" t="s">
        <v>4150</v>
      </c>
      <c r="C5090" s="2" t="n">
        <v>2</v>
      </c>
      <c r="D5090" s="2" t="n">
        <v>2</v>
      </c>
      <c r="E5090" s="2" t="n">
        <v>1</v>
      </c>
      <c r="F5090" s="2" t="n">
        <v>69</v>
      </c>
      <c r="G5090" s="2" t="s">
        <v>4151</v>
      </c>
      <c r="H5090" s="2" t="str">
        <f aca="false">IFERROR(__xludf.dummyfunction("IF(I5148="""", """", REGEXEXTRACT(I5148, ""Padrao/([^/]+)""))"),"Jardim Olhos DAgua")</f>
        <v>Jardim Olhos DAgua</v>
      </c>
    </row>
    <row r="5091" customFormat="false" ht="15.75" hidden="false" customHeight="false" outlineLevel="0" collapsed="false">
      <c r="A5091" s="2" t="n">
        <v>239408</v>
      </c>
      <c r="B5091" s="2" t="s">
        <v>4083</v>
      </c>
      <c r="C5091" s="2" t="n">
        <v>3</v>
      </c>
      <c r="D5091" s="2" t="n">
        <v>2</v>
      </c>
      <c r="E5091" s="2" t="n">
        <v>2</v>
      </c>
      <c r="F5091" s="2" t="n">
        <v>95</v>
      </c>
      <c r="G5091" s="2" t="s">
        <v>4152</v>
      </c>
      <c r="H5091" s="2" t="str">
        <f aca="false">IFERROR(__xludf.dummyfunction("IF(I5149="""", """", REGEXEXTRACT(I5149, ""Padrao/([^/]+)""))"),"Campos Eliseos")</f>
        <v>Campos Eliseos</v>
      </c>
    </row>
    <row r="5092" customFormat="false" ht="15.75" hidden="false" customHeight="false" outlineLevel="0" collapsed="false">
      <c r="A5092" s="2" t="n">
        <v>239996</v>
      </c>
      <c r="B5092" s="2" t="s">
        <v>4153</v>
      </c>
      <c r="C5092" s="2" t="n">
        <v>3</v>
      </c>
      <c r="D5092" s="2" t="n">
        <v>4</v>
      </c>
      <c r="E5092" s="2" t="n">
        <v>3</v>
      </c>
      <c r="F5092" s="2" t="n">
        <v>138</v>
      </c>
      <c r="G5092" s="2" t="s">
        <v>4021</v>
      </c>
      <c r="H5092" s="2" t="str">
        <f aca="false">IFERROR(__xludf.dummyfunction("IF(I5150="""", """", REGEXEXTRACT(I5150, ""Padrao/([^/]+)""))"),"Jardim Sumare")</f>
        <v>Jardim Sumare</v>
      </c>
    </row>
    <row r="5093" customFormat="false" ht="15.75" hidden="false" customHeight="false" outlineLevel="0" collapsed="false">
      <c r="A5093" s="2" t="n">
        <v>225059</v>
      </c>
      <c r="B5093" s="2" t="s">
        <v>3779</v>
      </c>
      <c r="C5093" s="2" t="n">
        <v>2</v>
      </c>
      <c r="D5093" s="2" t="n">
        <v>2</v>
      </c>
      <c r="E5093" s="2" t="n">
        <v>2</v>
      </c>
      <c r="F5093" s="2" t="n">
        <v>76</v>
      </c>
      <c r="G5093" s="2" t="s">
        <v>4154</v>
      </c>
      <c r="H5093" s="2" t="str">
        <f aca="false">IFERROR(__xludf.dummyfunction("IF(I5151="""", """", REGEXEXTRACT(I5151, ""Padrao/([^/]+)""))"),"Vila Ana Maria")</f>
        <v>Vila Ana Maria</v>
      </c>
    </row>
    <row r="5094" customFormat="false" ht="15.75" hidden="false" customHeight="false" outlineLevel="0" collapsed="false">
      <c r="A5094" s="2" t="n">
        <v>147755</v>
      </c>
      <c r="B5094" s="2" t="s">
        <v>4155</v>
      </c>
      <c r="C5094" s="2" t="n">
        <v>3</v>
      </c>
      <c r="D5094" s="2" t="n">
        <v>4</v>
      </c>
      <c r="E5094" s="2" t="n">
        <v>2</v>
      </c>
      <c r="F5094" s="2" t="n">
        <v>107</v>
      </c>
      <c r="G5094" s="2" t="s">
        <v>4156</v>
      </c>
      <c r="H5094" s="2" t="str">
        <f aca="false">IFERROR(__xludf.dummyfunction("IF(I5152="""", """", REGEXEXTRACT(I5152, ""Padrao/([^/]+)""))"),"Jardim Paulista")</f>
        <v>Jardim Paulista</v>
      </c>
    </row>
    <row r="5095" customFormat="false" ht="15.75" hidden="false" customHeight="false" outlineLevel="0" collapsed="false">
      <c r="A5095" s="2" t="n">
        <v>236351</v>
      </c>
      <c r="B5095" s="2" t="s">
        <v>3890</v>
      </c>
      <c r="C5095" s="2" t="n">
        <v>2</v>
      </c>
      <c r="D5095" s="2" t="n">
        <v>3</v>
      </c>
      <c r="E5095" s="2" t="n">
        <v>2</v>
      </c>
      <c r="F5095" s="2" t="n">
        <v>65</v>
      </c>
      <c r="G5095" s="2" t="s">
        <v>4021</v>
      </c>
      <c r="H5095" s="2" t="str">
        <f aca="false">IFERROR(__xludf.dummyfunction("IF(I5153="""", """", REGEXEXTRACT(I5153, ""Padrao/([^/]+)""))"),"Residencial Taiwan")</f>
        <v>Residencial Taiwan</v>
      </c>
    </row>
    <row r="5096" customFormat="false" ht="15.75" hidden="false" customHeight="false" outlineLevel="0" collapsed="false">
      <c r="A5096" s="2" t="n">
        <v>231707</v>
      </c>
      <c r="B5096" s="2" t="s">
        <v>4157</v>
      </c>
      <c r="C5096" s="2" t="n">
        <v>1</v>
      </c>
      <c r="D5096" s="2" t="n">
        <v>1</v>
      </c>
      <c r="E5096" s="2" t="n">
        <v>1</v>
      </c>
      <c r="F5096" s="2" t="n">
        <v>52</v>
      </c>
      <c r="G5096" s="2" t="s">
        <v>4158</v>
      </c>
      <c r="H5096" s="2" t="str">
        <f aca="false">IFERROR(__xludf.dummyfunction("IF(I5154="""", """", REGEXEXTRACT(I5154, ""Padrao/([^/]+)""))"),"Vila do Golf")</f>
        <v>Vila do Golf</v>
      </c>
    </row>
    <row r="5097" customFormat="false" ht="15.75" hidden="false" customHeight="false" outlineLevel="0" collapsed="false">
      <c r="A5097" s="2" t="n">
        <v>135062</v>
      </c>
      <c r="B5097" s="2" t="s">
        <v>3567</v>
      </c>
      <c r="C5097" s="2" t="n">
        <v>3</v>
      </c>
      <c r="D5097" s="2" t="n">
        <v>3</v>
      </c>
      <c r="E5097" s="2" t="n">
        <v>1</v>
      </c>
      <c r="F5097" s="2" t="n">
        <v>141</v>
      </c>
      <c r="G5097" s="2" t="s">
        <v>4158</v>
      </c>
      <c r="H5097" s="2" t="str">
        <f aca="false">IFERROR(__xludf.dummyfunction("IF(I5155="""", """", REGEXEXTRACT(I5155, ""Padrao/([^/]+)""))"),"Centro")</f>
        <v>Centro</v>
      </c>
    </row>
    <row r="5098" customFormat="false" ht="15.75" hidden="false" customHeight="false" outlineLevel="0" collapsed="false">
      <c r="A5098" s="2" t="n">
        <v>91379</v>
      </c>
      <c r="B5098" s="2" t="s">
        <v>4159</v>
      </c>
      <c r="C5098" s="2" t="n">
        <v>1</v>
      </c>
      <c r="D5098" s="2" t="n">
        <v>2</v>
      </c>
      <c r="E5098" s="2" t="n">
        <v>2</v>
      </c>
      <c r="F5098" s="2" t="n">
        <v>87</v>
      </c>
      <c r="G5098" s="2" t="s">
        <v>4158</v>
      </c>
      <c r="H5098" s="2" t="str">
        <f aca="false">IFERROR(__xludf.dummyfunction("IF(I5156="""", """", REGEXEXTRACT(I5156, ""Padrao/([^/]+)""))"),"Nova Alianca")</f>
        <v>Nova Alianca</v>
      </c>
    </row>
    <row r="5099" customFormat="false" ht="15.75" hidden="false" customHeight="false" outlineLevel="0" collapsed="false">
      <c r="A5099" s="2" t="n">
        <v>237965</v>
      </c>
      <c r="B5099" s="2" t="s">
        <v>4160</v>
      </c>
      <c r="C5099" s="2" t="n">
        <v>2</v>
      </c>
      <c r="D5099" s="2" t="n">
        <v>3</v>
      </c>
      <c r="E5099" s="2" t="n">
        <v>2</v>
      </c>
      <c r="F5099" s="2" t="n">
        <v>85</v>
      </c>
      <c r="G5099" s="2" t="s">
        <v>4161</v>
      </c>
      <c r="H5099" s="2" t="str">
        <f aca="false">IFERROR(__xludf.dummyfunction("IF(I5157="""", """", REGEXEXTRACT(I5157, ""Padrao/([^/]+)""))"),"Nova Alianca")</f>
        <v>Nova Alianca</v>
      </c>
    </row>
    <row r="5100" customFormat="false" ht="15.75" hidden="false" customHeight="false" outlineLevel="0" collapsed="false">
      <c r="A5100" s="2" t="n">
        <v>237974</v>
      </c>
      <c r="B5100" s="2" t="s">
        <v>3484</v>
      </c>
      <c r="C5100" s="2" t="n">
        <v>2</v>
      </c>
      <c r="D5100" s="2" t="n">
        <v>3</v>
      </c>
      <c r="E5100" s="2" t="n">
        <v>2</v>
      </c>
      <c r="F5100" s="2" t="n">
        <v>85</v>
      </c>
      <c r="G5100" s="2" t="s">
        <v>4162</v>
      </c>
      <c r="H5100" s="2" t="str">
        <f aca="false">IFERROR(__xludf.dummyfunction("IF(I5158="""", """", REGEXEXTRACT(I5158, ""Padrao/([^/]+)""))"),"Nova Alianca")</f>
        <v>Nova Alianca</v>
      </c>
    </row>
    <row r="5101" customFormat="false" ht="15.75" hidden="false" customHeight="false" outlineLevel="0" collapsed="false">
      <c r="A5101" s="2" t="n">
        <v>237968</v>
      </c>
      <c r="B5101" s="2" t="s">
        <v>3484</v>
      </c>
      <c r="C5101" s="2" t="n">
        <v>2</v>
      </c>
      <c r="D5101" s="2" t="n">
        <v>3</v>
      </c>
      <c r="E5101" s="2" t="n">
        <v>2</v>
      </c>
      <c r="F5101" s="2" t="n">
        <v>85</v>
      </c>
      <c r="G5101" s="2" t="s">
        <v>4162</v>
      </c>
      <c r="H5101" s="2" t="str">
        <f aca="false">IFERROR(__xludf.dummyfunction("IF(I5159="""", """", REGEXEXTRACT(I5159, ""Padrao/([^/]+)""))"),"Nova Alianca")</f>
        <v>Nova Alianca</v>
      </c>
    </row>
    <row r="5102" customFormat="false" ht="15.75" hidden="false" customHeight="false" outlineLevel="0" collapsed="false">
      <c r="A5102" s="2" t="n">
        <v>237962</v>
      </c>
      <c r="B5102" s="2" t="s">
        <v>3484</v>
      </c>
      <c r="C5102" s="2" t="n">
        <v>2</v>
      </c>
      <c r="D5102" s="2" t="n">
        <v>3</v>
      </c>
      <c r="E5102" s="2" t="n">
        <v>2</v>
      </c>
      <c r="F5102" s="2" t="n">
        <v>85</v>
      </c>
      <c r="G5102" s="2" t="s">
        <v>4163</v>
      </c>
      <c r="H5102" s="2" t="str">
        <f aca="false">IFERROR(__xludf.dummyfunction("IF(I5160="""", """", REGEXEXTRACT(I5160, ""Padrao/([^/]+)""))"),"Nova Alianca")</f>
        <v>Nova Alianca</v>
      </c>
    </row>
    <row r="5103" customFormat="false" ht="15.75" hidden="false" customHeight="false" outlineLevel="0" collapsed="false">
      <c r="A5103" s="2" t="n">
        <v>237971</v>
      </c>
      <c r="B5103" s="2" t="s">
        <v>3484</v>
      </c>
      <c r="C5103" s="2" t="n">
        <v>2</v>
      </c>
      <c r="D5103" s="2" t="n">
        <v>3</v>
      </c>
      <c r="E5103" s="2" t="n">
        <v>2</v>
      </c>
      <c r="F5103" s="2" t="n">
        <v>85</v>
      </c>
      <c r="G5103" s="2" t="s">
        <v>4164</v>
      </c>
      <c r="H5103" s="2" t="str">
        <f aca="false">IFERROR(__xludf.dummyfunction("IF(I5161="""", """", REGEXEXTRACT(I5161, ""Padrao/([^/]+)""))"),"Nova Alianca")</f>
        <v>Nova Alianca</v>
      </c>
    </row>
    <row r="5104" customFormat="false" ht="15.75" hidden="false" customHeight="false" outlineLevel="0" collapsed="false">
      <c r="A5104" s="2" t="n">
        <v>86711</v>
      </c>
      <c r="B5104" s="2" t="s">
        <v>4165</v>
      </c>
      <c r="C5104" s="2" t="n">
        <v>3</v>
      </c>
      <c r="D5104" s="2" t="n">
        <v>4</v>
      </c>
      <c r="E5104" s="2" t="n">
        <v>2</v>
      </c>
      <c r="F5104" s="2" t="n">
        <v>137</v>
      </c>
      <c r="G5104" s="2" t="s">
        <v>125</v>
      </c>
      <c r="H5104" s="2" t="str">
        <f aca="false">IFERROR(__xludf.dummyfunction("IF(I5162="""", """", REGEXEXTRACT(I5162, ""Padrao/([^/]+)""))"),"Jardim Sao Luiz")</f>
        <v>Jardim Sao Luiz</v>
      </c>
    </row>
    <row r="5105" customFormat="false" ht="15.75" hidden="false" customHeight="false" outlineLevel="0" collapsed="false">
      <c r="A5105" s="2" t="n">
        <v>182036</v>
      </c>
      <c r="B5105" s="2" t="s">
        <v>4166</v>
      </c>
      <c r="C5105" s="2" t="n">
        <v>2</v>
      </c>
      <c r="D5105" s="2" t="n">
        <v>3</v>
      </c>
      <c r="E5105" s="2" t="n">
        <v>2</v>
      </c>
      <c r="F5105" s="2" t="n">
        <v>82</v>
      </c>
      <c r="G5105" s="2" t="s">
        <v>4167</v>
      </c>
      <c r="H5105" s="2" t="str">
        <f aca="false">IFERROR(__xludf.dummyfunction("IF(I5163="""", """", REGEXEXTRACT(I5163, ""Padrao/([^/]+)""))"),"Jardim Olhos DAgua")</f>
        <v>Jardim Olhos DAgua</v>
      </c>
    </row>
    <row r="5106" customFormat="false" ht="15.75" hidden="false" customHeight="false" outlineLevel="0" collapsed="false">
      <c r="A5106" s="2" t="n">
        <v>232217</v>
      </c>
      <c r="B5106" s="2" t="s">
        <v>4168</v>
      </c>
      <c r="C5106" s="2" t="n">
        <v>3</v>
      </c>
      <c r="D5106" s="2" t="n">
        <v>4</v>
      </c>
      <c r="E5106" s="2" t="n">
        <v>2</v>
      </c>
      <c r="F5106" s="2" t="n">
        <v>113</v>
      </c>
      <c r="G5106" s="2" t="s">
        <v>70</v>
      </c>
      <c r="H5106" s="2" t="str">
        <f aca="false">IFERROR(__xludf.dummyfunction("IF(I5164="""", """", REGEXEXTRACT(I5164, ""Padrao/([^/]+)""))"),"Jardim Olhos DAgua")</f>
        <v>Jardim Olhos DAgua</v>
      </c>
    </row>
    <row r="5107" customFormat="false" ht="15.75" hidden="false" customHeight="false" outlineLevel="0" collapsed="false">
      <c r="A5107" s="2" t="n">
        <v>226763</v>
      </c>
      <c r="B5107" s="2" t="s">
        <v>4169</v>
      </c>
      <c r="C5107" s="2" t="n">
        <v>3</v>
      </c>
      <c r="D5107" s="2" t="n">
        <v>3</v>
      </c>
      <c r="E5107" s="2" t="n">
        <v>2</v>
      </c>
      <c r="F5107" s="2" t="n">
        <v>144</v>
      </c>
      <c r="G5107" s="2" t="s">
        <v>70</v>
      </c>
      <c r="H5107" s="2" t="str">
        <f aca="false">IFERROR(__xludf.dummyfunction("IF(I5165="""", """", REGEXEXTRACT(I5165, ""Padrao/([^/]+)""))"),"Jardim Botanico")</f>
        <v>Jardim Botanico</v>
      </c>
    </row>
    <row r="5108" customFormat="false" ht="15.75" hidden="false" customHeight="false" outlineLevel="0" collapsed="false">
      <c r="A5108" s="2" t="n">
        <v>229211</v>
      </c>
      <c r="B5108" s="2" t="s">
        <v>4170</v>
      </c>
      <c r="C5108" s="2" t="n">
        <v>3</v>
      </c>
      <c r="D5108" s="2" t="n">
        <v>4</v>
      </c>
      <c r="E5108" s="2" t="n">
        <v>2</v>
      </c>
      <c r="F5108" s="2" t="n">
        <v>126</v>
      </c>
      <c r="G5108" s="2" t="s">
        <v>125</v>
      </c>
      <c r="H5108" s="2" t="str">
        <f aca="false">IFERROR(__xludf.dummyfunction("IF(I5166="""", """", REGEXEXTRACT(I5166, ""Padrao/([^/]+)""))"),"Jardim Olhos DAgua")</f>
        <v>Jardim Olhos DAgua</v>
      </c>
    </row>
    <row r="5109" customFormat="false" ht="15.75" hidden="false" customHeight="false" outlineLevel="0" collapsed="false">
      <c r="A5109" s="2" t="n">
        <v>230297</v>
      </c>
      <c r="B5109" s="2" t="s">
        <v>4171</v>
      </c>
      <c r="C5109" s="2" t="n">
        <v>3</v>
      </c>
      <c r="D5109" s="2" t="n">
        <v>4</v>
      </c>
      <c r="E5109" s="2" t="n">
        <v>2</v>
      </c>
      <c r="F5109" s="2" t="n">
        <v>109</v>
      </c>
      <c r="G5109" s="2" t="s">
        <v>173</v>
      </c>
      <c r="H5109" s="2" t="str">
        <f aca="false">IFERROR(__xludf.dummyfunction("IF(I5167="""", """", REGEXEXTRACT(I5167, ""Padrao/([^/]+)""))"),"Plazas de Espana")</f>
        <v>Plazas de Espana</v>
      </c>
    </row>
    <row r="5110" customFormat="false" ht="15.75" hidden="false" customHeight="false" outlineLevel="0" collapsed="false">
      <c r="A5110" s="2" t="n">
        <v>112802</v>
      </c>
      <c r="B5110" s="2" t="s">
        <v>4172</v>
      </c>
      <c r="C5110" s="2" t="n">
        <v>3</v>
      </c>
      <c r="D5110" s="2" t="n">
        <v>2</v>
      </c>
      <c r="E5110" s="2" t="n">
        <v>2</v>
      </c>
      <c r="F5110" s="2" t="n">
        <v>97</v>
      </c>
      <c r="G5110" s="2" t="s">
        <v>631</v>
      </c>
      <c r="H5110" s="2" t="str">
        <f aca="false">IFERROR(__xludf.dummyfunction("IF(I5168="""", """", REGEXEXTRACT(I5168, ""Padrao/([^/]+)""))"),"Jardim Anhanguera")</f>
        <v>Jardim Anhanguera</v>
      </c>
    </row>
    <row r="5111" customFormat="false" ht="15.75" hidden="false" customHeight="false" outlineLevel="0" collapsed="false">
      <c r="A5111" s="2" t="n">
        <v>87683</v>
      </c>
      <c r="B5111" s="2" t="s">
        <v>4173</v>
      </c>
      <c r="C5111" s="2" t="n">
        <v>3</v>
      </c>
      <c r="D5111" s="2" t="n">
        <v>4</v>
      </c>
      <c r="E5111" s="2" t="n">
        <v>2</v>
      </c>
      <c r="F5111" s="2" t="n">
        <v>124</v>
      </c>
      <c r="G5111" s="2" t="s">
        <v>3908</v>
      </c>
      <c r="H5111" s="2" t="str">
        <f aca="false">IFERROR(__xludf.dummyfunction("IF(I5169="""", """", REGEXEXTRACT(I5169, ""Padrao/([^/]+)""))"),"Jardim Botanico")</f>
        <v>Jardim Botanico</v>
      </c>
    </row>
    <row r="5112" customFormat="false" ht="15.75" hidden="false" customHeight="false" outlineLevel="0" collapsed="false">
      <c r="A5112" s="2" t="n">
        <v>220592</v>
      </c>
      <c r="B5112" s="2" t="s">
        <v>2918</v>
      </c>
      <c r="C5112" s="2" t="n">
        <v>4</v>
      </c>
      <c r="D5112" s="2" t="n">
        <v>6</v>
      </c>
      <c r="E5112" s="2" t="n">
        <v>5</v>
      </c>
      <c r="F5112" s="2" t="n">
        <v>507</v>
      </c>
      <c r="G5112" s="2" t="s">
        <v>4174</v>
      </c>
      <c r="H5112" s="2" t="str">
        <f aca="false">IFERROR(__xludf.dummyfunction("IF(I5170="""", """", REGEXEXTRACT(I5170, ""Padrao/([^/]+)""))"),"Residencial Morro do Ipe")</f>
        <v>Residencial Morro do Ipe</v>
      </c>
    </row>
    <row r="5113" customFormat="false" ht="15.75" hidden="false" customHeight="false" outlineLevel="0" collapsed="false">
      <c r="A5113" s="2" t="n">
        <v>241259</v>
      </c>
      <c r="B5113" s="2" t="s">
        <v>4175</v>
      </c>
      <c r="C5113" s="2" t="n">
        <v>3</v>
      </c>
      <c r="D5113" s="2" t="n">
        <v>3</v>
      </c>
      <c r="E5113" s="2" t="n">
        <v>2</v>
      </c>
      <c r="F5113" s="2" t="n">
        <v>111</v>
      </c>
      <c r="G5113" s="2" t="s">
        <v>1590</v>
      </c>
      <c r="H5113" s="2" t="str">
        <f aca="false">IFERROR(__xludf.dummyfunction("IF(I5171="""", """", REGEXEXTRACT(I5171, ""Padrao/([^/]+)""))"),"Nova Alianca")</f>
        <v>Nova Alianca</v>
      </c>
    </row>
    <row r="5114" customFormat="false" ht="15.75" hidden="false" customHeight="false" outlineLevel="0" collapsed="false">
      <c r="A5114" s="2" t="n">
        <v>229109</v>
      </c>
      <c r="B5114" s="2" t="s">
        <v>4176</v>
      </c>
      <c r="C5114" s="2" t="n">
        <v>3</v>
      </c>
      <c r="D5114" s="2" t="n">
        <v>2</v>
      </c>
      <c r="E5114" s="2" t="n">
        <v>2</v>
      </c>
      <c r="F5114" s="2" t="n">
        <v>82</v>
      </c>
      <c r="G5114" s="2" t="s">
        <v>4177</v>
      </c>
      <c r="H5114" s="2" t="str">
        <f aca="false">IFERROR(__xludf.dummyfunction("IF(I5172="""", """", REGEXEXTRACT(I5172, ""Padrao/([^/]+)""))"),"Alamedas do Botanico")</f>
        <v>Alamedas do Botanico</v>
      </c>
    </row>
    <row r="5115" customFormat="false" ht="15.75" hidden="false" customHeight="false" outlineLevel="0" collapsed="false">
      <c r="A5115" s="2" t="n">
        <v>165329</v>
      </c>
      <c r="B5115" s="2" t="s">
        <v>4178</v>
      </c>
      <c r="C5115" s="2" t="n">
        <v>3</v>
      </c>
      <c r="D5115" s="2" t="n">
        <v>4</v>
      </c>
      <c r="E5115" s="2" t="n">
        <v>3</v>
      </c>
      <c r="F5115" s="2" t="n">
        <v>131</v>
      </c>
      <c r="G5115" s="2" t="s">
        <v>125</v>
      </c>
      <c r="H5115" s="2" t="str">
        <f aca="false">IFERROR(__xludf.dummyfunction("IF(I5173="""", """", REGEXEXTRACT(I5173, ""Padrao/([^/]+)""))"),"Jardim Olhos DAgua")</f>
        <v>Jardim Olhos DAgua</v>
      </c>
    </row>
    <row r="5116" customFormat="false" ht="15.75" hidden="false" customHeight="false" outlineLevel="0" collapsed="false">
      <c r="A5116" s="2" t="n">
        <v>244403</v>
      </c>
      <c r="B5116" s="2" t="s">
        <v>4179</v>
      </c>
      <c r="C5116" s="2" t="n">
        <v>3</v>
      </c>
      <c r="D5116" s="2" t="n">
        <v>5</v>
      </c>
      <c r="E5116" s="2" t="n">
        <v>2</v>
      </c>
      <c r="F5116" s="2" t="n">
        <v>148</v>
      </c>
      <c r="G5116" s="2" t="s">
        <v>4180</v>
      </c>
      <c r="H5116" s="2" t="str">
        <f aca="false">IFERROR(__xludf.dummyfunction("IF(I5174="""", """", REGEXEXTRACT(I5174, ""Padrao/([^/]+)""))"),"Jardim Botanico")</f>
        <v>Jardim Botanico</v>
      </c>
    </row>
    <row r="5117" customFormat="false" ht="15.75" hidden="false" customHeight="false" outlineLevel="0" collapsed="false">
      <c r="A5117" s="2" t="n">
        <v>214814</v>
      </c>
      <c r="B5117" s="2" t="s">
        <v>73</v>
      </c>
      <c r="C5117" s="2" t="n">
        <v>3</v>
      </c>
      <c r="D5117" s="2" t="n">
        <v>2</v>
      </c>
      <c r="E5117" s="2" t="n">
        <v>2</v>
      </c>
      <c r="F5117" s="2" t="n">
        <v>100</v>
      </c>
      <c r="G5117" s="2" t="s">
        <v>4181</v>
      </c>
      <c r="H5117" s="2" t="str">
        <f aca="false">IFERROR(__xludf.dummyfunction("IF(I5175="""", """", REGEXEXTRACT(I5175, ""Padrao/([^/]+)""))"),"Jardim Botanico")</f>
        <v>Jardim Botanico</v>
      </c>
    </row>
    <row r="5118" customFormat="false" ht="15.75" hidden="false" customHeight="false" outlineLevel="0" collapsed="false">
      <c r="A5118" s="2" t="n">
        <v>242306</v>
      </c>
      <c r="B5118" s="2" t="s">
        <v>4182</v>
      </c>
      <c r="C5118" s="2" t="n">
        <v>4</v>
      </c>
      <c r="D5118" s="2" t="n">
        <v>5</v>
      </c>
      <c r="E5118" s="2" t="n">
        <v>3</v>
      </c>
      <c r="F5118" s="2" t="n">
        <v>196</v>
      </c>
      <c r="G5118" s="2" t="s">
        <v>120</v>
      </c>
      <c r="H5118" s="2" t="str">
        <f aca="false">IFERROR(__xludf.dummyfunction("IF(I5176="""", """", REGEXEXTRACT(I5176, ""Padrao/([^/]+)""))"),"City Ribeirao")</f>
        <v>City Ribeirao</v>
      </c>
    </row>
    <row r="5119" customFormat="false" ht="15.75" hidden="false" customHeight="false" outlineLevel="0" collapsed="false">
      <c r="A5119" s="2" t="n">
        <v>217973</v>
      </c>
      <c r="B5119" s="2" t="s">
        <v>4183</v>
      </c>
      <c r="C5119" s="2" t="n">
        <v>2</v>
      </c>
      <c r="D5119" s="2" t="n">
        <v>4</v>
      </c>
      <c r="E5119" s="2" t="n">
        <v>2</v>
      </c>
      <c r="F5119" s="2" t="n">
        <v>109</v>
      </c>
      <c r="G5119" s="2" t="s">
        <v>157</v>
      </c>
      <c r="H5119" s="2" t="str">
        <f aca="false">IFERROR(__xludf.dummyfunction("IF(I5177="""", """", REGEXEXTRACT(I5177, ""Padrao/([^/]+)""))"),"Plazas de Espana")</f>
        <v>Plazas de Espana</v>
      </c>
    </row>
    <row r="5120" customFormat="false" ht="15.75" hidden="false" customHeight="false" outlineLevel="0" collapsed="false">
      <c r="A5120" s="2" t="n">
        <v>219422</v>
      </c>
      <c r="B5120" s="2" t="s">
        <v>4184</v>
      </c>
      <c r="C5120" s="2" t="n">
        <v>2</v>
      </c>
      <c r="D5120" s="2" t="n">
        <v>4</v>
      </c>
      <c r="E5120" s="2" t="n">
        <v>2</v>
      </c>
      <c r="F5120" s="2" t="n">
        <v>132</v>
      </c>
      <c r="G5120" s="2" t="s">
        <v>102</v>
      </c>
      <c r="H5120" s="2" t="str">
        <f aca="false">IFERROR(__xludf.dummyfunction("IF(I5178="""", """", REGEXEXTRACT(I5178, ""Padrao/([^/]+)""))"),"Jardim Botanico")</f>
        <v>Jardim Botanico</v>
      </c>
    </row>
    <row r="5121" customFormat="false" ht="15.75" hidden="false" customHeight="false" outlineLevel="0" collapsed="false">
      <c r="A5121" s="2" t="n">
        <v>237953</v>
      </c>
      <c r="B5121" s="2" t="s">
        <v>4185</v>
      </c>
      <c r="C5121" s="2" t="n">
        <v>3</v>
      </c>
      <c r="D5121" s="2" t="n">
        <v>4</v>
      </c>
      <c r="E5121" s="2" t="n">
        <v>2</v>
      </c>
      <c r="F5121" s="2" t="n">
        <v>133</v>
      </c>
      <c r="G5121" s="2" t="s">
        <v>4186</v>
      </c>
      <c r="H5121" s="2" t="str">
        <f aca="false">IFERROR(__xludf.dummyfunction("IF(I5179="""", """", REGEXEXTRACT(I5179, ""Padrao/([^/]+)""))"),"Nova Alianca")</f>
        <v>Nova Alianca</v>
      </c>
    </row>
    <row r="5122" customFormat="false" ht="15.75" hidden="false" customHeight="false" outlineLevel="0" collapsed="false">
      <c r="A5122" s="2" t="n">
        <v>237950</v>
      </c>
      <c r="B5122" s="2" t="s">
        <v>4185</v>
      </c>
      <c r="C5122" s="2" t="n">
        <v>3</v>
      </c>
      <c r="D5122" s="2" t="n">
        <v>4</v>
      </c>
      <c r="E5122" s="2" t="n">
        <v>2</v>
      </c>
      <c r="F5122" s="2" t="n">
        <v>133</v>
      </c>
      <c r="G5122" s="2" t="s">
        <v>4186</v>
      </c>
      <c r="H5122" s="2" t="str">
        <f aca="false">IFERROR(__xludf.dummyfunction("IF(I5180="""", """", REGEXEXTRACT(I5180, ""Padrao/([^/]+)""))"),"Nova Alianca")</f>
        <v>Nova Alianca</v>
      </c>
    </row>
    <row r="5123" customFormat="false" ht="15.75" hidden="false" customHeight="false" outlineLevel="0" collapsed="false">
      <c r="A5123" s="2" t="n">
        <v>242684</v>
      </c>
      <c r="B5123" s="2" t="s">
        <v>4187</v>
      </c>
      <c r="C5123" s="2" t="n">
        <v>3</v>
      </c>
      <c r="D5123" s="2" t="n">
        <v>4</v>
      </c>
      <c r="E5123" s="2" t="n">
        <v>2</v>
      </c>
      <c r="F5123" s="2" t="n">
        <v>126</v>
      </c>
      <c r="G5123" s="2" t="s">
        <v>184</v>
      </c>
      <c r="H5123" s="2" t="str">
        <f aca="false">IFERROR(__xludf.dummyfunction("IF(I5181="""", """", REGEXEXTRACT(I5181, ""Padrao/([^/]+)""))"),"Jardim Olhos DAgua")</f>
        <v>Jardim Olhos DAgua</v>
      </c>
    </row>
    <row r="5124" customFormat="false" ht="15.75" hidden="false" customHeight="false" outlineLevel="0" collapsed="false">
      <c r="A5124" s="2" t="n">
        <v>232301</v>
      </c>
      <c r="B5124" s="2" t="s">
        <v>4188</v>
      </c>
      <c r="C5124" s="2" t="n">
        <v>2</v>
      </c>
      <c r="D5124" s="2" t="n">
        <v>3</v>
      </c>
      <c r="E5124" s="2" t="n">
        <v>2</v>
      </c>
      <c r="F5124" s="2" t="n">
        <v>87</v>
      </c>
      <c r="G5124" s="2" t="s">
        <v>191</v>
      </c>
      <c r="H5124" s="2" t="str">
        <f aca="false">IFERROR(__xludf.dummyfunction("IF(I5182="""", """", REGEXEXTRACT(I5182, ""Padrao/([^/]+)""))"),"Jardim Botanico")</f>
        <v>Jardim Botanico</v>
      </c>
    </row>
    <row r="5125" customFormat="false" ht="15.75" hidden="false" customHeight="false" outlineLevel="0" collapsed="false">
      <c r="A5125" s="2" t="n">
        <v>143261</v>
      </c>
      <c r="B5125" s="2" t="s">
        <v>4189</v>
      </c>
      <c r="C5125" s="2" t="n">
        <v>3</v>
      </c>
      <c r="D5125" s="2" t="n">
        <v>4</v>
      </c>
      <c r="E5125" s="2" t="n">
        <v>2</v>
      </c>
      <c r="F5125" s="2" t="n">
        <v>135</v>
      </c>
      <c r="G5125" s="2" t="s">
        <v>231</v>
      </c>
      <c r="H5125" s="2" t="str">
        <f aca="false">IFERROR(__xludf.dummyfunction("IF(I5183="""", """", REGEXEXTRACT(I5183, ""Padrao/([^/]+)""))"),"Jardim Botanico")</f>
        <v>Jardim Botanico</v>
      </c>
    </row>
    <row r="5126" customFormat="false" ht="15.75" hidden="false" customHeight="false" outlineLevel="0" collapsed="false">
      <c r="A5126" s="2" t="n">
        <v>232898</v>
      </c>
      <c r="B5126" s="2" t="s">
        <v>4190</v>
      </c>
      <c r="C5126" s="2" t="n">
        <v>3</v>
      </c>
      <c r="D5126" s="2" t="n">
        <v>4</v>
      </c>
      <c r="E5126" s="2" t="n">
        <v>2</v>
      </c>
      <c r="F5126" s="2" t="n">
        <v>127</v>
      </c>
      <c r="G5126" s="2" t="s">
        <v>125</v>
      </c>
      <c r="H5126" s="2" t="str">
        <f aca="false">IFERROR(__xludf.dummyfunction("IF(I5184="""", """", REGEXEXTRACT(I5184, ""Padrao/([^/]+)""))"),"Nova Alianca")</f>
        <v>Nova Alianca</v>
      </c>
    </row>
    <row r="5127" customFormat="false" ht="15.75" hidden="false" customHeight="false" outlineLevel="0" collapsed="false">
      <c r="A5127" s="2" t="n">
        <v>234425</v>
      </c>
      <c r="B5127" s="2" t="s">
        <v>4191</v>
      </c>
      <c r="C5127" s="2" t="n">
        <v>3</v>
      </c>
      <c r="D5127" s="2" t="n">
        <v>4</v>
      </c>
      <c r="E5127" s="2" t="n">
        <v>3</v>
      </c>
      <c r="F5127" s="2" t="n">
        <v>124</v>
      </c>
      <c r="G5127" s="2" t="s">
        <v>255</v>
      </c>
      <c r="H5127" s="2" t="str">
        <f aca="false">IFERROR(__xludf.dummyfunction("IF(I5185="""", """", REGEXEXTRACT(I5185, ""Padrao/([^/]+)""))"),"Bonfim Paulista")</f>
        <v>Bonfim Paulista</v>
      </c>
    </row>
    <row r="5128" customFormat="false" ht="15.75" hidden="false" customHeight="false" outlineLevel="0" collapsed="false">
      <c r="A5128" s="2" t="n">
        <v>204461</v>
      </c>
      <c r="B5128" s="2" t="s">
        <v>4192</v>
      </c>
      <c r="C5128" s="2" t="n">
        <v>4</v>
      </c>
      <c r="D5128" s="2" t="n">
        <v>4</v>
      </c>
      <c r="E5128" s="2" t="n">
        <v>4</v>
      </c>
      <c r="F5128" s="2" t="n">
        <v>239</v>
      </c>
      <c r="G5128" s="2" t="s">
        <v>255</v>
      </c>
      <c r="H5128" s="2" t="str">
        <f aca="false">IFERROR(__xludf.dummyfunction("IF(I5186="""", """", REGEXEXTRACT(I5186, ""Padrao/([^/]+)""))"),"Jardim Iraja")</f>
        <v>Jardim Iraja</v>
      </c>
    </row>
    <row r="5129" customFormat="false" ht="15.75" hidden="false" customHeight="false" outlineLevel="0" collapsed="false">
      <c r="A5129" s="2" t="n">
        <v>228296</v>
      </c>
      <c r="B5129" s="2" t="s">
        <v>4193</v>
      </c>
      <c r="C5129" s="2" t="n">
        <v>3</v>
      </c>
      <c r="D5129" s="2" t="n">
        <v>4</v>
      </c>
      <c r="E5129" s="2" t="n">
        <v>2</v>
      </c>
      <c r="F5129" s="2" t="n">
        <v>133</v>
      </c>
      <c r="G5129" s="2" t="s">
        <v>180</v>
      </c>
      <c r="H5129" s="2" t="str">
        <f aca="false">IFERROR(__xludf.dummyfunction("IF(I5187="""", """", REGEXEXTRACT(I5187, ""Padrao/([^/]+)""))"),"Nova Alianca")</f>
        <v>Nova Alianca</v>
      </c>
    </row>
    <row r="5130" customFormat="false" ht="15.75" hidden="false" customHeight="false" outlineLevel="0" collapsed="false">
      <c r="A5130" s="2" t="n">
        <v>237959</v>
      </c>
      <c r="B5130" s="2" t="s">
        <v>4185</v>
      </c>
      <c r="C5130" s="2" t="n">
        <v>3</v>
      </c>
      <c r="D5130" s="2" t="n">
        <v>4</v>
      </c>
      <c r="E5130" s="2" t="n">
        <v>2</v>
      </c>
      <c r="F5130" s="2" t="n">
        <v>133</v>
      </c>
      <c r="G5130" s="2" t="s">
        <v>4186</v>
      </c>
      <c r="H5130" s="2" t="str">
        <f aca="false">IFERROR(__xludf.dummyfunction("IF(I5188="""", """", REGEXEXTRACT(I5188, ""Padrao/([^/]+)""))"),"Nova Alianca")</f>
        <v>Nova Alianca</v>
      </c>
    </row>
    <row r="5131" customFormat="false" ht="15.75" hidden="false" customHeight="false" outlineLevel="0" collapsed="false">
      <c r="A5131" s="2" t="n">
        <v>237956</v>
      </c>
      <c r="B5131" s="2" t="s">
        <v>4194</v>
      </c>
      <c r="C5131" s="2" t="n">
        <v>3</v>
      </c>
      <c r="D5131" s="2" t="n">
        <v>4</v>
      </c>
      <c r="E5131" s="2" t="n">
        <v>2</v>
      </c>
      <c r="F5131" s="2" t="n">
        <v>133</v>
      </c>
      <c r="G5131" s="2" t="s">
        <v>4186</v>
      </c>
      <c r="H5131" s="2" t="str">
        <f aca="false">IFERROR(__xludf.dummyfunction("IF(I5189="""", """", REGEXEXTRACT(I5189, ""Padrao/([^/]+)""))"),"Nova Alianca")</f>
        <v>Nova Alianca</v>
      </c>
    </row>
    <row r="5132" customFormat="false" ht="15.75" hidden="false" customHeight="false" outlineLevel="0" collapsed="false">
      <c r="A5132" s="2" t="n">
        <v>217379</v>
      </c>
      <c r="B5132" s="2" t="s">
        <v>88</v>
      </c>
      <c r="C5132" s="2" t="n">
        <v>3</v>
      </c>
      <c r="D5132" s="2" t="n">
        <v>4</v>
      </c>
      <c r="E5132" s="2" t="n">
        <v>2</v>
      </c>
      <c r="F5132" s="2" t="n">
        <v>143</v>
      </c>
      <c r="G5132" s="2" t="s">
        <v>4195</v>
      </c>
      <c r="H5132" s="2" t="str">
        <f aca="false">IFERROR(__xludf.dummyfunction("IF(I5190="""", """", REGEXEXTRACT(I5190, ""Padrao/([^/]+)""))"),"Nova Alianca")</f>
        <v>Nova Alianca</v>
      </c>
    </row>
    <row r="5133" customFormat="false" ht="15.75" hidden="false" customHeight="false" outlineLevel="0" collapsed="false">
      <c r="A5133" s="2" t="n">
        <v>151583</v>
      </c>
      <c r="B5133" s="2" t="s">
        <v>4196</v>
      </c>
      <c r="C5133" s="2" t="n">
        <v>1</v>
      </c>
      <c r="D5133" s="2" t="n">
        <v>1</v>
      </c>
      <c r="E5133" s="2" t="n">
        <v>1</v>
      </c>
      <c r="F5133" s="2" t="n">
        <v>38</v>
      </c>
      <c r="G5133" s="2" t="s">
        <v>1400</v>
      </c>
      <c r="H5133" s="2" t="str">
        <f aca="false">IFERROR(__xludf.dummyfunction("IF(I5191="""", """", REGEXEXTRACT(I5191, ""Padrao/([^/]+)""))"),"Presidente Medici")</f>
        <v>Presidente Medici</v>
      </c>
    </row>
    <row r="5134" customFormat="false" ht="15.75" hidden="false" customHeight="false" outlineLevel="0" collapsed="false">
      <c r="A5134" s="2" t="n">
        <v>182579</v>
      </c>
      <c r="B5134" s="2" t="s">
        <v>4197</v>
      </c>
      <c r="C5134" s="2" t="n">
        <v>3</v>
      </c>
      <c r="D5134" s="2" t="n">
        <v>4</v>
      </c>
      <c r="E5134" s="2" t="n">
        <v>1</v>
      </c>
      <c r="F5134" s="2" t="n">
        <v>216</v>
      </c>
      <c r="G5134" s="2" t="s">
        <v>595</v>
      </c>
      <c r="H5134" s="2" t="str">
        <f aca="false">IFERROR(__xludf.dummyfunction("IF(I5192="""", """", REGEXEXTRACT(I5192, ""Padrao/([^/]+)""))"),"Jardim Sumare")</f>
        <v>Jardim Sumare</v>
      </c>
    </row>
    <row r="5135" customFormat="false" ht="15.75" hidden="false" customHeight="false" outlineLevel="0" collapsed="false">
      <c r="A5135" s="2" t="n">
        <v>67403</v>
      </c>
      <c r="B5135" s="2" t="s">
        <v>4198</v>
      </c>
      <c r="C5135" s="2" t="n">
        <v>3</v>
      </c>
      <c r="D5135" s="2" t="n">
        <v>3</v>
      </c>
      <c r="E5135" s="2" t="n">
        <v>1</v>
      </c>
      <c r="F5135" s="2" t="n">
        <v>202</v>
      </c>
      <c r="G5135" s="2" t="s">
        <v>3807</v>
      </c>
      <c r="H5135" s="2" t="str">
        <f aca="false">IFERROR(__xludf.dummyfunction("IF(I5193="""", """", REGEXEXTRACT(I5193, ""Padrao/([^/]+)""))"),"Higienopolis")</f>
        <v>Higienopolis</v>
      </c>
    </row>
    <row r="5136" customFormat="false" ht="15.75" hidden="false" customHeight="false" outlineLevel="0" collapsed="false">
      <c r="A5136" s="2" t="n">
        <v>113552</v>
      </c>
      <c r="B5136" s="2" t="s">
        <v>4199</v>
      </c>
      <c r="C5136" s="2" t="n">
        <v>4</v>
      </c>
      <c r="D5136" s="2" t="n">
        <v>3</v>
      </c>
      <c r="E5136" s="2" t="n">
        <v>2</v>
      </c>
      <c r="F5136" s="2" t="n">
        <v>144</v>
      </c>
      <c r="G5136" s="2" t="s">
        <v>4200</v>
      </c>
      <c r="H5136" s="2" t="str">
        <f aca="false">IFERROR(__xludf.dummyfunction("IF(I5194="""", """", REGEXEXTRACT(I5194, ""Padrao/([^/]+)""))"),"Jardim Macedo")</f>
        <v>Jardim Macedo</v>
      </c>
    </row>
    <row r="5137" customFormat="false" ht="15.75" hidden="false" customHeight="false" outlineLevel="0" collapsed="false">
      <c r="A5137" s="2" t="n">
        <v>225683</v>
      </c>
      <c r="B5137" s="2" t="s">
        <v>4201</v>
      </c>
      <c r="C5137" s="2" t="n">
        <v>2</v>
      </c>
      <c r="D5137" s="2" t="n">
        <v>2</v>
      </c>
      <c r="E5137" s="2" t="n">
        <v>1</v>
      </c>
      <c r="F5137" s="2" t="n">
        <v>61</v>
      </c>
      <c r="G5137" s="2" t="s">
        <v>1469</v>
      </c>
      <c r="H5137" s="2" t="str">
        <f aca="false">IFERROR(__xludf.dummyfunction("IF(I5195="""", """", REGEXEXTRACT(I5195, ""Padrao/([^/]+)""))"),"Quinta da Primavera")</f>
        <v>Quinta da Primavera</v>
      </c>
    </row>
    <row r="5138" customFormat="false" ht="15.75" hidden="false" customHeight="false" outlineLevel="0" collapsed="false">
      <c r="A5138" s="2" t="n">
        <v>189593</v>
      </c>
      <c r="B5138" s="2" t="s">
        <v>4046</v>
      </c>
      <c r="C5138" s="2" t="n">
        <v>1</v>
      </c>
      <c r="D5138" s="2" t="n">
        <v>1</v>
      </c>
      <c r="E5138" s="2" t="n">
        <v>1</v>
      </c>
      <c r="F5138" s="2" t="n">
        <v>51</v>
      </c>
      <c r="G5138" s="2" t="s">
        <v>1469</v>
      </c>
      <c r="H5138" s="2" t="str">
        <f aca="false">IFERROR(__xludf.dummyfunction("IF(I5196="""", """", REGEXEXTRACT(I5196, ""Padrao/([^/]+)""))"),"Jardim Iraja")</f>
        <v>Jardim Iraja</v>
      </c>
    </row>
    <row r="5139" customFormat="false" ht="15.75" hidden="false" customHeight="false" outlineLevel="0" collapsed="false">
      <c r="A5139" s="2" t="n">
        <v>189590</v>
      </c>
      <c r="B5139" s="2" t="s">
        <v>4046</v>
      </c>
      <c r="C5139" s="2" t="n">
        <v>1</v>
      </c>
      <c r="D5139" s="2" t="n">
        <v>1</v>
      </c>
      <c r="E5139" s="2" t="n">
        <v>1</v>
      </c>
      <c r="F5139" s="2" t="n">
        <v>51</v>
      </c>
      <c r="G5139" s="2" t="s">
        <v>1469</v>
      </c>
      <c r="H5139" s="2" t="str">
        <f aca="false">IFERROR(__xludf.dummyfunction("IF(I5197="""", """", REGEXEXTRACT(I5197, ""Padrao/([^/]+)""))"),"Jardim Iraja")</f>
        <v>Jardim Iraja</v>
      </c>
    </row>
    <row r="5140" customFormat="false" ht="15.75" hidden="false" customHeight="false" outlineLevel="0" collapsed="false">
      <c r="A5140" s="2" t="n">
        <v>183923</v>
      </c>
      <c r="B5140" s="2" t="s">
        <v>4202</v>
      </c>
      <c r="C5140" s="2" t="n">
        <v>2</v>
      </c>
      <c r="D5140" s="2" t="n">
        <v>1</v>
      </c>
      <c r="E5140" s="2" t="n">
        <v>2</v>
      </c>
      <c r="F5140" s="2" t="n">
        <v>60</v>
      </c>
      <c r="G5140" s="2" t="s">
        <v>1469</v>
      </c>
      <c r="H5140" s="2" t="str">
        <f aca="false">IFERROR(__xludf.dummyfunction("IF(I5198="""", """", REGEXEXTRACT(I5198, ""Padrao/([^/]+)""))"),"Jardim Nova Alianca Sul")</f>
        <v>Jardim Nova Alianca Sul</v>
      </c>
    </row>
    <row r="5141" customFormat="false" ht="15.75" hidden="false" customHeight="false" outlineLevel="0" collapsed="false">
      <c r="A5141" s="2" t="n">
        <v>157307</v>
      </c>
      <c r="B5141" s="2" t="s">
        <v>4203</v>
      </c>
      <c r="C5141" s="2" t="n">
        <v>3</v>
      </c>
      <c r="D5141" s="2" t="n">
        <v>2</v>
      </c>
      <c r="E5141" s="2" t="n">
        <v>1</v>
      </c>
      <c r="F5141" s="2" t="n">
        <v>84</v>
      </c>
      <c r="G5141" s="2" t="s">
        <v>1469</v>
      </c>
      <c r="H5141" s="2" t="str">
        <f aca="false">IFERROR(__xludf.dummyfunction("IF(I5199="""", """", REGEXEXTRACT(I5199, ""Padrao/([^/]+)""))"),"Santa Cruz do Jose Jacques")</f>
        <v>Santa Cruz do Jose Jacques</v>
      </c>
    </row>
    <row r="5142" customFormat="false" ht="15.75" hidden="false" customHeight="false" outlineLevel="0" collapsed="false">
      <c r="A5142" s="2" t="n">
        <v>205280</v>
      </c>
      <c r="B5142" s="2" t="s">
        <v>4204</v>
      </c>
      <c r="C5142" s="2" t="n">
        <v>2</v>
      </c>
      <c r="D5142" s="2" t="n">
        <v>3</v>
      </c>
      <c r="E5142" s="2" t="n">
        <v>2</v>
      </c>
      <c r="F5142" s="2" t="n">
        <v>88</v>
      </c>
      <c r="G5142" s="2" t="s">
        <v>1471</v>
      </c>
      <c r="H5142" s="2" t="str">
        <f aca="false">IFERROR(__xludf.dummyfunction("IF(I5200="""", """", REGEXEXTRACT(I5200, ""Padrao/([^/]+)""))"),"Nova Alianca")</f>
        <v>Nova Alianca</v>
      </c>
    </row>
    <row r="5143" customFormat="false" ht="15.75" hidden="false" customHeight="false" outlineLevel="0" collapsed="false">
      <c r="A5143" s="2" t="n">
        <v>152474</v>
      </c>
      <c r="B5143" s="2" t="s">
        <v>4205</v>
      </c>
      <c r="C5143" s="2" t="n">
        <v>3</v>
      </c>
      <c r="D5143" s="2" t="n">
        <v>2</v>
      </c>
      <c r="E5143" s="2" t="n">
        <v>1</v>
      </c>
      <c r="F5143" s="2" t="n">
        <v>138</v>
      </c>
      <c r="G5143" s="2" t="s">
        <v>1471</v>
      </c>
      <c r="H5143" s="2" t="str">
        <f aca="false">IFERROR(__xludf.dummyfunction("IF(I5201="""", """", REGEXEXTRACT(I5201, ""Padrao/([^/]+)""))"),"Vila Seixas")</f>
        <v>Vila Seixas</v>
      </c>
    </row>
    <row r="5144" customFormat="false" ht="15.75" hidden="false" customHeight="false" outlineLevel="0" collapsed="false">
      <c r="A5144" s="2" t="n">
        <v>217421</v>
      </c>
      <c r="B5144" s="2" t="s">
        <v>4206</v>
      </c>
      <c r="C5144" s="2" t="n">
        <v>2</v>
      </c>
      <c r="D5144" s="2" t="n">
        <v>2</v>
      </c>
      <c r="E5144" s="2" t="n">
        <v>2</v>
      </c>
      <c r="F5144" s="2" t="n">
        <v>70</v>
      </c>
      <c r="G5144" s="2" t="s">
        <v>1590</v>
      </c>
      <c r="H5144" s="2" t="str">
        <f aca="false">IFERROR(__xludf.dummyfunction("IF(I5202="""", """", REGEXEXTRACT(I5202, ""Padrao/([^/]+)""))"),"Presidente Medici")</f>
        <v>Presidente Medici</v>
      </c>
    </row>
    <row r="5145" customFormat="false" ht="15.75" hidden="false" customHeight="false" outlineLevel="0" collapsed="false">
      <c r="A5145" s="2" t="n">
        <v>211097</v>
      </c>
      <c r="B5145" s="2" t="s">
        <v>4207</v>
      </c>
      <c r="C5145" s="2" t="n">
        <v>3</v>
      </c>
      <c r="D5145" s="2" t="n">
        <v>4</v>
      </c>
      <c r="E5145" s="2" t="n">
        <v>1</v>
      </c>
      <c r="F5145" s="2" t="n">
        <v>107</v>
      </c>
      <c r="G5145" s="2" t="s">
        <v>1590</v>
      </c>
      <c r="H5145" s="2" t="str">
        <f aca="false">IFERROR(__xludf.dummyfunction("IF(I5203="""", """", REGEXEXTRACT(I5203, ""Padrao/([^/]+)""))"),"Alto da Boa Vista")</f>
        <v>Alto da Boa Vista</v>
      </c>
    </row>
    <row r="5146" customFormat="false" ht="15.75" hidden="false" customHeight="false" outlineLevel="0" collapsed="false">
      <c r="A5146" s="2" t="n">
        <v>202523</v>
      </c>
      <c r="B5146" s="2" t="s">
        <v>4208</v>
      </c>
      <c r="C5146" s="2" t="n">
        <v>2</v>
      </c>
      <c r="D5146" s="2" t="n">
        <v>2</v>
      </c>
      <c r="E5146" s="2" t="n">
        <v>2</v>
      </c>
      <c r="F5146" s="2" t="n">
        <v>79</v>
      </c>
      <c r="G5146" s="2" t="s">
        <v>1590</v>
      </c>
      <c r="H5146" s="2" t="str">
        <f aca="false">IFERROR(__xludf.dummyfunction("IF(I5204="""", """", REGEXEXTRACT(I5204, ""Padrao/([^/]+)""))"),"Jardim Nova Alianca Sul")</f>
        <v>Jardim Nova Alianca Sul</v>
      </c>
    </row>
    <row r="5147" customFormat="false" ht="15.75" hidden="false" customHeight="false" outlineLevel="0" collapsed="false">
      <c r="A5147" s="2" t="n">
        <v>179555</v>
      </c>
      <c r="B5147" s="2" t="s">
        <v>4209</v>
      </c>
      <c r="C5147" s="2" t="n">
        <v>3</v>
      </c>
      <c r="D5147" s="2" t="n">
        <v>3</v>
      </c>
      <c r="E5147" s="2" t="n">
        <v>1</v>
      </c>
      <c r="F5147" s="2" t="n">
        <v>87</v>
      </c>
      <c r="G5147" s="2" t="s">
        <v>1590</v>
      </c>
      <c r="H5147" s="2" t="str">
        <f aca="false">IFERROR(__xludf.dummyfunction("IF(I5205="""", """", REGEXEXTRACT(I5205, ""Padrao/([^/]+)""))"),"Jardim America")</f>
        <v>Jardim America</v>
      </c>
    </row>
    <row r="5148" customFormat="false" ht="15.75" hidden="false" customHeight="false" outlineLevel="0" collapsed="false">
      <c r="A5148" s="2" t="n">
        <v>174653</v>
      </c>
      <c r="B5148" s="2" t="s">
        <v>4210</v>
      </c>
      <c r="C5148" s="2" t="n">
        <v>3</v>
      </c>
      <c r="D5148" s="2" t="n">
        <v>2</v>
      </c>
      <c r="E5148" s="2" t="n">
        <v>1</v>
      </c>
      <c r="F5148" s="2" t="n">
        <v>95</v>
      </c>
      <c r="G5148" s="2" t="s">
        <v>1590</v>
      </c>
      <c r="H5148" s="2" t="str">
        <f aca="false">IFERROR(__xludf.dummyfunction("IF(I5206="""", """", REGEXEXTRACT(I5206, ""Padrao/([^/]+)""))"),"Campos Eliseos")</f>
        <v>Campos Eliseos</v>
      </c>
    </row>
    <row r="5149" customFormat="false" ht="15.75" hidden="false" customHeight="false" outlineLevel="0" collapsed="false">
      <c r="A5149" s="2" t="n">
        <v>163961</v>
      </c>
      <c r="B5149" s="2" t="s">
        <v>1648</v>
      </c>
      <c r="C5149" s="2" t="n">
        <v>2</v>
      </c>
      <c r="D5149" s="2" t="n">
        <v>2</v>
      </c>
      <c r="E5149" s="2" t="n">
        <v>1</v>
      </c>
      <c r="F5149" s="2" t="n">
        <v>79</v>
      </c>
      <c r="G5149" s="2" t="s">
        <v>1590</v>
      </c>
      <c r="H5149" s="2" t="str">
        <f aca="false">IFERROR(__xludf.dummyfunction("IF(I5207="""", """", REGEXEXTRACT(I5207, ""Padrao/([^/]+)""))"),"Nova Alianca")</f>
        <v>Nova Alianca</v>
      </c>
    </row>
    <row r="5150" customFormat="false" ht="15.75" hidden="false" customHeight="false" outlineLevel="0" collapsed="false">
      <c r="A5150" s="2" t="n">
        <v>154772</v>
      </c>
      <c r="B5150" s="2" t="s">
        <v>4211</v>
      </c>
      <c r="C5150" s="2" t="n">
        <v>2</v>
      </c>
      <c r="D5150" s="2" t="n">
        <v>3</v>
      </c>
      <c r="E5150" s="2" t="n">
        <v>1</v>
      </c>
      <c r="F5150" s="2" t="n">
        <v>76</v>
      </c>
      <c r="G5150" s="2" t="s">
        <v>1590</v>
      </c>
      <c r="H5150" s="2" t="str">
        <f aca="false">IFERROR(__xludf.dummyfunction("IF(I5208="""", """", REGEXEXTRACT(I5208, ""Padrao/([^/]+)""))"),"Nova Ribeirania")</f>
        <v>Nova Ribeirania</v>
      </c>
    </row>
    <row r="5151" customFormat="false" ht="15.75" hidden="false" customHeight="false" outlineLevel="0" collapsed="false">
      <c r="A5151" s="2" t="n">
        <v>154685</v>
      </c>
      <c r="B5151" s="2" t="s">
        <v>1066</v>
      </c>
      <c r="C5151" s="2" t="n">
        <v>2</v>
      </c>
      <c r="D5151" s="2" t="n">
        <v>3</v>
      </c>
      <c r="E5151" s="2" t="n">
        <v>2</v>
      </c>
      <c r="F5151" s="2" t="n">
        <v>76</v>
      </c>
      <c r="G5151" s="2" t="s">
        <v>1590</v>
      </c>
      <c r="H5151" s="2" t="str">
        <f aca="false">IFERROR(__xludf.dummyfunction("IF(I5209="""", """", REGEXEXTRACT(I5209, ""Padrao/([^/]+)""))"),"Nova Ribeirania")</f>
        <v>Nova Ribeirania</v>
      </c>
    </row>
    <row r="5152" customFormat="false" ht="15.75" hidden="false" customHeight="false" outlineLevel="0" collapsed="false">
      <c r="A5152" s="2" t="n">
        <v>153686</v>
      </c>
      <c r="B5152" s="2" t="s">
        <v>2680</v>
      </c>
      <c r="C5152" s="2" t="n">
        <v>3</v>
      </c>
      <c r="D5152" s="2" t="n">
        <v>3</v>
      </c>
      <c r="E5152" s="2" t="n">
        <v>2</v>
      </c>
      <c r="F5152" s="2" t="n">
        <v>156</v>
      </c>
      <c r="G5152" s="2" t="s">
        <v>1590</v>
      </c>
      <c r="H5152" s="2" t="str">
        <f aca="false">IFERROR(__xludf.dummyfunction("IF(I5210="""", """", REGEXEXTRACT(I5210, ""Padrao/([^/]+)""))"),"Centro")</f>
        <v>Centro</v>
      </c>
    </row>
    <row r="5153" customFormat="false" ht="15.75" hidden="false" customHeight="false" outlineLevel="0" collapsed="false">
      <c r="A5153" s="2" t="n">
        <v>148214</v>
      </c>
      <c r="B5153" s="2" t="s">
        <v>2206</v>
      </c>
      <c r="C5153" s="2" t="n">
        <v>3</v>
      </c>
      <c r="D5153" s="2" t="n">
        <v>3</v>
      </c>
      <c r="E5153" s="2" t="n">
        <v>1</v>
      </c>
      <c r="F5153" s="2" t="n">
        <v>142</v>
      </c>
      <c r="G5153" s="2" t="s">
        <v>1590</v>
      </c>
      <c r="H5153" s="2" t="str">
        <f aca="false">IFERROR(__xludf.dummyfunction("IF(I5211="""", """", REGEXEXTRACT(I5211, ""Padrao/([^/]+)""))"),"Centro")</f>
        <v>Centro</v>
      </c>
    </row>
    <row r="5154" customFormat="false" ht="15.75" hidden="false" customHeight="false" outlineLevel="0" collapsed="false">
      <c r="A5154" s="2" t="n">
        <v>142367</v>
      </c>
      <c r="B5154" s="2" t="s">
        <v>4212</v>
      </c>
      <c r="C5154" s="2" t="n">
        <v>3</v>
      </c>
      <c r="D5154" s="2" t="n">
        <v>2</v>
      </c>
      <c r="E5154" s="2" t="n">
        <v>2</v>
      </c>
      <c r="F5154" s="2" t="n">
        <v>131</v>
      </c>
      <c r="G5154" s="2" t="s">
        <v>1590</v>
      </c>
      <c r="H5154" s="2" t="str">
        <f aca="false">IFERROR(__xludf.dummyfunction("IF(I5212="""", """", REGEXEXTRACT(I5212, ""Padrao/([^/]+)""))"),"Centro")</f>
        <v>Centro</v>
      </c>
    </row>
    <row r="5155" customFormat="false" ht="15.75" hidden="false" customHeight="false" outlineLevel="0" collapsed="false">
      <c r="A5155" s="2" t="n">
        <v>141656</v>
      </c>
      <c r="B5155" s="2" t="s">
        <v>4213</v>
      </c>
      <c r="C5155" s="2" t="n">
        <v>3</v>
      </c>
      <c r="D5155" s="2" t="n">
        <v>3</v>
      </c>
      <c r="E5155" s="2" t="n">
        <v>1</v>
      </c>
      <c r="F5155" s="2" t="n">
        <v>107</v>
      </c>
      <c r="G5155" s="2" t="s">
        <v>1590</v>
      </c>
      <c r="H5155" s="2" t="str">
        <f aca="false">IFERROR(__xludf.dummyfunction("IF(I5213="""", """", REGEXEXTRACT(I5213, ""Padrao/([^/]+)""))"),"Centro")</f>
        <v>Centro</v>
      </c>
    </row>
    <row r="5156" customFormat="false" ht="15.75" hidden="false" customHeight="false" outlineLevel="0" collapsed="false">
      <c r="A5156" s="2" t="n">
        <v>109535</v>
      </c>
      <c r="B5156" s="2" t="s">
        <v>4214</v>
      </c>
      <c r="C5156" s="2" t="n">
        <v>3</v>
      </c>
      <c r="D5156" s="2" t="n">
        <v>2</v>
      </c>
      <c r="E5156" s="2" t="n">
        <v>1</v>
      </c>
      <c r="F5156" s="2" t="n">
        <v>104</v>
      </c>
      <c r="G5156" s="2" t="s">
        <v>1590</v>
      </c>
      <c r="H5156" s="2" t="str">
        <f aca="false">IFERROR(__xludf.dummyfunction("IF(I5214="""", """", REGEXEXTRACT(I5214, ""Padrao/([^/]+)""))"),"Jardim Botanico")</f>
        <v>Jardim Botanico</v>
      </c>
    </row>
    <row r="5157" customFormat="false" ht="15.75" hidden="false" customHeight="false" outlineLevel="0" collapsed="false">
      <c r="A5157" s="2" t="n">
        <v>103337</v>
      </c>
      <c r="B5157" s="2" t="s">
        <v>4215</v>
      </c>
      <c r="C5157" s="2" t="n">
        <v>3</v>
      </c>
      <c r="D5157" s="2" t="n">
        <v>2</v>
      </c>
      <c r="E5157" s="2" t="n">
        <v>2</v>
      </c>
      <c r="F5157" s="2" t="n">
        <v>80</v>
      </c>
      <c r="G5157" s="2" t="s">
        <v>1590</v>
      </c>
      <c r="H5157" s="2" t="str">
        <f aca="false">IFERROR(__xludf.dummyfunction("IF(I5215="""", """", REGEXEXTRACT(I5215, ""Padrao/([^/]+)""))"),"Bosque das Juritis")</f>
        <v>Bosque das Juritis</v>
      </c>
    </row>
    <row r="5158" customFormat="false" ht="15.75" hidden="false" customHeight="false" outlineLevel="0" collapsed="false">
      <c r="A5158" s="2" t="n">
        <v>77591</v>
      </c>
      <c r="B5158" s="2" t="s">
        <v>4216</v>
      </c>
      <c r="C5158" s="2" t="n">
        <v>3</v>
      </c>
      <c r="D5158" s="2" t="n">
        <v>2</v>
      </c>
      <c r="E5158" s="2" t="n">
        <v>2</v>
      </c>
      <c r="F5158" s="2" t="n">
        <v>88</v>
      </c>
      <c r="G5158" s="2" t="s">
        <v>1590</v>
      </c>
      <c r="H5158" s="2" t="str">
        <f aca="false">IFERROR(__xludf.dummyfunction("IF(I5216="""", """", REGEXEXTRACT(I5216, ""Padrao/([^/]+)""))"),"Vila Ana Maria")</f>
        <v>Vila Ana Maria</v>
      </c>
    </row>
    <row r="5159" customFormat="false" ht="15.75" hidden="false" customHeight="false" outlineLevel="0" collapsed="false">
      <c r="A5159" s="2" t="n">
        <v>186662</v>
      </c>
      <c r="B5159" s="2" t="s">
        <v>4217</v>
      </c>
      <c r="C5159" s="2" t="n">
        <v>3</v>
      </c>
      <c r="D5159" s="2" t="n">
        <v>2</v>
      </c>
      <c r="E5159" s="2" t="n">
        <v>1</v>
      </c>
      <c r="F5159" s="2" t="n">
        <v>75</v>
      </c>
      <c r="G5159" s="2" t="s">
        <v>4218</v>
      </c>
      <c r="H5159" s="2" t="str">
        <f aca="false">IFERROR(__xludf.dummyfunction("IF(I5217="""", """", REGEXEXTRACT(I5217, ""Padrao/([^/]+)""))"),"Jardim Botanico")</f>
        <v>Jardim Botanico</v>
      </c>
    </row>
    <row r="5160" customFormat="false" ht="15.75" hidden="false" customHeight="false" outlineLevel="0" collapsed="false">
      <c r="A5160" s="2" t="n">
        <v>133031</v>
      </c>
      <c r="B5160" s="2" t="s">
        <v>4219</v>
      </c>
      <c r="C5160" s="2" t="n">
        <v>3</v>
      </c>
      <c r="D5160" s="2" t="n">
        <v>1</v>
      </c>
      <c r="E5160" s="2" t="n">
        <v>1</v>
      </c>
      <c r="F5160" s="2" t="n">
        <v>107</v>
      </c>
      <c r="G5160" s="2" t="s">
        <v>4220</v>
      </c>
      <c r="H5160" s="2" t="str">
        <f aca="false">IFERROR(__xludf.dummyfunction("IF(I5218="""", """", REGEXEXTRACT(I5218, ""Padrao/([^/]+)""))"),"Alto da Boa Vista")</f>
        <v>Alto da Boa Vista</v>
      </c>
    </row>
    <row r="5161" customFormat="false" ht="15.75" hidden="false" customHeight="false" outlineLevel="0" collapsed="false">
      <c r="A5161" s="2" t="n">
        <v>97733</v>
      </c>
      <c r="B5161" s="2" t="s">
        <v>4221</v>
      </c>
      <c r="C5161" s="2" t="n">
        <v>2</v>
      </c>
      <c r="D5161" s="2" t="n">
        <v>3</v>
      </c>
      <c r="E5161" s="2" t="n">
        <v>2</v>
      </c>
      <c r="F5161" s="2" t="n">
        <v>77</v>
      </c>
      <c r="G5161" s="2" t="s">
        <v>4222</v>
      </c>
      <c r="H5161" s="2" t="str">
        <f aca="false">IFERROR(__xludf.dummyfunction("IF(I5219="""", """", REGEXEXTRACT(I5219, ""Padrao/([^/]+)""))"),"Nova Alianca")</f>
        <v>Nova Alianca</v>
      </c>
    </row>
    <row r="5162" customFormat="false" ht="15.75" hidden="false" customHeight="false" outlineLevel="0" collapsed="false">
      <c r="A5162" s="2" t="n">
        <v>235814</v>
      </c>
      <c r="B5162" s="2" t="s">
        <v>4039</v>
      </c>
      <c r="C5162" s="2" t="n">
        <v>2</v>
      </c>
      <c r="D5162" s="2" t="n">
        <v>2</v>
      </c>
      <c r="E5162" s="2" t="n">
        <v>1</v>
      </c>
      <c r="F5162" s="2" t="n">
        <v>63</v>
      </c>
      <c r="G5162" s="2" t="s">
        <v>3492</v>
      </c>
      <c r="H5162" s="2" t="str">
        <f aca="false">IFERROR(__xludf.dummyfunction("IF(I5220="""", """", REGEXEXTRACT(I5220, ""Padrao/([^/]+)""))"),"Jardim Sumare")</f>
        <v>Jardim Sumare</v>
      </c>
    </row>
    <row r="5163" customFormat="false" ht="15.75" hidden="false" customHeight="false" outlineLevel="0" collapsed="false">
      <c r="A5163" s="2" t="n">
        <v>209105</v>
      </c>
      <c r="B5163" s="2" t="s">
        <v>4223</v>
      </c>
      <c r="C5163" s="2" t="n">
        <v>3</v>
      </c>
      <c r="D5163" s="2" t="n">
        <v>3</v>
      </c>
      <c r="E5163" s="2" t="n">
        <v>1</v>
      </c>
      <c r="F5163" s="2" t="n">
        <v>129</v>
      </c>
      <c r="G5163" s="2" t="s">
        <v>3492</v>
      </c>
      <c r="H5163" s="2" t="str">
        <f aca="false">IFERROR(__xludf.dummyfunction("IF(I5221="""", """", REGEXEXTRACT(I5221, ""Padrao/([^/]+)""))"),"Centro")</f>
        <v>Centro</v>
      </c>
    </row>
    <row r="5164" customFormat="false" ht="15.75" hidden="false" customHeight="false" outlineLevel="0" collapsed="false">
      <c r="A5164" s="2" t="n">
        <v>97643</v>
      </c>
      <c r="B5164" s="2" t="s">
        <v>4224</v>
      </c>
      <c r="C5164" s="2" t="n">
        <v>3</v>
      </c>
      <c r="D5164" s="2" t="n">
        <v>1</v>
      </c>
      <c r="E5164" s="2" t="n">
        <v>2</v>
      </c>
      <c r="F5164" s="2" t="n">
        <v>93</v>
      </c>
      <c r="G5164" s="2" t="s">
        <v>3492</v>
      </c>
      <c r="H5164" s="2" t="str">
        <f aca="false">IFERROR(__xludf.dummyfunction("IF(I5222="""", """", REGEXEXTRACT(I5222, ""Padrao/([^/]+)""))"),"Santa Cruz do Jose Jacques")</f>
        <v>Santa Cruz do Jose Jacques</v>
      </c>
    </row>
    <row r="5165" customFormat="false" ht="15.75" hidden="false" customHeight="false" outlineLevel="0" collapsed="false">
      <c r="A5165" s="2" t="n">
        <v>108902</v>
      </c>
      <c r="B5165" s="2" t="s">
        <v>4225</v>
      </c>
      <c r="C5165" s="2" t="n">
        <v>2</v>
      </c>
      <c r="D5165" s="2" t="n">
        <v>3</v>
      </c>
      <c r="E5165" s="2" t="n">
        <v>2</v>
      </c>
      <c r="F5165" s="2" t="n">
        <v>87</v>
      </c>
      <c r="G5165" s="2" t="s">
        <v>4226</v>
      </c>
      <c r="H5165" s="2" t="str">
        <f aca="false">IFERROR(__xludf.dummyfunction("IF(I5223="""", """", REGEXEXTRACT(I5223, ""Padrao/([^/]+)""))"),"Vila Ana Maria")</f>
        <v>Vila Ana Maria</v>
      </c>
    </row>
    <row r="5166" customFormat="false" ht="15.75" hidden="false" customHeight="false" outlineLevel="0" collapsed="false">
      <c r="A5166" s="2" t="n">
        <v>243692</v>
      </c>
      <c r="B5166" s="2" t="s">
        <v>14</v>
      </c>
      <c r="C5166" s="2" t="n">
        <v>3</v>
      </c>
      <c r="D5166" s="2" t="n">
        <v>3</v>
      </c>
      <c r="E5166" s="2" t="n">
        <v>2</v>
      </c>
      <c r="F5166" s="2" t="n">
        <v>173</v>
      </c>
      <c r="G5166" s="2" t="s">
        <v>1575</v>
      </c>
      <c r="H5166" s="2" t="str">
        <f aca="false">IFERROR(__xludf.dummyfunction("IF(I5224="""", """", REGEXEXTRACT(I5224, ""Padrao/([^/]+)""))"),"Centro")</f>
        <v>Centro</v>
      </c>
    </row>
    <row r="5167" customFormat="false" ht="15.75" hidden="false" customHeight="false" outlineLevel="0" collapsed="false">
      <c r="A5167" s="2" t="n">
        <v>223268</v>
      </c>
      <c r="B5167" s="2" t="s">
        <v>4227</v>
      </c>
      <c r="C5167" s="2" t="n">
        <v>2</v>
      </c>
      <c r="D5167" s="2" t="n">
        <v>2</v>
      </c>
      <c r="E5167" s="2" t="n">
        <v>1</v>
      </c>
      <c r="F5167" s="2" t="n">
        <v>71</v>
      </c>
      <c r="G5167" s="2" t="s">
        <v>1575</v>
      </c>
      <c r="H5167" s="2" t="str">
        <f aca="false">IFERROR(__xludf.dummyfunction("IF(I5225="""", """", REGEXEXTRACT(I5225, ""Padrao/([^/]+)""))"),"Quintas de Sao Jose")</f>
        <v>Quintas de Sao Jose</v>
      </c>
    </row>
    <row r="5168" customFormat="false" ht="15.75" hidden="false" customHeight="false" outlineLevel="0" collapsed="false">
      <c r="A5168" s="2" t="n">
        <v>175958</v>
      </c>
      <c r="B5168" s="2" t="s">
        <v>4228</v>
      </c>
      <c r="C5168" s="2" t="n">
        <v>2</v>
      </c>
      <c r="D5168" s="2" t="n">
        <v>2</v>
      </c>
      <c r="E5168" s="2" t="n">
        <v>2</v>
      </c>
      <c r="F5168" s="2" t="n">
        <v>81</v>
      </c>
      <c r="G5168" s="2" t="s">
        <v>1575</v>
      </c>
      <c r="H5168" s="2" t="str">
        <f aca="false">IFERROR(__xludf.dummyfunction("IF(I5226="""", """", REGEXEXTRACT(I5226, ""Padrao/([^/]+)""))"),"Vila do Golf")</f>
        <v>Vila do Golf</v>
      </c>
    </row>
    <row r="5169" customFormat="false" ht="15.75" hidden="false" customHeight="false" outlineLevel="0" collapsed="false">
      <c r="A5169" s="2" t="n">
        <v>233702</v>
      </c>
      <c r="B5169" s="2" t="s">
        <v>4229</v>
      </c>
      <c r="C5169" s="2" t="n">
        <v>3</v>
      </c>
      <c r="D5169" s="2" t="n">
        <v>3</v>
      </c>
      <c r="E5169" s="2" t="n">
        <v>2</v>
      </c>
      <c r="F5169" s="2" t="n">
        <v>104</v>
      </c>
      <c r="G5169" s="2" t="s">
        <v>2679</v>
      </c>
      <c r="H5169" s="2" t="str">
        <f aca="false">IFERROR(__xludf.dummyfunction("IF(I5227="""", """", REGEXEXTRACT(I5227, ""Padrao/([^/]+)""))"),"Bosque das Juritis")</f>
        <v>Bosque das Juritis</v>
      </c>
    </row>
    <row r="5170" customFormat="false" ht="15.75" hidden="false" customHeight="false" outlineLevel="0" collapsed="false">
      <c r="A5170" s="2" t="n">
        <v>230537</v>
      </c>
      <c r="B5170" s="2" t="s">
        <v>4230</v>
      </c>
      <c r="C5170" s="2" t="n">
        <v>1</v>
      </c>
      <c r="D5170" s="2" t="n">
        <v>1</v>
      </c>
      <c r="E5170" s="2" t="n">
        <v>1</v>
      </c>
      <c r="F5170" s="2" t="n">
        <v>51</v>
      </c>
      <c r="G5170" s="2" t="s">
        <v>2679</v>
      </c>
      <c r="H5170" s="2" t="str">
        <f aca="false">IFERROR(__xludf.dummyfunction("IF(I5228="""", """", REGEXEXTRACT(I5228, ""Padrao/([^/]+)""))"),"Alto da Boa Vista")</f>
        <v>Alto da Boa Vista</v>
      </c>
    </row>
    <row r="5171" customFormat="false" ht="15.75" hidden="false" customHeight="false" outlineLevel="0" collapsed="false">
      <c r="A5171" s="2" t="n">
        <v>131042</v>
      </c>
      <c r="B5171" s="2" t="s">
        <v>4231</v>
      </c>
      <c r="C5171" s="2" t="n">
        <v>4</v>
      </c>
      <c r="D5171" s="2" t="n">
        <v>3</v>
      </c>
      <c r="E5171" s="2" t="n">
        <v>4</v>
      </c>
      <c r="F5171" s="2" t="n">
        <v>193</v>
      </c>
      <c r="G5171" s="2" t="s">
        <v>2679</v>
      </c>
      <c r="H5171" s="2" t="str">
        <f aca="false">IFERROR(__xludf.dummyfunction("IF(I5229="""", """", REGEXEXTRACT(I5229, ""Padrao/([^/]+)""))"),"Centro")</f>
        <v>Centro</v>
      </c>
    </row>
    <row r="5172" customFormat="false" ht="15.75" hidden="false" customHeight="false" outlineLevel="0" collapsed="false">
      <c r="A5172" s="2" t="n">
        <v>96065</v>
      </c>
      <c r="B5172" s="2" t="s">
        <v>4232</v>
      </c>
      <c r="C5172" s="2" t="n">
        <v>3</v>
      </c>
      <c r="D5172" s="2" t="n">
        <v>3</v>
      </c>
      <c r="E5172" s="2" t="n">
        <v>2</v>
      </c>
      <c r="F5172" s="2" t="n">
        <v>97</v>
      </c>
      <c r="G5172" s="2" t="s">
        <v>2679</v>
      </c>
      <c r="H5172" s="2" t="str">
        <f aca="false">IFERROR(__xludf.dummyfunction("IF(I5230="""", """", REGEXEXTRACT(I5230, ""Padrao/([^/]+)""))"),"Jardim Nova Alianca Sul")</f>
        <v>Jardim Nova Alianca Sul</v>
      </c>
    </row>
    <row r="5173" customFormat="false" ht="15.75" hidden="false" customHeight="false" outlineLevel="0" collapsed="false">
      <c r="A5173" s="2" t="n">
        <v>192068</v>
      </c>
      <c r="B5173" s="2" t="s">
        <v>4233</v>
      </c>
      <c r="C5173" s="2" t="n">
        <v>5</v>
      </c>
      <c r="D5173" s="2" t="n">
        <v>5</v>
      </c>
      <c r="E5173" s="2" t="n">
        <v>2</v>
      </c>
      <c r="F5173" s="2" t="n">
        <v>149</v>
      </c>
      <c r="G5173" s="2" t="s">
        <v>4234</v>
      </c>
      <c r="H5173" s="2" t="str">
        <f aca="false">IFERROR(__xludf.dummyfunction("IF(I5231="""", """", REGEXEXTRACT(I5231, ""Padrao/([^/]+)""))"),"Higienopolis")</f>
        <v>Higienopolis</v>
      </c>
    </row>
    <row r="5174" customFormat="false" ht="15.75" hidden="false" customHeight="false" outlineLevel="0" collapsed="false">
      <c r="A5174" s="2" t="n">
        <v>176798</v>
      </c>
      <c r="B5174" s="2" t="s">
        <v>4235</v>
      </c>
      <c r="C5174" s="2" t="n">
        <v>2</v>
      </c>
      <c r="D5174" s="2" t="n">
        <v>3</v>
      </c>
      <c r="E5174" s="2" t="n">
        <v>1</v>
      </c>
      <c r="F5174" s="2" t="n">
        <v>68</v>
      </c>
      <c r="G5174" s="2" t="s">
        <v>4236</v>
      </c>
      <c r="H5174" s="2" t="str">
        <f aca="false">IFERROR(__xludf.dummyfunction("IF(I5232="""", """", REGEXEXTRACT(I5232, ""Padrao/([^/]+)""))"),"Nova Alianca")</f>
        <v>Nova Alianca</v>
      </c>
    </row>
    <row r="5175" customFormat="false" ht="15.75" hidden="false" customHeight="false" outlineLevel="0" collapsed="false">
      <c r="A5175" s="2" t="n">
        <v>216029</v>
      </c>
      <c r="B5175" s="2" t="s">
        <v>4237</v>
      </c>
      <c r="C5175" s="2" t="n">
        <v>3</v>
      </c>
      <c r="D5175" s="2" t="n">
        <v>2</v>
      </c>
      <c r="E5175" s="2" t="n">
        <v>1</v>
      </c>
      <c r="F5175" s="2" t="n">
        <v>80</v>
      </c>
      <c r="G5175" s="2" t="s">
        <v>4238</v>
      </c>
      <c r="H5175" s="2" t="str">
        <f aca="false">IFERROR(__xludf.dummyfunction("IF(I5233="""", """", REGEXEXTRACT(I5233, ""Padrao/([^/]+)""))"),"City Ribeirao")</f>
        <v>City Ribeirao</v>
      </c>
    </row>
    <row r="5176" customFormat="false" ht="15.75" hidden="false" customHeight="false" outlineLevel="0" collapsed="false">
      <c r="A5176" s="2" t="n">
        <v>148289</v>
      </c>
      <c r="B5176" s="2" t="s">
        <v>4239</v>
      </c>
      <c r="C5176" s="2" t="n">
        <v>3</v>
      </c>
      <c r="D5176" s="2" t="n">
        <v>4</v>
      </c>
      <c r="E5176" s="2" t="n">
        <v>2</v>
      </c>
      <c r="F5176" s="2" t="n">
        <v>105</v>
      </c>
      <c r="G5176" s="2" t="s">
        <v>4240</v>
      </c>
      <c r="H5176" s="2" t="str">
        <f aca="false">IFERROR(__xludf.dummyfunction("IF(I5234="""", """", REGEXEXTRACT(I5234, ""Padrao/([^/]+)""))"),"Jardim Botanico")</f>
        <v>Jardim Botanico</v>
      </c>
    </row>
    <row r="5177" customFormat="false" ht="15.75" hidden="false" customHeight="false" outlineLevel="0" collapsed="false">
      <c r="A5177" s="2" t="n">
        <v>206171</v>
      </c>
      <c r="B5177" s="2" t="s">
        <v>4241</v>
      </c>
      <c r="C5177" s="2" t="n">
        <v>2</v>
      </c>
      <c r="D5177" s="2" t="n">
        <v>2</v>
      </c>
      <c r="E5177" s="2" t="n">
        <v>2</v>
      </c>
      <c r="F5177" s="2" t="n">
        <v>82</v>
      </c>
      <c r="G5177" s="2" t="s">
        <v>4242</v>
      </c>
      <c r="H5177" s="2" t="str">
        <f aca="false">IFERROR(__xludf.dummyfunction("IF(I5235="""", """", REGEXEXTRACT(I5235, ""Padrao/([^/]+)""))"),"Condominio Vila Florenca")</f>
        <v>Condominio Vila Florenca</v>
      </c>
    </row>
    <row r="5178" customFormat="false" ht="15.75" hidden="false" customHeight="false" outlineLevel="0" collapsed="false">
      <c r="A5178" s="2" t="n">
        <v>175217</v>
      </c>
      <c r="B5178" s="2" t="s">
        <v>4243</v>
      </c>
      <c r="C5178" s="2" t="n">
        <v>3</v>
      </c>
      <c r="D5178" s="2" t="n">
        <v>2</v>
      </c>
      <c r="E5178" s="2" t="n">
        <v>2</v>
      </c>
      <c r="F5178" s="2" t="n">
        <v>77</v>
      </c>
      <c r="G5178" s="2" t="s">
        <v>4244</v>
      </c>
      <c r="H5178" s="2" t="str">
        <f aca="false">IFERROR(__xludf.dummyfunction("IF(I5236="""", """", REGEXEXTRACT(I5236, ""Padrao/([^/]+)""))"),"Alamedas do Botanico")</f>
        <v>Alamedas do Botanico</v>
      </c>
    </row>
    <row r="5179" customFormat="false" ht="15.75" hidden="false" customHeight="false" outlineLevel="0" collapsed="false">
      <c r="A5179" s="2" t="n">
        <v>162092</v>
      </c>
      <c r="B5179" s="2" t="s">
        <v>4245</v>
      </c>
      <c r="C5179" s="2" t="n">
        <v>4</v>
      </c>
      <c r="D5179" s="2" t="n">
        <v>3</v>
      </c>
      <c r="E5179" s="2" t="n">
        <v>2</v>
      </c>
      <c r="F5179" s="2" t="n">
        <v>101</v>
      </c>
      <c r="G5179" s="2" t="s">
        <v>4158</v>
      </c>
      <c r="H5179" s="2" t="str">
        <f aca="false">IFERROR(__xludf.dummyfunction("IF(I5237="""", """", REGEXEXTRACT(I5237, ""Padrao/([^/]+)""))"),"Nova Alianca")</f>
        <v>Nova Alianca</v>
      </c>
    </row>
    <row r="5180" customFormat="false" ht="15.75" hidden="false" customHeight="false" outlineLevel="0" collapsed="false">
      <c r="A5180" s="2" t="n">
        <v>244598</v>
      </c>
      <c r="B5180" s="2" t="s">
        <v>4246</v>
      </c>
      <c r="C5180" s="2" t="n">
        <v>4</v>
      </c>
      <c r="D5180" s="2" t="n">
        <v>3</v>
      </c>
      <c r="E5180" s="2" t="n">
        <v>3</v>
      </c>
      <c r="F5180" s="2" t="n">
        <v>107</v>
      </c>
      <c r="G5180" s="2" t="s">
        <v>3908</v>
      </c>
      <c r="H5180" s="2" t="str">
        <f aca="false">IFERROR(__xludf.dummyfunction("IF(I5238="""", """", REGEXEXTRACT(I5238, ""Padrao/([^/]+)""))"),"Santa Cruz do Jose Jacques")</f>
        <v>Santa Cruz do Jose Jacques</v>
      </c>
    </row>
    <row r="5181" customFormat="false" ht="15.75" hidden="false" customHeight="false" outlineLevel="0" collapsed="false">
      <c r="A5181" s="2" t="n">
        <v>222071</v>
      </c>
      <c r="B5181" s="2" t="s">
        <v>3195</v>
      </c>
      <c r="C5181" s="2" t="n">
        <v>3</v>
      </c>
      <c r="D5181" s="2" t="n">
        <v>3</v>
      </c>
      <c r="E5181" s="2" t="n">
        <v>1</v>
      </c>
      <c r="F5181" s="2" t="n">
        <v>100</v>
      </c>
      <c r="G5181" s="2" t="s">
        <v>3908</v>
      </c>
      <c r="H5181" s="2" t="str">
        <f aca="false">IFERROR(__xludf.dummyfunction("IF(I5239="""", """", REGEXEXTRACT(I5239, ""Padrao/([^/]+)""))"),"Centro")</f>
        <v>Centro</v>
      </c>
    </row>
    <row r="5182" customFormat="false" ht="15.75" hidden="false" customHeight="false" outlineLevel="0" collapsed="false">
      <c r="A5182" s="2" t="n">
        <v>214580</v>
      </c>
      <c r="B5182" s="2" t="s">
        <v>4247</v>
      </c>
      <c r="C5182" s="2" t="n">
        <v>2</v>
      </c>
      <c r="D5182" s="2" t="n">
        <v>2</v>
      </c>
      <c r="E5182" s="2" t="n">
        <v>2</v>
      </c>
      <c r="F5182" s="2" t="n">
        <v>79</v>
      </c>
      <c r="G5182" s="2" t="s">
        <v>3908</v>
      </c>
      <c r="H5182" s="2" t="str">
        <f aca="false">IFERROR(__xludf.dummyfunction("IF(I5240="""", """", REGEXEXTRACT(I5240, ""Padrao/([^/]+)""))"),"Residencial Monterrey")</f>
        <v>Residencial Monterrey</v>
      </c>
    </row>
    <row r="5183" customFormat="false" ht="15.75" hidden="false" customHeight="false" outlineLevel="0" collapsed="false">
      <c r="A5183" s="2" t="n">
        <v>206525</v>
      </c>
      <c r="B5183" s="2" t="s">
        <v>4248</v>
      </c>
      <c r="C5183" s="2" t="n">
        <v>2</v>
      </c>
      <c r="D5183" s="2" t="n">
        <v>3</v>
      </c>
      <c r="E5183" s="2" t="n">
        <v>2</v>
      </c>
      <c r="F5183" s="2" t="n">
        <v>81</v>
      </c>
      <c r="G5183" s="2" t="s">
        <v>3908</v>
      </c>
      <c r="H5183" s="2" t="str">
        <f aca="false">IFERROR(__xludf.dummyfunction("IF(I5241="""", """", REGEXEXTRACT(I5241, ""Padrao/([^/]+)""))"),"Nova Alianca")</f>
        <v>Nova Alianca</v>
      </c>
    </row>
    <row r="5184" customFormat="false" ht="15.75" hidden="false" customHeight="false" outlineLevel="0" collapsed="false">
      <c r="A5184" s="2" t="n">
        <v>181454</v>
      </c>
      <c r="B5184" s="2" t="s">
        <v>4249</v>
      </c>
      <c r="C5184" s="2" t="n">
        <v>2</v>
      </c>
      <c r="D5184" s="2" t="n">
        <v>2</v>
      </c>
      <c r="E5184" s="2" t="n">
        <v>2</v>
      </c>
      <c r="F5184" s="2" t="n">
        <v>69</v>
      </c>
      <c r="G5184" s="2" t="s">
        <v>3908</v>
      </c>
      <c r="H5184" s="2" t="str">
        <f aca="false">IFERROR(__xludf.dummyfunction("IF(I5242="""", """", REGEXEXTRACT(I5242, ""Padrao/([^/]+)""))"),"Jardim Olhos DAgua")</f>
        <v>Jardim Olhos DAgua</v>
      </c>
    </row>
    <row r="5185" customFormat="false" ht="15.75" hidden="false" customHeight="false" outlineLevel="0" collapsed="false">
      <c r="A5185" s="2" t="n">
        <v>108911</v>
      </c>
      <c r="B5185" s="2" t="s">
        <v>1786</v>
      </c>
      <c r="C5185" s="2" t="n">
        <v>2</v>
      </c>
      <c r="D5185" s="2" t="n">
        <v>3</v>
      </c>
      <c r="E5185" s="2" t="n">
        <v>2</v>
      </c>
      <c r="F5185" s="2" t="n">
        <v>81</v>
      </c>
      <c r="G5185" s="2" t="s">
        <v>3908</v>
      </c>
      <c r="H5185" s="2" t="str">
        <f aca="false">IFERROR(__xludf.dummyfunction("IF(I5243="""", """", REGEXEXTRACT(I5243, ""Padrao/([^/]+)""))"),"Vila Ana Maria")</f>
        <v>Vila Ana Maria</v>
      </c>
    </row>
    <row r="5186" customFormat="false" ht="15.75" hidden="false" customHeight="false" outlineLevel="0" collapsed="false">
      <c r="A5186" s="2" t="n">
        <v>206708</v>
      </c>
      <c r="B5186" s="2" t="s">
        <v>2710</v>
      </c>
      <c r="C5186" s="2" t="n">
        <v>3</v>
      </c>
      <c r="D5186" s="2" t="n">
        <v>2</v>
      </c>
      <c r="E5186" s="2" t="n">
        <v>2</v>
      </c>
      <c r="F5186" s="2" t="n">
        <v>90</v>
      </c>
      <c r="G5186" s="2" t="s">
        <v>4143</v>
      </c>
      <c r="H5186" s="2" t="str">
        <f aca="false">IFERROR(__xludf.dummyfunction("IF(I5244="""", """", REGEXEXTRACT(I5244, ""Padrao/([^/]+)""))"),"Nova Alianca")</f>
        <v>Nova Alianca</v>
      </c>
    </row>
    <row r="5187" customFormat="false" ht="15.75" hidden="false" customHeight="false" outlineLevel="0" collapsed="false">
      <c r="A5187" s="2" t="n">
        <v>209009</v>
      </c>
      <c r="B5187" s="2" t="s">
        <v>4250</v>
      </c>
      <c r="C5187" s="2" t="n">
        <v>1</v>
      </c>
      <c r="D5187" s="2" t="n">
        <v>1</v>
      </c>
      <c r="E5187" s="2" t="n">
        <v>1</v>
      </c>
      <c r="F5187" s="2" t="n">
        <v>51</v>
      </c>
      <c r="G5187" s="2" t="s">
        <v>4251</v>
      </c>
      <c r="H5187" s="2" t="str">
        <f aca="false">IFERROR(__xludf.dummyfunction("IF(I5245="""", """", REGEXEXTRACT(I5245, ""Padrao/([^/]+)""))"),"Alto da Boa Vista")</f>
        <v>Alto da Boa Vista</v>
      </c>
    </row>
    <row r="5188" customFormat="false" ht="15.75" hidden="false" customHeight="false" outlineLevel="0" collapsed="false">
      <c r="A5188" s="2" t="n">
        <v>197387</v>
      </c>
      <c r="B5188" s="2" t="s">
        <v>3867</v>
      </c>
      <c r="C5188" s="2" t="n">
        <v>3</v>
      </c>
      <c r="D5188" s="2" t="n">
        <v>4</v>
      </c>
      <c r="E5188" s="2" t="n">
        <v>2</v>
      </c>
      <c r="F5188" s="2" t="n">
        <v>124</v>
      </c>
      <c r="G5188" s="2" t="s">
        <v>4251</v>
      </c>
      <c r="H5188" s="2" t="str">
        <f aca="false">IFERROR(__xludf.dummyfunction("IF(I5246="""", """", REGEXEXTRACT(I5246, ""Padrao/([^/]+)""))"),"Centro")</f>
        <v>Centro</v>
      </c>
    </row>
    <row r="5189" customFormat="false" ht="15.75" hidden="false" customHeight="false" outlineLevel="0" collapsed="false">
      <c r="A5189" s="2" t="n">
        <v>59888</v>
      </c>
      <c r="B5189" s="2" t="s">
        <v>4252</v>
      </c>
      <c r="C5189" s="2" t="n">
        <v>3</v>
      </c>
      <c r="D5189" s="2" t="n">
        <v>2</v>
      </c>
      <c r="E5189" s="2" t="n">
        <v>2</v>
      </c>
      <c r="F5189" s="2" t="n">
        <v>99</v>
      </c>
      <c r="G5189" s="2" t="s">
        <v>4251</v>
      </c>
      <c r="H5189" s="2" t="str">
        <f aca="false">IFERROR(__xludf.dummyfunction("IF(I5247="""", """", REGEXEXTRACT(I5247, ""Padrao/([^/]+)""))"),"Vila Tiberio")</f>
        <v>Vila Tiberio</v>
      </c>
    </row>
    <row r="5190" customFormat="false" ht="15.75" hidden="false" customHeight="false" outlineLevel="0" collapsed="false">
      <c r="A5190" s="2" t="n">
        <v>54347</v>
      </c>
      <c r="B5190" s="2" t="s">
        <v>4253</v>
      </c>
      <c r="C5190" s="2" t="n">
        <v>3</v>
      </c>
      <c r="D5190" s="2" t="n">
        <v>3</v>
      </c>
      <c r="E5190" s="2" t="n">
        <v>2</v>
      </c>
      <c r="F5190" s="2" t="n">
        <v>125</v>
      </c>
      <c r="G5190" s="2" t="s">
        <v>4251</v>
      </c>
      <c r="H5190" s="2" t="str">
        <f aca="false">IFERROR(__xludf.dummyfunction("IF(I5248="""", """", REGEXEXTRACT(I5248, ""Padrao/([^/]+)""))"),"Centro")</f>
        <v>Centro</v>
      </c>
    </row>
    <row r="5191" customFormat="false" ht="15.75" hidden="false" customHeight="false" outlineLevel="0" collapsed="false">
      <c r="A5191" s="2" t="n">
        <v>175214</v>
      </c>
      <c r="B5191" s="2" t="s">
        <v>4254</v>
      </c>
      <c r="C5191" s="2" t="n">
        <v>3</v>
      </c>
      <c r="D5191" s="2" t="n">
        <v>2</v>
      </c>
      <c r="E5191" s="2" t="n">
        <v>1</v>
      </c>
      <c r="F5191" s="2" t="n">
        <v>77</v>
      </c>
      <c r="G5191" s="2" t="s">
        <v>4255</v>
      </c>
      <c r="H5191" s="2" t="str">
        <f aca="false">IFERROR(__xludf.dummyfunction("IF(I5249="""", """", REGEXEXTRACT(I5249, ""Padrao/([^/]+)""))"),"Alamedas do Botanico")</f>
        <v>Alamedas do Botanico</v>
      </c>
    </row>
    <row r="5192" customFormat="false" ht="15.75" hidden="false" customHeight="false" outlineLevel="0" collapsed="false">
      <c r="A5192" s="2" t="n">
        <v>172223</v>
      </c>
      <c r="B5192" s="2" t="s">
        <v>4256</v>
      </c>
      <c r="C5192" s="2" t="n">
        <v>3</v>
      </c>
      <c r="D5192" s="2" t="n">
        <v>4</v>
      </c>
      <c r="E5192" s="2" t="n">
        <v>1</v>
      </c>
      <c r="F5192" s="2" t="n">
        <v>216</v>
      </c>
      <c r="G5192" s="2" t="s">
        <v>644</v>
      </c>
      <c r="H5192" s="2" t="str">
        <f aca="false">IFERROR(__xludf.dummyfunction("IF(I5250="""", """", REGEXEXTRACT(I5250, ""Padrao/([^/]+)""))"),"Vila Seixas")</f>
        <v>Vila Seixas</v>
      </c>
    </row>
    <row r="5193" customFormat="false" ht="15.75" hidden="false" customHeight="false" outlineLevel="0" collapsed="false">
      <c r="A5193" s="2" t="n">
        <v>100991</v>
      </c>
      <c r="B5193" s="2" t="s">
        <v>4257</v>
      </c>
      <c r="C5193" s="2" t="n">
        <v>3</v>
      </c>
      <c r="D5193" s="2" t="n">
        <v>2</v>
      </c>
      <c r="E5193" s="2" t="n">
        <v>2</v>
      </c>
      <c r="F5193" s="2" t="n">
        <v>95</v>
      </c>
      <c r="G5193" s="2" t="s">
        <v>1595</v>
      </c>
      <c r="H5193" s="2" t="str">
        <f aca="false">IFERROR(__xludf.dummyfunction("IF(I5251="""", """", REGEXEXTRACT(I5251, ""Padrao/([^/]+)""))"),"Bosque das Juritis")</f>
        <v>Bosque das Juritis</v>
      </c>
    </row>
    <row r="5194" customFormat="false" ht="15.75" hidden="false" customHeight="false" outlineLevel="0" collapsed="false">
      <c r="A5194" s="2" t="n">
        <v>244958</v>
      </c>
      <c r="B5194" s="2" t="s">
        <v>4258</v>
      </c>
      <c r="C5194" s="2" t="n">
        <v>2</v>
      </c>
      <c r="D5194" s="2" t="n">
        <v>2</v>
      </c>
      <c r="E5194" s="2" t="n">
        <v>2</v>
      </c>
      <c r="F5194" s="2" t="n">
        <v>88</v>
      </c>
      <c r="G5194" s="2" t="s">
        <v>2709</v>
      </c>
      <c r="H5194" s="2" t="str">
        <f aca="false">IFERROR(__xludf.dummyfunction("IF(I5252="""", """", REGEXEXTRACT(I5252, ""Padrao/([^/]+)""))"),"Bosque das Juritis")</f>
        <v>Bosque das Juritis</v>
      </c>
    </row>
    <row r="5195" customFormat="false" ht="15.75" hidden="false" customHeight="false" outlineLevel="0" collapsed="false">
      <c r="A5195" s="2" t="n">
        <v>210212</v>
      </c>
      <c r="B5195" s="2" t="s">
        <v>4259</v>
      </c>
      <c r="C5195" s="2" t="n">
        <v>2</v>
      </c>
      <c r="D5195" s="2" t="n">
        <v>2</v>
      </c>
      <c r="E5195" s="2" t="n">
        <v>1</v>
      </c>
      <c r="F5195" s="2" t="n">
        <v>70</v>
      </c>
      <c r="G5195" s="2" t="s">
        <v>2709</v>
      </c>
      <c r="H5195" s="2" t="str">
        <f aca="false">IFERROR(__xludf.dummyfunction("IF(I5253="""", """", REGEXEXTRACT(I5253, ""Padrao/([^/]+)""))"),"Ribeirania")</f>
        <v>Ribeirania</v>
      </c>
    </row>
    <row r="5196" customFormat="false" ht="15.75" hidden="false" customHeight="false" outlineLevel="0" collapsed="false">
      <c r="A5196" s="2" t="n">
        <v>195059</v>
      </c>
      <c r="B5196" s="2" t="s">
        <v>3974</v>
      </c>
      <c r="C5196" s="2" t="n">
        <v>2</v>
      </c>
      <c r="D5196" s="2" t="n">
        <v>2</v>
      </c>
      <c r="E5196" s="2" t="n">
        <v>1</v>
      </c>
      <c r="F5196" s="2" t="n">
        <v>62</v>
      </c>
      <c r="G5196" s="2" t="s">
        <v>2709</v>
      </c>
      <c r="H5196" s="2" t="str">
        <f aca="false">IFERROR(__xludf.dummyfunction("IF(I5254="""", """", REGEXEXTRACT(I5254, ""Padrao/([^/]+)""))"),"Ribeirania")</f>
        <v>Ribeirania</v>
      </c>
    </row>
    <row r="5197" customFormat="false" ht="15.75" hidden="false" customHeight="false" outlineLevel="0" collapsed="false">
      <c r="A5197" s="2" t="n">
        <v>181025</v>
      </c>
      <c r="B5197" s="2" t="s">
        <v>4260</v>
      </c>
      <c r="C5197" s="2" t="n">
        <v>3</v>
      </c>
      <c r="D5197" s="2" t="n">
        <v>3</v>
      </c>
      <c r="E5197" s="2" t="n">
        <v>1</v>
      </c>
      <c r="F5197" s="2" t="n">
        <v>134</v>
      </c>
      <c r="G5197" s="2" t="s">
        <v>2709</v>
      </c>
      <c r="H5197" s="2" t="str">
        <f aca="false">IFERROR(__xludf.dummyfunction("IF(I5255="""", """", REGEXEXTRACT(I5255, ""Padrao/([^/]+)""))"),"Jardim Sumare")</f>
        <v>Jardim Sumare</v>
      </c>
    </row>
    <row r="5198" customFormat="false" ht="15.75" hidden="false" customHeight="false" outlineLevel="0" collapsed="false">
      <c r="A5198" s="2" t="n">
        <v>112934</v>
      </c>
      <c r="B5198" s="2" t="s">
        <v>602</v>
      </c>
      <c r="C5198" s="2" t="n">
        <v>3</v>
      </c>
      <c r="D5198" s="2" t="n">
        <v>2</v>
      </c>
      <c r="E5198" s="2" t="n">
        <v>2</v>
      </c>
      <c r="F5198" s="2" t="n">
        <v>83</v>
      </c>
      <c r="G5198" s="2" t="s">
        <v>2709</v>
      </c>
      <c r="H5198" s="2" t="str">
        <f aca="false">IFERROR(__xludf.dummyfunction("IF(I5256="""", """", REGEXEXTRACT(I5256, ""Padrao/([^/]+)""))"),"Centro")</f>
        <v>Centro</v>
      </c>
    </row>
    <row r="5199" customFormat="false" ht="15.75" hidden="false" customHeight="false" outlineLevel="0" collapsed="false">
      <c r="A5199" s="2" t="n">
        <v>89165</v>
      </c>
      <c r="B5199" s="2" t="s">
        <v>4261</v>
      </c>
      <c r="C5199" s="2" t="n">
        <v>3</v>
      </c>
      <c r="D5199" s="2" t="n">
        <v>2</v>
      </c>
      <c r="E5199" s="2" t="n">
        <v>2</v>
      </c>
      <c r="F5199" s="2" t="n">
        <v>116</v>
      </c>
      <c r="G5199" s="2" t="s">
        <v>2709</v>
      </c>
      <c r="H5199" s="2" t="str">
        <f aca="false">IFERROR(__xludf.dummyfunction("IF(I5257="""", """", REGEXEXTRACT(I5257, ""Padrao/([^/]+)""))"),"Nova Alianca")</f>
        <v>Nova Alianca</v>
      </c>
    </row>
    <row r="5200" customFormat="false" ht="15.75" hidden="false" customHeight="false" outlineLevel="0" collapsed="false">
      <c r="A5200" s="2" t="n">
        <v>207155</v>
      </c>
      <c r="B5200" s="2" t="s">
        <v>4262</v>
      </c>
      <c r="C5200" s="2" t="n">
        <v>3</v>
      </c>
      <c r="D5200" s="2" t="n">
        <v>3</v>
      </c>
      <c r="E5200" s="2" t="n">
        <v>2</v>
      </c>
      <c r="F5200" s="2" t="n">
        <v>122</v>
      </c>
      <c r="G5200" s="2" t="s">
        <v>3908</v>
      </c>
      <c r="H5200" s="2" t="str">
        <f aca="false">IFERROR(__xludf.dummyfunction("IF(I5258="""", """", REGEXEXTRACT(I5258, ""Padrao/([^/]+)""))"),"Centro")</f>
        <v>Centro</v>
      </c>
    </row>
    <row r="5201" customFormat="false" ht="15.75" hidden="false" customHeight="false" outlineLevel="0" collapsed="false">
      <c r="A5201" s="2" t="n">
        <v>210884</v>
      </c>
      <c r="B5201" s="2" t="s">
        <v>4263</v>
      </c>
      <c r="C5201" s="2" t="n">
        <v>2</v>
      </c>
      <c r="D5201" s="2" t="n">
        <v>3</v>
      </c>
      <c r="E5201" s="2" t="n">
        <v>2</v>
      </c>
      <c r="F5201" s="2" t="n">
        <v>76</v>
      </c>
      <c r="G5201" s="2" t="s">
        <v>4264</v>
      </c>
      <c r="H5201" s="2" t="str">
        <f aca="false">IFERROR(__xludf.dummyfunction("IF(I5259="""", """", REGEXEXTRACT(I5259, ""Padrao/([^/]+)""))"),"Nova Ribeirania")</f>
        <v>Nova Ribeirania</v>
      </c>
    </row>
    <row r="5202" customFormat="false" ht="15.75" hidden="false" customHeight="false" outlineLevel="0" collapsed="false">
      <c r="A5202" s="2" t="n">
        <v>214700</v>
      </c>
      <c r="B5202" s="2" t="s">
        <v>701</v>
      </c>
      <c r="C5202" s="2" t="n">
        <v>2</v>
      </c>
      <c r="D5202" s="2" t="n">
        <v>1</v>
      </c>
      <c r="E5202" s="2" t="n">
        <v>1</v>
      </c>
      <c r="F5202" s="2" t="n">
        <v>43</v>
      </c>
      <c r="G5202" s="2" t="s">
        <v>435</v>
      </c>
      <c r="H5202" s="2" t="str">
        <f aca="false">IFERROR(__xludf.dummyfunction("IF(I5260="""", """", REGEXEXTRACT(I5260, ""Padrao/([^/]+)""))"),"Valentina Figueiredo")</f>
        <v>Valentina Figueiredo</v>
      </c>
    </row>
    <row r="5203" customFormat="false" ht="15.75" hidden="false" customHeight="false" outlineLevel="0" collapsed="false">
      <c r="A5203" s="2" t="n">
        <v>177725</v>
      </c>
      <c r="B5203" s="2" t="s">
        <v>4265</v>
      </c>
      <c r="C5203" s="2" t="n">
        <v>3</v>
      </c>
      <c r="D5203" s="2" t="n">
        <v>2</v>
      </c>
      <c r="E5203" s="2" t="n">
        <v>2</v>
      </c>
      <c r="F5203" s="2" t="n">
        <v>84</v>
      </c>
      <c r="G5203" s="2" t="s">
        <v>4143</v>
      </c>
      <c r="H5203" s="2" t="str">
        <f aca="false">IFERROR(__xludf.dummyfunction("IF(I5261="""", """", REGEXEXTRACT(I5261, ""Padrao/([^/]+)""))"),"Bonfim Paulista")</f>
        <v>Bonfim Paulista</v>
      </c>
    </row>
    <row r="5204" customFormat="false" ht="15.75" hidden="false" customHeight="false" outlineLevel="0" collapsed="false">
      <c r="A5204" s="2" t="n">
        <v>118718</v>
      </c>
      <c r="B5204" s="2" t="s">
        <v>2970</v>
      </c>
      <c r="C5204" s="2" t="n">
        <v>3</v>
      </c>
      <c r="D5204" s="2" t="n">
        <v>4</v>
      </c>
      <c r="E5204" s="2" t="n">
        <v>2</v>
      </c>
      <c r="F5204" s="2" t="n">
        <v>125</v>
      </c>
      <c r="G5204" s="2" t="s">
        <v>4266</v>
      </c>
      <c r="H5204" s="2" t="str">
        <f aca="false">IFERROR(__xludf.dummyfunction("IF(I5262="""", """", REGEXEXTRACT(I5262, ""Padrao/([^/]+)""))"),"Centro")</f>
        <v>Centro</v>
      </c>
    </row>
    <row r="5205" customFormat="false" ht="15.75" hidden="false" customHeight="false" outlineLevel="0" collapsed="false">
      <c r="A5205" s="2" t="n">
        <v>233651</v>
      </c>
      <c r="B5205" s="2" t="s">
        <v>4267</v>
      </c>
      <c r="C5205" s="2" t="n">
        <v>2</v>
      </c>
      <c r="D5205" s="2" t="n">
        <v>2</v>
      </c>
      <c r="E5205" s="2" t="n">
        <v>1</v>
      </c>
      <c r="F5205" s="2" t="n">
        <v>63</v>
      </c>
      <c r="G5205" s="2" t="s">
        <v>1590</v>
      </c>
      <c r="H5205" s="2" t="str">
        <f aca="false">IFERROR(__xludf.dummyfunction("IF(I5263="""", """", REGEXEXTRACT(I5263, ""Padrao/([^/]+)""))"),"Jardim Sumare")</f>
        <v>Jardim Sumare</v>
      </c>
    </row>
    <row r="5206" customFormat="false" ht="15.75" hidden="false" customHeight="false" outlineLevel="0" collapsed="false">
      <c r="A5206" s="2" t="n">
        <v>245117</v>
      </c>
      <c r="B5206" s="2" t="s">
        <v>4268</v>
      </c>
      <c r="C5206" s="2" t="n">
        <v>2</v>
      </c>
      <c r="D5206" s="2" t="n">
        <v>2</v>
      </c>
      <c r="E5206" s="2" t="n">
        <v>2</v>
      </c>
      <c r="F5206" s="2" t="n">
        <v>64</v>
      </c>
      <c r="G5206" s="2" t="s">
        <v>1519</v>
      </c>
      <c r="H5206" s="2" t="str">
        <f aca="false">IFERROR(__xludf.dummyfunction("IF(I5264="""", """", REGEXEXTRACT(I5264, ""Padrao/([^/]+)""))"),"Quinta da Primavera")</f>
        <v>Quinta da Primavera</v>
      </c>
    </row>
    <row r="5207" customFormat="false" ht="15.75" hidden="false" customHeight="false" outlineLevel="0" collapsed="false">
      <c r="A5207" s="2" t="n">
        <v>243377</v>
      </c>
      <c r="B5207" s="2" t="s">
        <v>4269</v>
      </c>
      <c r="C5207" s="2" t="n">
        <v>2</v>
      </c>
      <c r="D5207" s="2" t="n">
        <v>3</v>
      </c>
      <c r="E5207" s="2" t="n">
        <v>2</v>
      </c>
      <c r="F5207" s="2" t="n">
        <v>81</v>
      </c>
      <c r="G5207" s="2" t="s">
        <v>1519</v>
      </c>
      <c r="H5207" s="2" t="str">
        <f aca="false">IFERROR(__xludf.dummyfunction("IF(I5265="""", """", REGEXEXTRACT(I5265, ""Padrao/([^/]+)""))"),"Nova Alianca")</f>
        <v>Nova Alianca</v>
      </c>
    </row>
    <row r="5208" customFormat="false" ht="15.75" hidden="false" customHeight="false" outlineLevel="0" collapsed="false">
      <c r="A5208" s="2" t="n">
        <v>243143</v>
      </c>
      <c r="B5208" s="2" t="s">
        <v>3836</v>
      </c>
      <c r="C5208" s="2" t="n">
        <v>2</v>
      </c>
      <c r="D5208" s="2" t="n">
        <v>1</v>
      </c>
      <c r="E5208" s="2" t="n">
        <v>1</v>
      </c>
      <c r="F5208" s="2" t="n">
        <v>54</v>
      </c>
      <c r="G5208" s="2" t="s">
        <v>1519</v>
      </c>
      <c r="H5208" s="2" t="str">
        <f aca="false">IFERROR(__xludf.dummyfunction("IF(I5266="""", """", REGEXEXTRACT(I5266, ""Padrao/([^/]+)""))"),"Santa Cruz do Jose Jacques")</f>
        <v>Santa Cruz do Jose Jacques</v>
      </c>
    </row>
    <row r="5209" customFormat="false" ht="15.75" hidden="false" customHeight="false" outlineLevel="0" collapsed="false">
      <c r="A5209" s="2" t="n">
        <v>242225</v>
      </c>
      <c r="B5209" s="2" t="s">
        <v>162</v>
      </c>
      <c r="C5209" s="2" t="n">
        <v>2</v>
      </c>
      <c r="D5209" s="2" t="n">
        <v>2</v>
      </c>
      <c r="E5209" s="2" t="n">
        <v>1</v>
      </c>
      <c r="F5209" s="2" t="n">
        <v>59</v>
      </c>
      <c r="G5209" s="2" t="s">
        <v>1519</v>
      </c>
      <c r="H5209" s="2" t="str">
        <f aca="false">IFERROR(__xludf.dummyfunction("IF(I5267="""", """", REGEXEXTRACT(I5267, ""Padrao/([^/]+)""))"),"Santa Cruz do Jose Jacques")</f>
        <v>Santa Cruz do Jose Jacques</v>
      </c>
    </row>
    <row r="5210" customFormat="false" ht="15.75" hidden="false" customHeight="false" outlineLevel="0" collapsed="false">
      <c r="A5210" s="2" t="n">
        <v>239852</v>
      </c>
      <c r="B5210" s="2" t="s">
        <v>4270</v>
      </c>
      <c r="C5210" s="2" t="n">
        <v>3</v>
      </c>
      <c r="D5210" s="2" t="n">
        <v>5</v>
      </c>
      <c r="E5210" s="2" t="n">
        <v>2</v>
      </c>
      <c r="F5210" s="2" t="n">
        <v>173</v>
      </c>
      <c r="G5210" s="2" t="s">
        <v>1519</v>
      </c>
      <c r="H5210" s="2" t="str">
        <f aca="false">IFERROR(__xludf.dummyfunction("IF(I5268="""", """", REGEXEXTRACT(I5268, ""Padrao/([^/]+)""))"),"Centro")</f>
        <v>Centro</v>
      </c>
    </row>
    <row r="5211" customFormat="false" ht="15.75" hidden="false" customHeight="false" outlineLevel="0" collapsed="false">
      <c r="A5211" s="2" t="n">
        <v>235148</v>
      </c>
      <c r="B5211" s="2" t="s">
        <v>4271</v>
      </c>
      <c r="C5211" s="2" t="n">
        <v>3</v>
      </c>
      <c r="D5211" s="2" t="n">
        <v>3</v>
      </c>
      <c r="E5211" s="2" t="n">
        <v>2</v>
      </c>
      <c r="F5211" s="2" t="n">
        <v>95</v>
      </c>
      <c r="G5211" s="2" t="s">
        <v>1519</v>
      </c>
      <c r="H5211" s="2" t="str">
        <f aca="false">IFERROR(__xludf.dummyfunction("IF(I5269="""", """", REGEXEXTRACT(I5269, ""Padrao/([^/]+)""))"),"Santa Cruz do Jose Jacques")</f>
        <v>Santa Cruz do Jose Jacques</v>
      </c>
    </row>
    <row r="5212" customFormat="false" ht="15.75" hidden="false" customHeight="false" outlineLevel="0" collapsed="false">
      <c r="A5212" s="2" t="n">
        <v>207839</v>
      </c>
      <c r="B5212" s="2" t="s">
        <v>4272</v>
      </c>
      <c r="C5212" s="2" t="n">
        <v>4</v>
      </c>
      <c r="D5212" s="2" t="n">
        <v>3</v>
      </c>
      <c r="E5212" s="2" t="n">
        <v>2</v>
      </c>
      <c r="F5212" s="2" t="n">
        <v>122</v>
      </c>
      <c r="G5212" s="2" t="s">
        <v>1519</v>
      </c>
      <c r="H5212" s="2" t="str">
        <f aca="false">IFERROR(__xludf.dummyfunction("IF(I5270="""", """", REGEXEXTRACT(I5270, ""Padrao/([^/]+)""))"),"Centro")</f>
        <v>Centro</v>
      </c>
    </row>
    <row r="5213" customFormat="false" ht="15.75" hidden="false" customHeight="false" outlineLevel="0" collapsed="false">
      <c r="A5213" s="2" t="n">
        <v>204263</v>
      </c>
      <c r="B5213" s="2" t="s">
        <v>4273</v>
      </c>
      <c r="C5213" s="2" t="n">
        <v>2</v>
      </c>
      <c r="D5213" s="2" t="n">
        <v>4</v>
      </c>
      <c r="E5213" s="2" t="n">
        <v>2</v>
      </c>
      <c r="F5213" s="2" t="n">
        <v>77</v>
      </c>
      <c r="G5213" s="2" t="s">
        <v>1519</v>
      </c>
      <c r="H5213" s="2" t="str">
        <f aca="false">IFERROR(__xludf.dummyfunction("IF(I5271="""", """", REGEXEXTRACT(I5271, ""Padrao/([^/]+)""))"),"Nova Alianca")</f>
        <v>Nova Alianca</v>
      </c>
    </row>
    <row r="5214" customFormat="false" ht="15.75" hidden="false" customHeight="false" outlineLevel="0" collapsed="false">
      <c r="A5214" s="2" t="n">
        <v>202541</v>
      </c>
      <c r="B5214" s="2" t="s">
        <v>4274</v>
      </c>
      <c r="C5214" s="2" t="n">
        <v>2</v>
      </c>
      <c r="D5214" s="2" t="n">
        <v>2</v>
      </c>
      <c r="E5214" s="2" t="n">
        <v>2</v>
      </c>
      <c r="F5214" s="2" t="n">
        <v>88</v>
      </c>
      <c r="G5214" s="2" t="s">
        <v>1519</v>
      </c>
      <c r="H5214" s="2" t="str">
        <f aca="false">IFERROR(__xludf.dummyfunction("IF(I5272="""", """", REGEXEXTRACT(I5272, ""Padrao/([^/]+)""))"),"Bosque das Juritis")</f>
        <v>Bosque das Juritis</v>
      </c>
    </row>
    <row r="5215" customFormat="false" ht="15.75" hidden="false" customHeight="false" outlineLevel="0" collapsed="false">
      <c r="A5215" s="2" t="n">
        <v>200228</v>
      </c>
      <c r="B5215" s="2" t="s">
        <v>4275</v>
      </c>
      <c r="C5215" s="2" t="n">
        <v>3</v>
      </c>
      <c r="D5215" s="2" t="n">
        <v>2</v>
      </c>
      <c r="E5215" s="2" t="n">
        <v>2</v>
      </c>
      <c r="F5215" s="2" t="n">
        <v>80</v>
      </c>
      <c r="G5215" s="2" t="s">
        <v>1519</v>
      </c>
      <c r="H5215" s="2" t="str">
        <f aca="false">IFERROR(__xludf.dummyfunction("IF(I5273="""", """", REGEXEXTRACT(I5273, ""Padrao/([^/]+)""))"),"Jardim Nova Alianca Sul")</f>
        <v>Jardim Nova Alianca Sul</v>
      </c>
    </row>
    <row r="5216" customFormat="false" ht="15.75" hidden="false" customHeight="false" outlineLevel="0" collapsed="false">
      <c r="A5216" s="2" t="n">
        <v>197126</v>
      </c>
      <c r="B5216" s="2" t="s">
        <v>4276</v>
      </c>
      <c r="C5216" s="2" t="n">
        <v>3</v>
      </c>
      <c r="D5216" s="2" t="n">
        <v>2</v>
      </c>
      <c r="E5216" s="2" t="n">
        <v>2</v>
      </c>
      <c r="F5216" s="2" t="n">
        <v>140</v>
      </c>
      <c r="G5216" s="2" t="s">
        <v>1519</v>
      </c>
      <c r="H5216" s="2" t="str">
        <f aca="false">IFERROR(__xludf.dummyfunction("IF(I5274="""", """", REGEXEXTRACT(I5274, ""Padrao/([^/]+)""))"),"Nova Alianca")</f>
        <v>Nova Alianca</v>
      </c>
    </row>
    <row r="5217" customFormat="false" ht="15.75" hidden="false" customHeight="false" outlineLevel="0" collapsed="false">
      <c r="A5217" s="2" t="n">
        <v>196355</v>
      </c>
      <c r="B5217" s="2" t="s">
        <v>4277</v>
      </c>
      <c r="C5217" s="2" t="n">
        <v>2</v>
      </c>
      <c r="D5217" s="2" t="n">
        <v>3</v>
      </c>
      <c r="E5217" s="2" t="n">
        <v>2</v>
      </c>
      <c r="F5217" s="2" t="n">
        <v>79</v>
      </c>
      <c r="G5217" s="2" t="s">
        <v>1519</v>
      </c>
      <c r="H5217" s="2" t="str">
        <f aca="false">IFERROR(__xludf.dummyfunction("IF(I5275="""", """", REGEXEXTRACT(I5275, ""Padrao/([^/]+)""))"),"Nova Alianca")</f>
        <v>Nova Alianca</v>
      </c>
    </row>
    <row r="5218" customFormat="false" ht="15.75" hidden="false" customHeight="false" outlineLevel="0" collapsed="false">
      <c r="A5218" s="2" t="n">
        <v>189272</v>
      </c>
      <c r="B5218" s="2" t="s">
        <v>3291</v>
      </c>
      <c r="C5218" s="2" t="n">
        <v>3</v>
      </c>
      <c r="D5218" s="2" t="n">
        <v>2</v>
      </c>
      <c r="E5218" s="2" t="n">
        <v>2</v>
      </c>
      <c r="F5218" s="2" t="n">
        <v>86</v>
      </c>
      <c r="G5218" s="2" t="s">
        <v>1519</v>
      </c>
      <c r="H5218" s="2" t="str">
        <f aca="false">IFERROR(__xludf.dummyfunction("IF(I5276="""", """", REGEXEXTRACT(I5276, ""Padrao/([^/]+)""))"),"Jardim Iraja")</f>
        <v>Jardim Iraja</v>
      </c>
    </row>
    <row r="5219" customFormat="false" ht="15.75" hidden="false" customHeight="false" outlineLevel="0" collapsed="false">
      <c r="A5219" s="2" t="n">
        <v>187886</v>
      </c>
      <c r="B5219" s="2" t="s">
        <v>1518</v>
      </c>
      <c r="C5219" s="2" t="n">
        <v>3</v>
      </c>
      <c r="D5219" s="2" t="n">
        <v>1</v>
      </c>
      <c r="E5219" s="2" t="n">
        <v>1</v>
      </c>
      <c r="F5219" s="2" t="n">
        <v>216</v>
      </c>
      <c r="G5219" s="2" t="s">
        <v>1519</v>
      </c>
      <c r="H5219" s="2" t="str">
        <f aca="false">IFERROR(__xludf.dummyfunction("IF(I5277="""", """", REGEXEXTRACT(I5277, ""Padrao/([^/]+)""))"),"Centro")</f>
        <v>Centro</v>
      </c>
    </row>
    <row r="5220" customFormat="false" ht="15.75" hidden="false" customHeight="false" outlineLevel="0" collapsed="false">
      <c r="A5220" s="2" t="n">
        <v>187604</v>
      </c>
      <c r="B5220" s="2" t="s">
        <v>4278</v>
      </c>
      <c r="C5220" s="2" t="n">
        <v>3</v>
      </c>
      <c r="D5220" s="2" t="n">
        <v>3</v>
      </c>
      <c r="E5220" s="2" t="n">
        <v>2</v>
      </c>
      <c r="F5220" s="2" t="n">
        <v>107</v>
      </c>
      <c r="G5220" s="2" t="s">
        <v>1519</v>
      </c>
      <c r="H5220" s="2" t="str">
        <f aca="false">IFERROR(__xludf.dummyfunction("IF(I5278="""", """", REGEXEXTRACT(I5278, ""Padrao/([^/]+)""))"),"Santa Cruz do Jose Jacques")</f>
        <v>Santa Cruz do Jose Jacques</v>
      </c>
    </row>
    <row r="5221" customFormat="false" ht="15.75" hidden="false" customHeight="false" outlineLevel="0" collapsed="false">
      <c r="A5221" s="2" t="n">
        <v>186209</v>
      </c>
      <c r="B5221" s="2" t="s">
        <v>4279</v>
      </c>
      <c r="C5221" s="2" t="n">
        <v>3</v>
      </c>
      <c r="D5221" s="2" t="n">
        <v>4</v>
      </c>
      <c r="E5221" s="2" t="n">
        <v>1</v>
      </c>
      <c r="F5221" s="2" t="n">
        <v>216</v>
      </c>
      <c r="G5221" s="2" t="s">
        <v>1519</v>
      </c>
      <c r="H5221" s="2" t="str">
        <f aca="false">IFERROR(__xludf.dummyfunction("IF(I5279="""", """", REGEXEXTRACT(I5279, ""Padrao/([^/]+)""))"),"Centro")</f>
        <v>Centro</v>
      </c>
    </row>
    <row r="5222" customFormat="false" ht="15.75" hidden="false" customHeight="false" outlineLevel="0" collapsed="false">
      <c r="A5222" s="2" t="n">
        <v>184520</v>
      </c>
      <c r="B5222" s="2" t="s">
        <v>2970</v>
      </c>
      <c r="C5222" s="2" t="n">
        <v>3</v>
      </c>
      <c r="D5222" s="2" t="n">
        <v>3</v>
      </c>
      <c r="E5222" s="2" t="n">
        <v>1</v>
      </c>
      <c r="F5222" s="2" t="n">
        <v>156</v>
      </c>
      <c r="G5222" s="2" t="s">
        <v>1519</v>
      </c>
      <c r="H5222" s="2" t="str">
        <f aca="false">IFERROR(__xludf.dummyfunction("IF(I5280="""", """", REGEXEXTRACT(I5280, ""Padrao/([^/]+)""))"),"Centro")</f>
        <v>Centro</v>
      </c>
    </row>
    <row r="5223" customFormat="false" ht="15.75" hidden="false" customHeight="false" outlineLevel="0" collapsed="false">
      <c r="A5223" s="2" t="n">
        <v>181451</v>
      </c>
      <c r="B5223" s="2" t="s">
        <v>4150</v>
      </c>
      <c r="C5223" s="2" t="n">
        <v>2</v>
      </c>
      <c r="D5223" s="2" t="n">
        <v>2</v>
      </c>
      <c r="E5223" s="2" t="n">
        <v>2</v>
      </c>
      <c r="F5223" s="2" t="n">
        <v>69</v>
      </c>
      <c r="G5223" s="2" t="s">
        <v>1519</v>
      </c>
      <c r="H5223" s="2" t="str">
        <f aca="false">IFERROR(__xludf.dummyfunction("IF(I5281="""", """", REGEXEXTRACT(I5281, ""Padrao/([^/]+)""))"),"Jardim Olhos DAgua")</f>
        <v>Jardim Olhos DAgua</v>
      </c>
    </row>
    <row r="5224" customFormat="false" ht="15.75" hidden="false" customHeight="false" outlineLevel="0" collapsed="false">
      <c r="A5224" s="2" t="n">
        <v>181226</v>
      </c>
      <c r="B5224" s="2" t="s">
        <v>4280</v>
      </c>
      <c r="C5224" s="2" t="n">
        <v>3</v>
      </c>
      <c r="D5224" s="2" t="n">
        <v>5</v>
      </c>
      <c r="E5224" s="2" t="n">
        <v>2</v>
      </c>
      <c r="F5224" s="2" t="n">
        <v>144</v>
      </c>
      <c r="G5224" s="2" t="s">
        <v>1519</v>
      </c>
      <c r="H5224" s="2" t="str">
        <f aca="false">IFERROR(__xludf.dummyfunction("IF(I5282="""", """", REGEXEXTRACT(I5282, ""Padrao/([^/]+)""))"),"Jardim Iraja")</f>
        <v>Jardim Iraja</v>
      </c>
    </row>
    <row r="5225" customFormat="false" ht="15.75" hidden="false" customHeight="false" outlineLevel="0" collapsed="false">
      <c r="A5225" s="2" t="n">
        <v>176849</v>
      </c>
      <c r="B5225" s="2" t="s">
        <v>1649</v>
      </c>
      <c r="C5225" s="2" t="n">
        <v>3</v>
      </c>
      <c r="D5225" s="2" t="n">
        <v>3</v>
      </c>
      <c r="E5225" s="2" t="n">
        <v>2</v>
      </c>
      <c r="F5225" s="2" t="n">
        <v>138</v>
      </c>
      <c r="G5225" s="2" t="s">
        <v>1519</v>
      </c>
      <c r="H5225" s="2" t="str">
        <f aca="false">IFERROR(__xludf.dummyfunction("IF(I5283="""", """", REGEXEXTRACT(I5283, ""Padrao/([^/]+)""))"),"Jardim Sumare")</f>
        <v>Jardim Sumare</v>
      </c>
    </row>
    <row r="5226" customFormat="false" ht="15.75" hidden="false" customHeight="false" outlineLevel="0" collapsed="false">
      <c r="A5226" s="2" t="n">
        <v>175925</v>
      </c>
      <c r="B5226" s="2" t="s">
        <v>4281</v>
      </c>
      <c r="C5226" s="2" t="n">
        <v>4</v>
      </c>
      <c r="D5226" s="2" t="n">
        <v>4</v>
      </c>
      <c r="E5226" s="2" t="n">
        <v>2</v>
      </c>
      <c r="F5226" s="2" t="n">
        <v>167</v>
      </c>
      <c r="G5226" s="2" t="s">
        <v>1519</v>
      </c>
      <c r="H5226" s="2" t="str">
        <f aca="false">IFERROR(__xludf.dummyfunction("IF(I5284="""", """", REGEXEXTRACT(I5284, ""Padrao/([^/]+)""))"),"Higienopolis")</f>
        <v>Higienopolis</v>
      </c>
    </row>
    <row r="5227" customFormat="false" ht="15.75" hidden="false" customHeight="false" outlineLevel="0" collapsed="false">
      <c r="A5227" s="2" t="n">
        <v>166709</v>
      </c>
      <c r="B5227" s="2" t="s">
        <v>2466</v>
      </c>
      <c r="C5227" s="2" t="n">
        <v>3</v>
      </c>
      <c r="D5227" s="2" t="n">
        <v>3</v>
      </c>
      <c r="E5227" s="2" t="n">
        <v>2</v>
      </c>
      <c r="F5227" s="2" t="n">
        <v>128</v>
      </c>
      <c r="G5227" s="2" t="s">
        <v>1519</v>
      </c>
      <c r="H5227" s="2" t="str">
        <f aca="false">IFERROR(__xludf.dummyfunction("IF(I5285="""", """", REGEXEXTRACT(I5285, ""Padrao/([^/]+)""))"),"Jardim Paulista")</f>
        <v>Jardim Paulista</v>
      </c>
    </row>
    <row r="5228" customFormat="false" ht="15.75" hidden="false" customHeight="false" outlineLevel="0" collapsed="false">
      <c r="A5228" s="2" t="n">
        <v>154769</v>
      </c>
      <c r="B5228" s="2" t="s">
        <v>4282</v>
      </c>
      <c r="C5228" s="2" t="n">
        <v>2</v>
      </c>
      <c r="D5228" s="2" t="n">
        <v>3</v>
      </c>
      <c r="E5228" s="2" t="n">
        <v>2</v>
      </c>
      <c r="F5228" s="2" t="n">
        <v>76</v>
      </c>
      <c r="G5228" s="2" t="s">
        <v>1519</v>
      </c>
      <c r="H5228" s="2" t="str">
        <f aca="false">IFERROR(__xludf.dummyfunction("IF(I5286="""", """", REGEXEXTRACT(I5286, ""Padrao/([^/]+)""))"),"Nova Ribeirania")</f>
        <v>Nova Ribeirania</v>
      </c>
    </row>
    <row r="5229" customFormat="false" ht="15.75" hidden="false" customHeight="false" outlineLevel="0" collapsed="false">
      <c r="A5229" s="2" t="n">
        <v>147608</v>
      </c>
      <c r="B5229" s="2" t="s">
        <v>4283</v>
      </c>
      <c r="C5229" s="2" t="n">
        <v>3</v>
      </c>
      <c r="D5229" s="2" t="n">
        <v>5</v>
      </c>
      <c r="E5229" s="2" t="n">
        <v>2</v>
      </c>
      <c r="F5229" s="2" t="n">
        <v>118</v>
      </c>
      <c r="G5229" s="2" t="s">
        <v>1519</v>
      </c>
      <c r="H5229" s="2" t="str">
        <f aca="false">IFERROR(__xludf.dummyfunction("IF(I5287="""", """", REGEXEXTRACT(I5287, ""Padrao/([^/]+)""))"),"Jardim Botanico")</f>
        <v>Jardim Botanico</v>
      </c>
    </row>
    <row r="5230" customFormat="false" ht="15.75" hidden="false" customHeight="false" outlineLevel="0" collapsed="false">
      <c r="A5230" s="2" t="n">
        <v>145604</v>
      </c>
      <c r="B5230" s="2" t="s">
        <v>4284</v>
      </c>
      <c r="C5230" s="2" t="n">
        <v>2</v>
      </c>
      <c r="D5230" s="2" t="n">
        <v>4</v>
      </c>
      <c r="E5230" s="2" t="n">
        <v>2</v>
      </c>
      <c r="F5230" s="2" t="n">
        <v>132</v>
      </c>
      <c r="G5230" s="2" t="s">
        <v>1519</v>
      </c>
      <c r="H5230" s="2" t="str">
        <f aca="false">IFERROR(__xludf.dummyfunction("IF(I5288="""", """", REGEXEXTRACT(I5288, ""Padrao/([^/]+)""))"),"Jardim Botanico")</f>
        <v>Jardim Botanico</v>
      </c>
    </row>
    <row r="5231" customFormat="false" ht="15.75" hidden="false" customHeight="false" outlineLevel="0" collapsed="false">
      <c r="A5231" s="2" t="n">
        <v>140645</v>
      </c>
      <c r="B5231" s="2" t="s">
        <v>4285</v>
      </c>
      <c r="C5231" s="2" t="n">
        <v>3</v>
      </c>
      <c r="D5231" s="2" t="n">
        <v>2</v>
      </c>
      <c r="E5231" s="2" t="n">
        <v>1</v>
      </c>
      <c r="F5231" s="2" t="n">
        <v>142</v>
      </c>
      <c r="G5231" s="2" t="s">
        <v>1519</v>
      </c>
      <c r="H5231" s="2" t="str">
        <f aca="false">IFERROR(__xludf.dummyfunction("IF(I5289="""", """", REGEXEXTRACT(I5289, ""Padrao/([^/]+)""))"),"Centro")</f>
        <v>Centro</v>
      </c>
    </row>
    <row r="5232" customFormat="false" ht="15.75" hidden="false" customHeight="false" outlineLevel="0" collapsed="false">
      <c r="A5232" s="2" t="n">
        <v>136283</v>
      </c>
      <c r="B5232" s="2" t="s">
        <v>3567</v>
      </c>
      <c r="C5232" s="2" t="n">
        <v>4</v>
      </c>
      <c r="D5232" s="2" t="n">
        <v>5</v>
      </c>
      <c r="E5232" s="2" t="n">
        <v>2</v>
      </c>
      <c r="F5232" s="2" t="n">
        <v>149</v>
      </c>
      <c r="G5232" s="2" t="s">
        <v>1519</v>
      </c>
      <c r="H5232" s="2" t="str">
        <f aca="false">IFERROR(__xludf.dummyfunction("IF(I5290="""", """", REGEXEXTRACT(I5290, ""Padrao/([^/]+)""))"),"Centro")</f>
        <v>Centro</v>
      </c>
    </row>
    <row r="5233" customFormat="false" ht="15.75" hidden="false" customHeight="false" outlineLevel="0" collapsed="false">
      <c r="A5233" s="2" t="n">
        <v>135935</v>
      </c>
      <c r="B5233" s="2" t="s">
        <v>4286</v>
      </c>
      <c r="C5233" s="2" t="n">
        <v>3</v>
      </c>
      <c r="D5233" s="2" t="n">
        <v>3</v>
      </c>
      <c r="E5233" s="2" t="n">
        <v>1</v>
      </c>
      <c r="F5233" s="2" t="n">
        <v>103</v>
      </c>
      <c r="G5233" s="2" t="s">
        <v>1519</v>
      </c>
      <c r="H5233" s="2" t="str">
        <f aca="false">IFERROR(__xludf.dummyfunction("IF(I5291="""", """", REGEXEXTRACT(I5291, ""Padrao/([^/]+)""))"),"Vila Seixas")</f>
        <v>Vila Seixas</v>
      </c>
    </row>
    <row r="5234" customFormat="false" ht="15.75" hidden="false" customHeight="false" outlineLevel="0" collapsed="false">
      <c r="A5234" s="2" t="n">
        <v>135848</v>
      </c>
      <c r="B5234" s="2" t="s">
        <v>602</v>
      </c>
      <c r="C5234" s="2" t="n">
        <v>4</v>
      </c>
      <c r="D5234" s="2" t="n">
        <v>3</v>
      </c>
      <c r="E5234" s="2" t="n">
        <v>2</v>
      </c>
      <c r="F5234" s="2" t="n">
        <v>125</v>
      </c>
      <c r="G5234" s="2" t="s">
        <v>1519</v>
      </c>
      <c r="H5234" s="2" t="str">
        <f aca="false">IFERROR(__xludf.dummyfunction("IF(I5292="""", """", REGEXEXTRACT(I5292, ""Padrao/([^/]+)""))"),"Centro")</f>
        <v>Centro</v>
      </c>
    </row>
    <row r="5235" customFormat="false" ht="15.75" hidden="false" customHeight="false" outlineLevel="0" collapsed="false">
      <c r="A5235" s="2" t="n">
        <v>135584</v>
      </c>
      <c r="B5235" s="2" t="s">
        <v>2000</v>
      </c>
      <c r="C5235" s="2" t="n">
        <v>3</v>
      </c>
      <c r="D5235" s="2" t="n">
        <v>2</v>
      </c>
      <c r="E5235" s="2" t="n">
        <v>2</v>
      </c>
      <c r="F5235" s="2" t="n">
        <v>96</v>
      </c>
      <c r="G5235" s="2" t="s">
        <v>1519</v>
      </c>
      <c r="H5235" s="2" t="str">
        <f aca="false">IFERROR(__xludf.dummyfunction("IF(I5293="""", """", REGEXEXTRACT(I5293, ""Padrao/([^/]+)""))"),"Jardim Botanico")</f>
        <v>Jardim Botanico</v>
      </c>
    </row>
    <row r="5236" customFormat="false" ht="15.75" hidden="false" customHeight="false" outlineLevel="0" collapsed="false">
      <c r="A5236" s="2" t="n">
        <v>124268</v>
      </c>
      <c r="B5236" s="2" t="s">
        <v>4287</v>
      </c>
      <c r="C5236" s="2" t="n">
        <v>3</v>
      </c>
      <c r="D5236" s="2" t="n">
        <v>3</v>
      </c>
      <c r="E5236" s="2" t="n">
        <v>2</v>
      </c>
      <c r="F5236" s="2" t="n">
        <v>114</v>
      </c>
      <c r="G5236" s="2" t="s">
        <v>1519</v>
      </c>
      <c r="H5236" s="2" t="str">
        <f aca="false">IFERROR(__xludf.dummyfunction("IF(I5294="""", """", REGEXEXTRACT(I5294, ""Padrao/([^/]+)""))"),"Jardim Paulista")</f>
        <v>Jardim Paulista</v>
      </c>
    </row>
    <row r="5237" customFormat="false" ht="15.75" hidden="false" customHeight="false" outlineLevel="0" collapsed="false">
      <c r="A5237" s="2" t="n">
        <v>122450</v>
      </c>
      <c r="B5237" s="2" t="s">
        <v>4288</v>
      </c>
      <c r="C5237" s="2" t="n">
        <v>2</v>
      </c>
      <c r="D5237" s="2" t="n">
        <v>3</v>
      </c>
      <c r="E5237" s="2" t="n">
        <v>2</v>
      </c>
      <c r="F5237" s="2" t="n">
        <v>81</v>
      </c>
      <c r="G5237" s="2" t="s">
        <v>1519</v>
      </c>
      <c r="H5237" s="2" t="str">
        <f aca="false">IFERROR(__xludf.dummyfunction("IF(I5295="""", """", REGEXEXTRACT(I5295, ""Padrao/([^/]+)""))"),"Nova Alianca")</f>
        <v>Nova Alianca</v>
      </c>
    </row>
    <row r="5238" customFormat="false" ht="15.75" hidden="false" customHeight="false" outlineLevel="0" collapsed="false">
      <c r="A5238" s="2" t="n">
        <v>119381</v>
      </c>
      <c r="B5238" s="2" t="s">
        <v>162</v>
      </c>
      <c r="C5238" s="2" t="n">
        <v>4</v>
      </c>
      <c r="D5238" s="2" t="n">
        <v>3</v>
      </c>
      <c r="E5238" s="2" t="n">
        <v>2</v>
      </c>
      <c r="F5238" s="2" t="n">
        <v>370</v>
      </c>
      <c r="G5238" s="2" t="s">
        <v>1519</v>
      </c>
      <c r="H5238" s="2" t="str">
        <f aca="false">IFERROR(__xludf.dummyfunction("IF(I5296="""", """", REGEXEXTRACT(I5296, ""Padrao/([^/]+)""))"),"Centro")</f>
        <v>Centro</v>
      </c>
    </row>
    <row r="5239" customFormat="false" ht="15.75" hidden="false" customHeight="false" outlineLevel="0" collapsed="false">
      <c r="A5239" s="2" t="n">
        <v>119054</v>
      </c>
      <c r="B5239" s="2" t="s">
        <v>162</v>
      </c>
      <c r="C5239" s="2" t="n">
        <v>3</v>
      </c>
      <c r="D5239" s="2" t="n">
        <v>2</v>
      </c>
      <c r="E5239" s="2" t="n">
        <v>2</v>
      </c>
      <c r="F5239" s="2" t="n">
        <v>75</v>
      </c>
      <c r="G5239" s="2" t="s">
        <v>1519</v>
      </c>
      <c r="H5239" s="2" t="str">
        <f aca="false">IFERROR(__xludf.dummyfunction("IF(I5297="""", """", REGEXEXTRACT(I5297, ""Padrao/([^/]+)""))"),"Jardim Botanico")</f>
        <v>Jardim Botanico</v>
      </c>
    </row>
    <row r="5240" customFormat="false" ht="15.75" hidden="false" customHeight="false" outlineLevel="0" collapsed="false">
      <c r="A5240" s="2" t="n">
        <v>119051</v>
      </c>
      <c r="B5240" s="2" t="s">
        <v>3427</v>
      </c>
      <c r="C5240" s="2" t="n">
        <v>3</v>
      </c>
      <c r="D5240" s="2" t="n">
        <v>2</v>
      </c>
      <c r="E5240" s="2" t="n">
        <v>2</v>
      </c>
      <c r="F5240" s="2" t="n">
        <v>75</v>
      </c>
      <c r="G5240" s="2" t="s">
        <v>1519</v>
      </c>
      <c r="H5240" s="2" t="str">
        <f aca="false">IFERROR(__xludf.dummyfunction("IF(I5298="""", """", REGEXEXTRACT(I5298, ""Padrao/([^/]+)""))"),"Jardim Botanico")</f>
        <v>Jardim Botanico</v>
      </c>
    </row>
    <row r="5241" customFormat="false" ht="15.75" hidden="false" customHeight="false" outlineLevel="0" collapsed="false">
      <c r="A5241" s="2" t="n">
        <v>119048</v>
      </c>
      <c r="B5241" s="2" t="s">
        <v>162</v>
      </c>
      <c r="C5241" s="2" t="n">
        <v>3</v>
      </c>
      <c r="D5241" s="2" t="n">
        <v>2</v>
      </c>
      <c r="E5241" s="2" t="n">
        <v>2</v>
      </c>
      <c r="F5241" s="2" t="n">
        <v>75</v>
      </c>
      <c r="G5241" s="2" t="s">
        <v>1519</v>
      </c>
      <c r="H5241" s="2" t="str">
        <f aca="false">IFERROR(__xludf.dummyfunction("IF(I5299="""", """", REGEXEXTRACT(I5299, ""Padrao/([^/]+)""))"),"Jardim Botanico")</f>
        <v>Jardim Botanico</v>
      </c>
    </row>
    <row r="5242" customFormat="false" ht="15.75" hidden="false" customHeight="false" outlineLevel="0" collapsed="false">
      <c r="A5242" s="2" t="n">
        <v>119042</v>
      </c>
      <c r="B5242" s="2" t="s">
        <v>2899</v>
      </c>
      <c r="C5242" s="2" t="n">
        <v>3</v>
      </c>
      <c r="D5242" s="2" t="n">
        <v>2</v>
      </c>
      <c r="E5242" s="2" t="n">
        <v>2</v>
      </c>
      <c r="F5242" s="2" t="n">
        <v>75</v>
      </c>
      <c r="G5242" s="2" t="s">
        <v>1519</v>
      </c>
      <c r="H5242" s="2" t="str">
        <f aca="false">IFERROR(__xludf.dummyfunction("IF(I5300="""", """", REGEXEXTRACT(I5300, ""Padrao/([^/]+)""))"),"Jardim Botanico")</f>
        <v>Jardim Botanico</v>
      </c>
    </row>
    <row r="5243" customFormat="false" ht="15.75" hidden="false" customHeight="false" outlineLevel="0" collapsed="false">
      <c r="A5243" s="2" t="n">
        <v>119039</v>
      </c>
      <c r="B5243" s="2" t="s">
        <v>162</v>
      </c>
      <c r="C5243" s="2" t="n">
        <v>3</v>
      </c>
      <c r="D5243" s="2" t="n">
        <v>2</v>
      </c>
      <c r="E5243" s="2" t="n">
        <v>2</v>
      </c>
      <c r="F5243" s="2" t="n">
        <v>75</v>
      </c>
      <c r="G5243" s="2" t="s">
        <v>1519</v>
      </c>
      <c r="H5243" s="2" t="str">
        <f aca="false">IFERROR(__xludf.dummyfunction("IF(I5301="""", """", REGEXEXTRACT(I5301, ""Padrao/([^/]+)""))"),"Jardim Botanico")</f>
        <v>Jardim Botanico</v>
      </c>
    </row>
    <row r="5244" customFormat="false" ht="15.75" hidden="false" customHeight="false" outlineLevel="0" collapsed="false">
      <c r="A5244" s="2" t="n">
        <v>119033</v>
      </c>
      <c r="B5244" s="2" t="s">
        <v>2000</v>
      </c>
      <c r="C5244" s="2" t="n">
        <v>3</v>
      </c>
      <c r="D5244" s="2" t="n">
        <v>2</v>
      </c>
      <c r="E5244" s="2" t="n">
        <v>2</v>
      </c>
      <c r="F5244" s="2" t="n">
        <v>75</v>
      </c>
      <c r="G5244" s="2" t="s">
        <v>1519</v>
      </c>
      <c r="H5244" s="2" t="str">
        <f aca="false">IFERROR(__xludf.dummyfunction("IF(I5302="""", """", REGEXEXTRACT(I5302, ""Padrao/([^/]+)""))"),"Jardim Botanico")</f>
        <v>Jardim Botanico</v>
      </c>
    </row>
    <row r="5245" customFormat="false" ht="15.75" hidden="false" customHeight="false" outlineLevel="0" collapsed="false">
      <c r="A5245" s="2" t="n">
        <v>108878</v>
      </c>
      <c r="B5245" s="2" t="s">
        <v>3386</v>
      </c>
      <c r="C5245" s="2" t="n">
        <v>2</v>
      </c>
      <c r="D5245" s="2" t="n">
        <v>2</v>
      </c>
      <c r="E5245" s="2" t="n">
        <v>2</v>
      </c>
      <c r="F5245" s="2" t="n">
        <v>78</v>
      </c>
      <c r="G5245" s="2" t="s">
        <v>1519</v>
      </c>
      <c r="H5245" s="2" t="str">
        <f aca="false">IFERROR(__xludf.dummyfunction("IF(I5303="""", """", REGEXEXTRACT(I5303, ""Padrao/([^/]+)""))"),"Jardim Sao Luiz")</f>
        <v>Jardim Sao Luiz</v>
      </c>
    </row>
    <row r="5246" customFormat="false" ht="15.75" hidden="false" customHeight="false" outlineLevel="0" collapsed="false">
      <c r="A5246" s="2" t="n">
        <v>104429</v>
      </c>
      <c r="B5246" s="2" t="s">
        <v>4289</v>
      </c>
      <c r="C5246" s="2" t="n">
        <v>3</v>
      </c>
      <c r="D5246" s="2" t="n">
        <v>3</v>
      </c>
      <c r="E5246" s="2" t="n">
        <v>2</v>
      </c>
      <c r="F5246" s="2" t="n">
        <v>143</v>
      </c>
      <c r="G5246" s="2" t="s">
        <v>1519</v>
      </c>
      <c r="H5246" s="2" t="str">
        <f aca="false">IFERROR(__xludf.dummyfunction("IF(I5304="""", """", REGEXEXTRACT(I5304, ""Padrao/([^/]+)""))"),"Jardim Iraja")</f>
        <v>Jardim Iraja</v>
      </c>
    </row>
    <row r="5247" customFormat="false" ht="15.75" hidden="false" customHeight="false" outlineLevel="0" collapsed="false">
      <c r="A5247" s="2" t="n">
        <v>93695</v>
      </c>
      <c r="B5247" s="2" t="s">
        <v>4290</v>
      </c>
      <c r="C5247" s="2" t="n">
        <v>3</v>
      </c>
      <c r="D5247" s="2" t="n">
        <v>4</v>
      </c>
      <c r="E5247" s="2" t="n">
        <v>1</v>
      </c>
      <c r="F5247" s="2" t="n">
        <v>216</v>
      </c>
      <c r="G5247" s="2" t="s">
        <v>1519</v>
      </c>
      <c r="H5247" s="2" t="str">
        <f aca="false">IFERROR(__xludf.dummyfunction("IF(I5305="""", """", REGEXEXTRACT(I5305, ""Padrao/([^/]+)""))"),"Centro")</f>
        <v>Centro</v>
      </c>
    </row>
    <row r="5248" customFormat="false" ht="15.75" hidden="false" customHeight="false" outlineLevel="0" collapsed="false">
      <c r="A5248" s="2" t="n">
        <v>90833</v>
      </c>
      <c r="B5248" s="2" t="s">
        <v>19</v>
      </c>
      <c r="C5248" s="2" t="n">
        <v>3</v>
      </c>
      <c r="D5248" s="2" t="n">
        <v>3</v>
      </c>
      <c r="E5248" s="2" t="n">
        <v>2</v>
      </c>
      <c r="F5248" s="2" t="n">
        <v>112</v>
      </c>
      <c r="G5248" s="2" t="s">
        <v>1519</v>
      </c>
      <c r="H5248" s="2" t="str">
        <f aca="false">IFERROR(__xludf.dummyfunction("IF(I5306="""", """", REGEXEXTRACT(I5306, ""Padrao/([^/]+)""))"),"Bosque das Juritis")</f>
        <v>Bosque das Juritis</v>
      </c>
    </row>
    <row r="5249" customFormat="false" ht="15.75" hidden="false" customHeight="false" outlineLevel="0" collapsed="false">
      <c r="A5249" s="2" t="n">
        <v>86660</v>
      </c>
      <c r="B5249" s="2" t="s">
        <v>4291</v>
      </c>
      <c r="C5249" s="2" t="n">
        <v>3</v>
      </c>
      <c r="D5249" s="2" t="n">
        <v>3</v>
      </c>
      <c r="E5249" s="2" t="n">
        <v>2</v>
      </c>
      <c r="F5249" s="2" t="n">
        <v>111</v>
      </c>
      <c r="G5249" s="2" t="s">
        <v>1519</v>
      </c>
      <c r="H5249" s="2" t="str">
        <f aca="false">IFERROR(__xludf.dummyfunction("IF(I5307="""", """", REGEXEXTRACT(I5307, ""Padrao/([^/]+)""))"),"Jardim Botanico")</f>
        <v>Jardim Botanico</v>
      </c>
    </row>
    <row r="5250" customFormat="false" ht="15.75" hidden="false" customHeight="false" outlineLevel="0" collapsed="false">
      <c r="A5250" s="2" t="n">
        <v>85043</v>
      </c>
      <c r="B5250" s="2" t="s">
        <v>4292</v>
      </c>
      <c r="C5250" s="2" t="n">
        <v>3</v>
      </c>
      <c r="D5250" s="2" t="n">
        <v>4</v>
      </c>
      <c r="E5250" s="2" t="n">
        <v>2</v>
      </c>
      <c r="F5250" s="2" t="n">
        <v>106</v>
      </c>
      <c r="G5250" s="2" t="s">
        <v>1519</v>
      </c>
      <c r="H5250" s="2" t="str">
        <f aca="false">IFERROR(__xludf.dummyfunction("IF(I5308="""", """", REGEXEXTRACT(I5308, ""Padrao/([^/]+)""))"),"Jardim Botanico")</f>
        <v>Jardim Botanico</v>
      </c>
    </row>
    <row r="5251" customFormat="false" ht="15.75" hidden="false" customHeight="false" outlineLevel="0" collapsed="false">
      <c r="A5251" s="2" t="n">
        <v>81014</v>
      </c>
      <c r="B5251" s="2" t="s">
        <v>4293</v>
      </c>
      <c r="C5251" s="2" t="n">
        <v>4</v>
      </c>
      <c r="D5251" s="2" t="n">
        <v>4</v>
      </c>
      <c r="E5251" s="2" t="n">
        <v>2</v>
      </c>
      <c r="F5251" s="2" t="n">
        <v>146</v>
      </c>
      <c r="G5251" s="2" t="s">
        <v>1519</v>
      </c>
      <c r="H5251" s="2" t="str">
        <f aca="false">IFERROR(__xludf.dummyfunction("IF(I5309="""", """", REGEXEXTRACT(I5309, ""Padrao/([^/]+)""))"),"Jardim Sao Luiz")</f>
        <v>Jardim Sao Luiz</v>
      </c>
    </row>
    <row r="5252" customFormat="false" ht="15.75" hidden="false" customHeight="false" outlineLevel="0" collapsed="false">
      <c r="A5252" s="2" t="n">
        <v>48854</v>
      </c>
      <c r="B5252" s="2" t="s">
        <v>4294</v>
      </c>
      <c r="C5252" s="2" t="n">
        <v>3</v>
      </c>
      <c r="D5252" s="2" t="n">
        <v>3</v>
      </c>
      <c r="E5252" s="2" t="n">
        <v>2</v>
      </c>
      <c r="F5252" s="2" t="n">
        <v>151</v>
      </c>
      <c r="G5252" s="2" t="s">
        <v>1519</v>
      </c>
      <c r="H5252" s="2" t="str">
        <f aca="false">IFERROR(__xludf.dummyfunction("IF(I5310="""", """", REGEXEXTRACT(I5310, ""Padrao/([^/]+)""))"),"Santa Cruz do Jose Jacques")</f>
        <v>Santa Cruz do Jose Jacques</v>
      </c>
    </row>
    <row r="5253" customFormat="false" ht="15.75" hidden="false" customHeight="false" outlineLevel="0" collapsed="false">
      <c r="A5253" s="2" t="n">
        <v>1919</v>
      </c>
      <c r="B5253" s="2" t="s">
        <v>3105</v>
      </c>
      <c r="C5253" s="2" t="n">
        <v>3</v>
      </c>
      <c r="D5253" s="2" t="n">
        <v>3</v>
      </c>
      <c r="E5253" s="2" t="n">
        <v>1</v>
      </c>
      <c r="F5253" s="2" t="n">
        <v>141</v>
      </c>
      <c r="G5253" s="2" t="s">
        <v>1519</v>
      </c>
      <c r="H5253" s="2" t="str">
        <f aca="false">IFERROR(__xludf.dummyfunction("IF(I5311="""", """", REGEXEXTRACT(I5311, ""Padrao/([^/]+)""))"),"Centro")</f>
        <v>Centro</v>
      </c>
    </row>
    <row r="5254" customFormat="false" ht="15.75" hidden="false" customHeight="false" outlineLevel="0" collapsed="false">
      <c r="A5254" s="2" t="n">
        <v>237893</v>
      </c>
      <c r="B5254" s="2" t="s">
        <v>4295</v>
      </c>
      <c r="C5254" s="2" t="n">
        <v>3</v>
      </c>
      <c r="D5254" s="2" t="n">
        <v>3</v>
      </c>
      <c r="E5254" s="2" t="n">
        <v>2</v>
      </c>
      <c r="F5254" s="2" t="n">
        <v>101</v>
      </c>
      <c r="G5254" s="2" t="s">
        <v>4296</v>
      </c>
      <c r="H5254" s="2" t="str">
        <f aca="false">IFERROR(__xludf.dummyfunction("IF(I5312="""", """", REGEXEXTRACT(I5312, ""Padrao/([^/]+)""))"),"Nova Alianca")</f>
        <v>Nova Alianca</v>
      </c>
    </row>
    <row r="5255" customFormat="false" ht="15.75" hidden="false" customHeight="false" outlineLevel="0" collapsed="false">
      <c r="A5255" s="2" t="n">
        <v>216338</v>
      </c>
      <c r="B5255" s="2" t="s">
        <v>4297</v>
      </c>
      <c r="C5255" s="2" t="n">
        <v>2</v>
      </c>
      <c r="D5255" s="2" t="n">
        <v>2</v>
      </c>
      <c r="E5255" s="2" t="n">
        <v>1</v>
      </c>
      <c r="F5255" s="2" t="n">
        <v>73</v>
      </c>
      <c r="G5255" s="2" t="s">
        <v>3908</v>
      </c>
      <c r="H5255" s="2" t="str">
        <f aca="false">IFERROR(__xludf.dummyfunction("IF(I5313="""", """", REGEXEXTRACT(I5313, ""Padrao/([^/]+)""))"),"Bosque das Juritis")</f>
        <v>Bosque das Juritis</v>
      </c>
    </row>
    <row r="5256" customFormat="false" ht="15.75" hidden="false" customHeight="false" outlineLevel="0" collapsed="false">
      <c r="A5256" s="2" t="n">
        <v>189236</v>
      </c>
      <c r="B5256" s="2" t="s">
        <v>4298</v>
      </c>
      <c r="C5256" s="2" t="n">
        <v>2</v>
      </c>
      <c r="D5256" s="2" t="n">
        <v>2</v>
      </c>
      <c r="E5256" s="2" t="n">
        <v>2</v>
      </c>
      <c r="F5256" s="2" t="n">
        <v>90</v>
      </c>
      <c r="G5256" s="2" t="s">
        <v>1519</v>
      </c>
      <c r="H5256" s="2" t="str">
        <f aca="false">IFERROR(__xludf.dummyfunction("IF(I5314="""", """", REGEXEXTRACT(I5314, ""Padrao/([^/]+)""))"),"Bosque das Juritis")</f>
        <v>Bosque das Juritis</v>
      </c>
    </row>
    <row r="5257" customFormat="false" ht="15.75" hidden="false" customHeight="false" outlineLevel="0" collapsed="false">
      <c r="A5257" s="2" t="n">
        <v>190754</v>
      </c>
      <c r="B5257" s="2" t="s">
        <v>4299</v>
      </c>
      <c r="C5257" s="2" t="n">
        <v>2</v>
      </c>
      <c r="D5257" s="2" t="n">
        <v>2</v>
      </c>
      <c r="E5257" s="2" t="n">
        <v>2</v>
      </c>
      <c r="F5257" s="2" t="n">
        <v>63</v>
      </c>
      <c r="G5257" s="2" t="s">
        <v>4300</v>
      </c>
      <c r="H5257" s="2" t="str">
        <f aca="false">IFERROR(__xludf.dummyfunction("IF(I5315="""", """", REGEXEXTRACT(I5315, ""Padrao/([^/]+)""))"),"Alamedas do Botanico")</f>
        <v>Alamedas do Botanico</v>
      </c>
    </row>
    <row r="5258" customFormat="false" ht="15.75" hidden="false" customHeight="false" outlineLevel="0" collapsed="false">
      <c r="A5258" s="2" t="n">
        <v>240299</v>
      </c>
      <c r="B5258" s="2" t="s">
        <v>4301</v>
      </c>
      <c r="C5258" s="2" t="n">
        <v>2</v>
      </c>
      <c r="D5258" s="2" t="n">
        <v>3</v>
      </c>
      <c r="E5258" s="2" t="n">
        <v>2</v>
      </c>
      <c r="F5258" s="2" t="n">
        <v>81</v>
      </c>
      <c r="G5258" s="2" t="s">
        <v>4242</v>
      </c>
      <c r="H5258" s="2" t="str">
        <f aca="false">IFERROR(__xludf.dummyfunction("IF(I5316="""", """", REGEXEXTRACT(I5316, ""Padrao/([^/]+)""))"),"Nova Alianca")</f>
        <v>Nova Alianca</v>
      </c>
    </row>
    <row r="5259" customFormat="false" ht="15.75" hidden="false" customHeight="false" outlineLevel="0" collapsed="false">
      <c r="A5259" s="2" t="n">
        <v>214310</v>
      </c>
      <c r="B5259" s="2" t="s">
        <v>4302</v>
      </c>
      <c r="C5259" s="2" t="n">
        <v>2</v>
      </c>
      <c r="D5259" s="2" t="n">
        <v>2</v>
      </c>
      <c r="E5259" s="2" t="n">
        <v>2</v>
      </c>
      <c r="F5259" s="2" t="n">
        <v>90</v>
      </c>
      <c r="G5259" s="2" t="s">
        <v>4303</v>
      </c>
      <c r="H5259" s="2" t="str">
        <f aca="false">IFERROR(__xludf.dummyfunction("IF(I5317="""", """", REGEXEXTRACT(I5317, ""Padrao/([^/]+)""))"),"Jardim Sumare")</f>
        <v>Jardim Sumare</v>
      </c>
    </row>
    <row r="5260" customFormat="false" ht="15.75" hidden="false" customHeight="false" outlineLevel="0" collapsed="false">
      <c r="A5260" s="2" t="n">
        <v>147773</v>
      </c>
      <c r="B5260" s="2" t="s">
        <v>1308</v>
      </c>
      <c r="C5260" s="2" t="n">
        <v>3</v>
      </c>
      <c r="D5260" s="2" t="n">
        <v>2</v>
      </c>
      <c r="E5260" s="2" t="n">
        <v>2</v>
      </c>
      <c r="F5260" s="2" t="n">
        <v>78</v>
      </c>
      <c r="G5260" s="2" t="s">
        <v>4303</v>
      </c>
      <c r="H5260" s="2" t="str">
        <f aca="false">IFERROR(__xludf.dummyfunction("IF(I5318="""", """", REGEXEXTRACT(I5318, ""Padrao/([^/]+)""))"),"Nova Alianca")</f>
        <v>Nova Alianca</v>
      </c>
    </row>
    <row r="5261" customFormat="false" ht="15.75" hidden="false" customHeight="false" outlineLevel="0" collapsed="false">
      <c r="A5261" s="2" t="n">
        <v>134018</v>
      </c>
      <c r="B5261" s="2" t="s">
        <v>4304</v>
      </c>
      <c r="C5261" s="2" t="n">
        <v>3</v>
      </c>
      <c r="D5261" s="2" t="n">
        <v>3</v>
      </c>
      <c r="E5261" s="2" t="n">
        <v>2</v>
      </c>
      <c r="F5261" s="2" t="n">
        <v>86</v>
      </c>
      <c r="G5261" s="2" t="s">
        <v>4303</v>
      </c>
      <c r="H5261" s="2" t="str">
        <f aca="false">IFERROR(__xludf.dummyfunction("IF(I5319="""", """", REGEXEXTRACT(I5319, ""Padrao/([^/]+)""))"),"Quinta da Primavera")</f>
        <v>Quinta da Primavera</v>
      </c>
    </row>
    <row r="5262" customFormat="false" ht="15.75" hidden="false" customHeight="false" outlineLevel="0" collapsed="false">
      <c r="A5262" s="2" t="n">
        <v>118313</v>
      </c>
      <c r="B5262" s="2" t="s">
        <v>4305</v>
      </c>
      <c r="C5262" s="2" t="n">
        <v>3</v>
      </c>
      <c r="D5262" s="2" t="n">
        <v>3</v>
      </c>
      <c r="E5262" s="2" t="n">
        <v>2</v>
      </c>
      <c r="F5262" s="2" t="n">
        <v>110</v>
      </c>
      <c r="G5262" s="2" t="s">
        <v>4303</v>
      </c>
      <c r="H5262" s="2" t="str">
        <f aca="false">IFERROR(__xludf.dummyfunction("IF(I5320="""", """", REGEXEXTRACT(I5320, ""Padrao/([^/]+)""))"),"Jardim Paulista")</f>
        <v>Jardim Paulista</v>
      </c>
    </row>
    <row r="5263" customFormat="false" ht="15.75" hidden="false" customHeight="false" outlineLevel="0" collapsed="false">
      <c r="A5263" s="2" t="n">
        <v>84719</v>
      </c>
      <c r="B5263" s="2" t="s">
        <v>4306</v>
      </c>
      <c r="C5263" s="2" t="n">
        <v>2</v>
      </c>
      <c r="D5263" s="2" t="n">
        <v>4</v>
      </c>
      <c r="E5263" s="2" t="n">
        <v>2</v>
      </c>
      <c r="F5263" s="2" t="n">
        <v>120</v>
      </c>
      <c r="G5263" s="2" t="s">
        <v>4303</v>
      </c>
      <c r="H5263" s="2" t="str">
        <f aca="false">IFERROR(__xludf.dummyfunction("IF(I5321="""", """", REGEXEXTRACT(I5321, ""Padrao/([^/]+)""))"),"Bosque das Juritis")</f>
        <v>Bosque das Juritis</v>
      </c>
    </row>
    <row r="5264" customFormat="false" ht="15.75" hidden="false" customHeight="false" outlineLevel="0" collapsed="false">
      <c r="A5264" s="2" t="n">
        <v>53240</v>
      </c>
      <c r="B5264" s="2" t="s">
        <v>3797</v>
      </c>
      <c r="C5264" s="2" t="n">
        <v>3</v>
      </c>
      <c r="D5264" s="2" t="n">
        <v>3</v>
      </c>
      <c r="E5264" s="2" t="n">
        <v>2</v>
      </c>
      <c r="F5264" s="2" t="n">
        <v>110</v>
      </c>
      <c r="G5264" s="2" t="s">
        <v>4303</v>
      </c>
      <c r="H5264" s="2" t="str">
        <f aca="false">IFERROR(__xludf.dummyfunction("IF(I5322="""", """", REGEXEXTRACT(I5322, ""Padrao/([^/]+)""))"),"Santa Cruz do Jose Jacques")</f>
        <v>Santa Cruz do Jose Jacques</v>
      </c>
    </row>
    <row r="5265" customFormat="false" ht="15.75" hidden="false" customHeight="false" outlineLevel="0" collapsed="false">
      <c r="A5265" s="2" t="n">
        <v>178262</v>
      </c>
      <c r="B5265" s="2" t="s">
        <v>4307</v>
      </c>
      <c r="C5265" s="2" t="n">
        <v>2</v>
      </c>
      <c r="D5265" s="2" t="n">
        <v>3</v>
      </c>
      <c r="E5265" s="2" t="n">
        <v>2</v>
      </c>
      <c r="F5265" s="2" t="n">
        <v>61</v>
      </c>
      <c r="G5265" s="2" t="s">
        <v>4308</v>
      </c>
      <c r="H5265" s="2" t="str">
        <f aca="false">IFERROR(__xludf.dummyfunction("IF(I5323="""", """", REGEXEXTRACT(I5323, ""Padrao/([^/]+)""))"),"Nova Alianca")</f>
        <v>Nova Alianca</v>
      </c>
    </row>
    <row r="5266" customFormat="false" ht="15.75" hidden="false" customHeight="false" outlineLevel="0" collapsed="false">
      <c r="A5266" s="2" t="n">
        <v>243995</v>
      </c>
      <c r="B5266" s="2" t="s">
        <v>4302</v>
      </c>
      <c r="C5266" s="2" t="n">
        <v>2</v>
      </c>
      <c r="D5266" s="2" t="n">
        <v>2</v>
      </c>
      <c r="E5266" s="2" t="n">
        <v>1</v>
      </c>
      <c r="F5266" s="2" t="n">
        <v>90</v>
      </c>
      <c r="G5266" s="2" t="s">
        <v>4309</v>
      </c>
      <c r="H5266" s="2" t="str">
        <f aca="false">IFERROR(__xludf.dummyfunction("IF(I5324="""", """", REGEXEXTRACT(I5324, ""Padrao/([^/]+)""))"),"Jardim Sumare")</f>
        <v>Jardim Sumare</v>
      </c>
    </row>
    <row r="5267" customFormat="false" ht="15.75" hidden="false" customHeight="false" outlineLevel="0" collapsed="false">
      <c r="A5267" s="2" t="n">
        <v>214964</v>
      </c>
      <c r="B5267" s="2" t="s">
        <v>4150</v>
      </c>
      <c r="C5267" s="2" t="n">
        <v>2</v>
      </c>
      <c r="D5267" s="2" t="n">
        <v>2</v>
      </c>
      <c r="E5267" s="2" t="n">
        <v>2</v>
      </c>
      <c r="F5267" s="2" t="n">
        <v>69</v>
      </c>
      <c r="G5267" s="2" t="s">
        <v>4310</v>
      </c>
      <c r="H5267" s="2" t="str">
        <f aca="false">IFERROR(__xludf.dummyfunction("IF(I5325="""", """", REGEXEXTRACT(I5325, ""Padrao/([^/]+)""))"),"Jardim Olhos DAgua")</f>
        <v>Jardim Olhos DAgua</v>
      </c>
    </row>
    <row r="5268" customFormat="false" ht="15.75" hidden="false" customHeight="false" outlineLevel="0" collapsed="false">
      <c r="A5268" s="2" t="n">
        <v>178226</v>
      </c>
      <c r="B5268" s="2" t="s">
        <v>4311</v>
      </c>
      <c r="C5268" s="2" t="n">
        <v>3</v>
      </c>
      <c r="D5268" s="2" t="n">
        <v>3</v>
      </c>
      <c r="E5268" s="2" t="n">
        <v>1</v>
      </c>
      <c r="F5268" s="2" t="n">
        <v>73</v>
      </c>
      <c r="G5268" s="2" t="s">
        <v>4312</v>
      </c>
      <c r="H5268" s="2" t="str">
        <f aca="false">IFERROR(__xludf.dummyfunction("IF(I5326="""", """", REGEXEXTRACT(I5326, ""Padrao/([^/]+)""))"),"Nova Alianca")</f>
        <v>Nova Alianca</v>
      </c>
    </row>
    <row r="5269" customFormat="false" ht="15.75" hidden="false" customHeight="false" outlineLevel="0" collapsed="false">
      <c r="A5269" s="2" t="n">
        <v>239603</v>
      </c>
      <c r="B5269" s="2" t="s">
        <v>4313</v>
      </c>
      <c r="C5269" s="2" t="n">
        <v>1</v>
      </c>
      <c r="D5269" s="2" t="n">
        <v>1</v>
      </c>
      <c r="E5269" s="2" t="n">
        <v>1</v>
      </c>
      <c r="F5269" s="2" t="n">
        <v>59</v>
      </c>
      <c r="G5269" s="2" t="s">
        <v>4314</v>
      </c>
      <c r="H5269" s="2" t="str">
        <f aca="false">IFERROR(__xludf.dummyfunction("IF(I5327="""", """", REGEXEXTRACT(I5327, ""Padrao/([^/]+)""))"),"Jardim Iraja")</f>
        <v>Jardim Iraja</v>
      </c>
    </row>
    <row r="5270" customFormat="false" ht="15.75" hidden="false" customHeight="false" outlineLevel="0" collapsed="false">
      <c r="A5270" s="2" t="n">
        <v>240869</v>
      </c>
      <c r="B5270" s="2" t="s">
        <v>4083</v>
      </c>
      <c r="C5270" s="2" t="n">
        <v>3</v>
      </c>
      <c r="D5270" s="2" t="n">
        <v>2</v>
      </c>
      <c r="E5270" s="2" t="n">
        <v>2</v>
      </c>
      <c r="F5270" s="2" t="n">
        <v>95</v>
      </c>
      <c r="G5270" s="2" t="s">
        <v>4154</v>
      </c>
      <c r="H5270" s="2" t="str">
        <f aca="false">IFERROR(__xludf.dummyfunction("IF(I5328="""", """", REGEXEXTRACT(I5328, ""Padrao/([^/]+)""))"),"Campos Eliseos")</f>
        <v>Campos Eliseos</v>
      </c>
    </row>
    <row r="5271" customFormat="false" ht="15.75" hidden="false" customHeight="false" outlineLevel="0" collapsed="false">
      <c r="A5271" s="2" t="n">
        <v>65873</v>
      </c>
      <c r="B5271" s="2" t="s">
        <v>4315</v>
      </c>
      <c r="C5271" s="2" t="n">
        <v>3</v>
      </c>
      <c r="D5271" s="2" t="n">
        <v>4</v>
      </c>
      <c r="E5271" s="2" t="n">
        <v>2</v>
      </c>
      <c r="F5271" s="2" t="n">
        <v>104</v>
      </c>
      <c r="G5271" s="2" t="s">
        <v>3908</v>
      </c>
      <c r="H5271" s="2" t="str">
        <f aca="false">IFERROR(__xludf.dummyfunction("IF(I5329="""", """", REGEXEXTRACT(I5329, ""Padrao/([^/]+)""))"),"Jardim Botanico")</f>
        <v>Jardim Botanico</v>
      </c>
    </row>
    <row r="5272" customFormat="false" ht="15.75" hidden="false" customHeight="false" outlineLevel="0" collapsed="false">
      <c r="A5272" s="2" t="n">
        <v>221996</v>
      </c>
      <c r="B5272" s="2" t="s">
        <v>4316</v>
      </c>
      <c r="C5272" s="2" t="n">
        <v>3</v>
      </c>
      <c r="D5272" s="2" t="n">
        <v>5</v>
      </c>
      <c r="E5272" s="2" t="n">
        <v>2</v>
      </c>
      <c r="F5272" s="2" t="n">
        <v>144</v>
      </c>
      <c r="G5272" s="2" t="s">
        <v>1519</v>
      </c>
      <c r="H5272" s="2" t="str">
        <f aca="false">IFERROR(__xludf.dummyfunction("IF(I5330="""", """", REGEXEXTRACT(I5330, ""Padrao/([^/]+)""))"),"Condominio Itamaraty")</f>
        <v>Condominio Itamaraty</v>
      </c>
    </row>
    <row r="5273" customFormat="false" ht="15.75" hidden="false" customHeight="false" outlineLevel="0" collapsed="false">
      <c r="A5273" s="2" t="n">
        <v>244229</v>
      </c>
      <c r="B5273" s="2" t="s">
        <v>4317</v>
      </c>
      <c r="C5273" s="2" t="n">
        <v>2</v>
      </c>
      <c r="D5273" s="2" t="n">
        <v>2</v>
      </c>
      <c r="E5273" s="2" t="n">
        <v>2</v>
      </c>
      <c r="F5273" s="2" t="n">
        <v>78</v>
      </c>
      <c r="G5273" s="2" t="s">
        <v>2699</v>
      </c>
      <c r="H5273" s="2" t="str">
        <f aca="false">IFERROR(__xludf.dummyfunction("IF(I5331="""", """", REGEXEXTRACT(I5331, ""Padrao/([^/]+)""))"),"Jardim Sao Luiz")</f>
        <v>Jardim Sao Luiz</v>
      </c>
    </row>
    <row r="5274" customFormat="false" ht="15.75" hidden="false" customHeight="false" outlineLevel="0" collapsed="false">
      <c r="A5274" s="2" t="n">
        <v>240254</v>
      </c>
      <c r="B5274" s="2" t="s">
        <v>3719</v>
      </c>
      <c r="C5274" s="2" t="n">
        <v>1</v>
      </c>
      <c r="D5274" s="2" t="n">
        <v>1</v>
      </c>
      <c r="E5274" s="2" t="n">
        <v>1</v>
      </c>
      <c r="F5274" s="2" t="n">
        <v>39</v>
      </c>
      <c r="G5274" s="2" t="s">
        <v>2699</v>
      </c>
      <c r="H5274" s="2" t="str">
        <f aca="false">IFERROR(__xludf.dummyfunction("IF(I5332="""", """", REGEXEXTRACT(I5332, ""Padrao/([^/]+)""))"),"Jardim Sumare")</f>
        <v>Jardim Sumare</v>
      </c>
    </row>
    <row r="5275" customFormat="false" ht="15.75" hidden="false" customHeight="false" outlineLevel="0" collapsed="false">
      <c r="A5275" s="2" t="n">
        <v>233810</v>
      </c>
      <c r="B5275" s="2" t="s">
        <v>4318</v>
      </c>
      <c r="C5275" s="2" t="n">
        <v>2</v>
      </c>
      <c r="D5275" s="2" t="n">
        <v>3</v>
      </c>
      <c r="E5275" s="2" t="n">
        <v>1</v>
      </c>
      <c r="F5275" s="2" t="n">
        <v>90</v>
      </c>
      <c r="G5275" s="2" t="s">
        <v>2699</v>
      </c>
      <c r="H5275" s="2" t="str">
        <f aca="false">IFERROR(__xludf.dummyfunction("IF(I5333="""", """", REGEXEXTRACT(I5333, ""Padrao/([^/]+)""))"),"Nova Alianca")</f>
        <v>Nova Alianca</v>
      </c>
    </row>
    <row r="5276" customFormat="false" ht="15.75" hidden="false" customHeight="false" outlineLevel="0" collapsed="false">
      <c r="A5276" s="2" t="n">
        <v>228764</v>
      </c>
      <c r="B5276" s="2" t="s">
        <v>4301</v>
      </c>
      <c r="C5276" s="2" t="n">
        <v>2</v>
      </c>
      <c r="D5276" s="2" t="n">
        <v>3</v>
      </c>
      <c r="E5276" s="2" t="n">
        <v>2</v>
      </c>
      <c r="F5276" s="2" t="n">
        <v>81</v>
      </c>
      <c r="G5276" s="2" t="s">
        <v>2699</v>
      </c>
      <c r="H5276" s="2" t="str">
        <f aca="false">IFERROR(__xludf.dummyfunction("IF(I5334="""", """", REGEXEXTRACT(I5334, ""Padrao/([^/]+)""))"),"Nova Alianca")</f>
        <v>Nova Alianca</v>
      </c>
    </row>
    <row r="5277" customFormat="false" ht="15.75" hidden="false" customHeight="false" outlineLevel="0" collapsed="false">
      <c r="A5277" s="2" t="n">
        <v>204011</v>
      </c>
      <c r="B5277" s="2" t="s">
        <v>4319</v>
      </c>
      <c r="C5277" s="2" t="n">
        <v>3</v>
      </c>
      <c r="D5277" s="2" t="n">
        <v>5</v>
      </c>
      <c r="E5277" s="2" t="n">
        <v>2</v>
      </c>
      <c r="F5277" s="2" t="n">
        <v>150</v>
      </c>
      <c r="G5277" s="2" t="s">
        <v>2699</v>
      </c>
      <c r="H5277" s="2" t="str">
        <f aca="false">IFERROR(__xludf.dummyfunction("IF(I5335="""", """", REGEXEXTRACT(I5335, ""Padrao/([^/]+)""))"),"Centro")</f>
        <v>Centro</v>
      </c>
    </row>
    <row r="5278" customFormat="false" ht="15.75" hidden="false" customHeight="false" outlineLevel="0" collapsed="false">
      <c r="A5278" s="2" t="n">
        <v>200339</v>
      </c>
      <c r="B5278" s="2" t="s">
        <v>2727</v>
      </c>
      <c r="C5278" s="2" t="n">
        <v>2</v>
      </c>
      <c r="D5278" s="2" t="n">
        <v>2</v>
      </c>
      <c r="E5278" s="2" t="n">
        <v>1</v>
      </c>
      <c r="F5278" s="2" t="n">
        <v>64</v>
      </c>
      <c r="G5278" s="2" t="s">
        <v>2699</v>
      </c>
      <c r="H5278" s="2" t="str">
        <f aca="false">IFERROR(__xludf.dummyfunction("IF(I5336="""", """", REGEXEXTRACT(I5336, ""Padrao/([^/]+)""))"),"Quinta da Primavera")</f>
        <v>Quinta da Primavera</v>
      </c>
    </row>
    <row r="5279" customFormat="false" ht="15.75" hidden="false" customHeight="false" outlineLevel="0" collapsed="false">
      <c r="A5279" s="2" t="n">
        <v>111536</v>
      </c>
      <c r="B5279" s="2" t="s">
        <v>4320</v>
      </c>
      <c r="C5279" s="2" t="n">
        <v>3</v>
      </c>
      <c r="D5279" s="2" t="n">
        <v>2</v>
      </c>
      <c r="E5279" s="2" t="n">
        <v>1</v>
      </c>
      <c r="F5279" s="2" t="n">
        <v>138</v>
      </c>
      <c r="G5279" s="2" t="s">
        <v>2699</v>
      </c>
      <c r="H5279" s="2" t="str">
        <f aca="false">IFERROR(__xludf.dummyfunction("IF(I5337="""", """", REGEXEXTRACT(I5337, ""Padrao/([^/]+)""))"),"Vila Seixas")</f>
        <v>Vila Seixas</v>
      </c>
    </row>
    <row r="5280" customFormat="false" ht="15.75" hidden="false" customHeight="false" outlineLevel="0" collapsed="false">
      <c r="A5280" s="2" t="n">
        <v>108971</v>
      </c>
      <c r="B5280" s="2" t="s">
        <v>162</v>
      </c>
      <c r="C5280" s="2" t="n">
        <v>2</v>
      </c>
      <c r="D5280" s="2" t="n">
        <v>3</v>
      </c>
      <c r="E5280" s="2" t="n">
        <v>2</v>
      </c>
      <c r="F5280" s="2" t="n">
        <v>81</v>
      </c>
      <c r="G5280" s="2" t="s">
        <v>2699</v>
      </c>
      <c r="H5280" s="2" t="str">
        <f aca="false">IFERROR(__xludf.dummyfunction("IF(I5338="""", """", REGEXEXTRACT(I5338, ""Padrao/([^/]+)""))"),"Vila Ana Maria")</f>
        <v>Vila Ana Maria</v>
      </c>
    </row>
    <row r="5281" customFormat="false" ht="15.75" hidden="false" customHeight="false" outlineLevel="0" collapsed="false">
      <c r="A5281" s="2" t="n">
        <v>95540</v>
      </c>
      <c r="B5281" s="2" t="s">
        <v>4321</v>
      </c>
      <c r="C5281" s="2" t="n">
        <v>3</v>
      </c>
      <c r="D5281" s="2" t="n">
        <v>4</v>
      </c>
      <c r="E5281" s="2" t="n">
        <v>3</v>
      </c>
      <c r="F5281" s="2" t="n">
        <v>114</v>
      </c>
      <c r="G5281" s="2" t="s">
        <v>2699</v>
      </c>
      <c r="H5281" s="2" t="str">
        <f aca="false">IFERROR(__xludf.dummyfunction("IF(I5339="""", """", REGEXEXTRACT(I5339, ""Padrao/([^/]+)""))"),"Nova Alianca")</f>
        <v>Nova Alianca</v>
      </c>
    </row>
    <row r="5282" customFormat="false" ht="15.75" hidden="false" customHeight="false" outlineLevel="0" collapsed="false">
      <c r="A5282" s="2" t="n">
        <v>91520</v>
      </c>
      <c r="B5282" s="2" t="s">
        <v>162</v>
      </c>
      <c r="C5282" s="2" t="n">
        <v>2</v>
      </c>
      <c r="D5282" s="2" t="n">
        <v>2</v>
      </c>
      <c r="E5282" s="2" t="n">
        <v>1</v>
      </c>
      <c r="F5282" s="2" t="n">
        <v>95</v>
      </c>
      <c r="G5282" s="2" t="s">
        <v>2699</v>
      </c>
      <c r="H5282" s="2" t="str">
        <f aca="false">IFERROR(__xludf.dummyfunction("IF(I5340="""", """", REGEXEXTRACT(I5340, ""Padrao/([^/]+)""))"),"Centro")</f>
        <v>Centro</v>
      </c>
    </row>
    <row r="5283" customFormat="false" ht="15.75" hidden="false" customHeight="false" outlineLevel="0" collapsed="false">
      <c r="A5283" s="2" t="n">
        <v>91166</v>
      </c>
      <c r="B5283" s="2" t="s">
        <v>4322</v>
      </c>
      <c r="C5283" s="2" t="n">
        <v>3</v>
      </c>
      <c r="D5283" s="2" t="n">
        <v>5</v>
      </c>
      <c r="E5283" s="2" t="n">
        <v>2</v>
      </c>
      <c r="F5283" s="2" t="n">
        <v>150</v>
      </c>
      <c r="G5283" s="2" t="s">
        <v>2699</v>
      </c>
      <c r="H5283" s="2" t="str">
        <f aca="false">IFERROR(__xludf.dummyfunction("IF(I5341="""", """", REGEXEXTRACT(I5341, ""Padrao/([^/]+)""))"),"Centro")</f>
        <v>Centro</v>
      </c>
    </row>
    <row r="5284" customFormat="false" ht="15.75" hidden="false" customHeight="false" outlineLevel="0" collapsed="false">
      <c r="A5284" s="2" t="n">
        <v>222266</v>
      </c>
      <c r="B5284" s="2" t="s">
        <v>4323</v>
      </c>
      <c r="C5284" s="2" t="n">
        <v>3</v>
      </c>
      <c r="D5284" s="2" t="n">
        <v>4</v>
      </c>
      <c r="E5284" s="2" t="n">
        <v>2</v>
      </c>
      <c r="F5284" s="2" t="n">
        <v>109</v>
      </c>
      <c r="G5284" s="2" t="s">
        <v>4324</v>
      </c>
      <c r="H5284" s="2" t="str">
        <f aca="false">IFERROR(__xludf.dummyfunction("IF(I5342="""", """", REGEXEXTRACT(I5342, ""Padrao/([^/]+)""))"),"Jardim Botanico")</f>
        <v>Jardim Botanico</v>
      </c>
    </row>
    <row r="5285" customFormat="false" ht="15.75" hidden="false" customHeight="false" outlineLevel="0" collapsed="false">
      <c r="A5285" s="2" t="n">
        <v>214505</v>
      </c>
      <c r="B5285" s="2" t="s">
        <v>4325</v>
      </c>
      <c r="C5285" s="2" t="n">
        <v>3</v>
      </c>
      <c r="D5285" s="2" t="n">
        <v>2</v>
      </c>
      <c r="E5285" s="2" t="n">
        <v>2</v>
      </c>
      <c r="F5285" s="2" t="n">
        <v>161</v>
      </c>
      <c r="G5285" s="2" t="s">
        <v>4326</v>
      </c>
      <c r="H5285" s="2" t="str">
        <f aca="false">IFERROR(__xludf.dummyfunction("IF(I5343="""", """", REGEXEXTRACT(I5343, ""Padrao/([^/]+)""))"),"Ribeirania")</f>
        <v>Ribeirania</v>
      </c>
    </row>
    <row r="5286" customFormat="false" ht="15.75" hidden="false" customHeight="false" outlineLevel="0" collapsed="false">
      <c r="A5286" s="2" t="n">
        <v>210974</v>
      </c>
      <c r="B5286" s="2" t="s">
        <v>4327</v>
      </c>
      <c r="C5286" s="2" t="n">
        <v>2</v>
      </c>
      <c r="D5286" s="2" t="n">
        <v>3</v>
      </c>
      <c r="E5286" s="2" t="n">
        <v>2</v>
      </c>
      <c r="F5286" s="2" t="n">
        <v>85</v>
      </c>
      <c r="G5286" s="2" t="s">
        <v>4328</v>
      </c>
      <c r="H5286" s="2" t="str">
        <f aca="false">IFERROR(__xludf.dummyfunction("IF(I5344="""", """", REGEXEXTRACT(I5344, ""Padrao/([^/]+)""))"),"Vila do Golf")</f>
        <v>Vila do Golf</v>
      </c>
    </row>
    <row r="5287" customFormat="false" ht="15.75" hidden="false" customHeight="false" outlineLevel="0" collapsed="false">
      <c r="A5287" s="2" t="n">
        <v>216476</v>
      </c>
      <c r="B5287" s="2" t="s">
        <v>4329</v>
      </c>
      <c r="C5287" s="2" t="n">
        <v>2</v>
      </c>
      <c r="D5287" s="2" t="n">
        <v>2</v>
      </c>
      <c r="E5287" s="2" t="n">
        <v>1</v>
      </c>
      <c r="F5287" s="2" t="n">
        <v>66</v>
      </c>
      <c r="G5287" s="2" t="s">
        <v>4330</v>
      </c>
      <c r="H5287" s="2" t="str">
        <f aca="false">IFERROR(__xludf.dummyfunction("IF(I5345="""", """", REGEXEXTRACT(I5345, ""Padrao/([^/]+)""))"),"Condominio Itamaraty")</f>
        <v>Condominio Itamaraty</v>
      </c>
    </row>
    <row r="5288" customFormat="false" ht="15.75" hidden="false" customHeight="false" outlineLevel="0" collapsed="false">
      <c r="A5288" s="2" t="n">
        <v>240374</v>
      </c>
      <c r="B5288" s="2" t="s">
        <v>4331</v>
      </c>
      <c r="C5288" s="2" t="n">
        <v>3</v>
      </c>
      <c r="D5288" s="2" t="n">
        <v>3</v>
      </c>
      <c r="E5288" s="2" t="n">
        <v>3</v>
      </c>
      <c r="F5288" s="2" t="n">
        <v>112</v>
      </c>
      <c r="G5288" s="2" t="s">
        <v>2689</v>
      </c>
      <c r="H5288" s="2" t="str">
        <f aca="false">IFERROR(__xludf.dummyfunction("IF(I5346="""", """", REGEXEXTRACT(I5346, ""Padrao/([^/]+)""))"),"Santa Cruz do Jose Jacques")</f>
        <v>Santa Cruz do Jose Jacques</v>
      </c>
    </row>
    <row r="5289" customFormat="false" ht="15.75" hidden="false" customHeight="false" outlineLevel="0" collapsed="false">
      <c r="A5289" s="2" t="n">
        <v>148814</v>
      </c>
      <c r="B5289" s="2" t="s">
        <v>4332</v>
      </c>
      <c r="C5289" s="2" t="n">
        <v>3</v>
      </c>
      <c r="D5289" s="2" t="n">
        <v>3</v>
      </c>
      <c r="E5289" s="2" t="n">
        <v>4</v>
      </c>
      <c r="F5289" s="2" t="n">
        <v>142</v>
      </c>
      <c r="G5289" s="2" t="s">
        <v>2689</v>
      </c>
      <c r="H5289" s="2" t="str">
        <f aca="false">IFERROR(__xludf.dummyfunction("IF(I5347="""", """", REGEXEXTRACT(I5347, ""Padrao/([^/]+)""))"),"Jardim Sumare")</f>
        <v>Jardim Sumare</v>
      </c>
    </row>
    <row r="5290" customFormat="false" ht="15.75" hidden="false" customHeight="false" outlineLevel="0" collapsed="false">
      <c r="A5290" s="2" t="n">
        <v>92465</v>
      </c>
      <c r="B5290" s="2" t="s">
        <v>4333</v>
      </c>
      <c r="C5290" s="2" t="n">
        <v>4</v>
      </c>
      <c r="D5290" s="2" t="n">
        <v>2</v>
      </c>
      <c r="E5290" s="2" t="n">
        <v>2</v>
      </c>
      <c r="F5290" s="2" t="n">
        <v>171</v>
      </c>
      <c r="G5290" s="2" t="s">
        <v>2689</v>
      </c>
      <c r="H5290" s="2" t="str">
        <f aca="false">IFERROR(__xludf.dummyfunction("IF(I5348="""", """", REGEXEXTRACT(I5348, ""Padrao/([^/]+)""))"),"Centro")</f>
        <v>Centro</v>
      </c>
    </row>
    <row r="5291" customFormat="false" ht="15.75" hidden="false" customHeight="false" outlineLevel="0" collapsed="false">
      <c r="A5291" s="2" t="n">
        <v>212909</v>
      </c>
      <c r="B5291" s="2" t="s">
        <v>704</v>
      </c>
      <c r="C5291" s="2" t="n">
        <v>2</v>
      </c>
      <c r="D5291" s="2" t="n">
        <v>1</v>
      </c>
      <c r="E5291" s="2" t="n">
        <v>1</v>
      </c>
      <c r="F5291" s="2" t="n">
        <v>42</v>
      </c>
      <c r="G5291" s="2" t="s">
        <v>4334</v>
      </c>
      <c r="H5291" s="2" t="str">
        <f aca="false">IFERROR(__xludf.dummyfunction("IF(I5349="""", """", REGEXEXTRACT(I5349, ""Padrao/([^/]+)""))"),"Nova Alianca")</f>
        <v>Nova Alianca</v>
      </c>
    </row>
    <row r="5292" customFormat="false" ht="15.75" hidden="false" customHeight="false" outlineLevel="0" collapsed="false">
      <c r="A5292" s="2" t="n">
        <v>231641</v>
      </c>
      <c r="B5292" s="2" t="s">
        <v>3488</v>
      </c>
      <c r="C5292" s="2" t="n">
        <v>2</v>
      </c>
      <c r="D5292" s="2" t="n">
        <v>3</v>
      </c>
      <c r="E5292" s="2" t="n">
        <v>1</v>
      </c>
      <c r="F5292" s="2" t="n">
        <v>60</v>
      </c>
      <c r="G5292" s="2" t="s">
        <v>1471</v>
      </c>
      <c r="H5292" s="2" t="str">
        <f aca="false">IFERROR(__xludf.dummyfunction("IF(I5350="""", """", REGEXEXTRACT(I5350, ""Padrao/([^/]+)""))"),"Residencial Taiwan")</f>
        <v>Residencial Taiwan</v>
      </c>
    </row>
    <row r="5293" customFormat="false" ht="15.75" hidden="false" customHeight="false" outlineLevel="0" collapsed="false">
      <c r="A5293" s="2" t="n">
        <v>231638</v>
      </c>
      <c r="B5293" s="2" t="s">
        <v>3488</v>
      </c>
      <c r="C5293" s="2" t="n">
        <v>2</v>
      </c>
      <c r="D5293" s="2" t="n">
        <v>3</v>
      </c>
      <c r="E5293" s="2" t="n">
        <v>1</v>
      </c>
      <c r="F5293" s="2" t="n">
        <v>60</v>
      </c>
      <c r="G5293" s="2" t="s">
        <v>1471</v>
      </c>
      <c r="H5293" s="2" t="str">
        <f aca="false">IFERROR(__xludf.dummyfunction("IF(I5351="""", """", REGEXEXTRACT(I5351, ""Padrao/([^/]+)""))"),"Residencial Taiwan")</f>
        <v>Residencial Taiwan</v>
      </c>
    </row>
    <row r="5294" customFormat="false" ht="15.75" hidden="false" customHeight="false" outlineLevel="0" collapsed="false">
      <c r="A5294" s="2" t="n">
        <v>193358</v>
      </c>
      <c r="B5294" s="2" t="s">
        <v>4335</v>
      </c>
      <c r="C5294" s="2" t="n">
        <v>3</v>
      </c>
      <c r="D5294" s="2" t="n">
        <v>2</v>
      </c>
      <c r="E5294" s="2" t="n">
        <v>2</v>
      </c>
      <c r="F5294" s="2" t="n">
        <v>140</v>
      </c>
      <c r="G5294" s="2" t="s">
        <v>1519</v>
      </c>
      <c r="H5294" s="2" t="str">
        <f aca="false">IFERROR(__xludf.dummyfunction("IF(I5352="""", """", REGEXEXTRACT(I5352, ""Padrao/([^/]+)""))"),"Nova Alianca")</f>
        <v>Nova Alianca</v>
      </c>
    </row>
    <row r="5295" customFormat="false" ht="15.75" hidden="false" customHeight="false" outlineLevel="0" collapsed="false">
      <c r="A5295" s="2" t="n">
        <v>170342</v>
      </c>
      <c r="B5295" s="2" t="s">
        <v>4336</v>
      </c>
      <c r="C5295" s="2" t="n">
        <v>3</v>
      </c>
      <c r="D5295" s="2" t="n">
        <v>2</v>
      </c>
      <c r="E5295" s="2" t="n">
        <v>2</v>
      </c>
      <c r="F5295" s="2" t="n">
        <v>95</v>
      </c>
      <c r="G5295" s="2" t="s">
        <v>2699</v>
      </c>
      <c r="H5295" s="2" t="str">
        <f aca="false">IFERROR(__xludf.dummyfunction("IF(I5353="""", """", REGEXEXTRACT(I5353, ""Padrao/([^/]+)""))"),"Campos Eliseos")</f>
        <v>Campos Eliseos</v>
      </c>
    </row>
    <row r="5296" customFormat="false" ht="15.75" hidden="false" customHeight="false" outlineLevel="0" collapsed="false">
      <c r="A5296" s="2" t="n">
        <v>240386</v>
      </c>
      <c r="B5296" s="2" t="s">
        <v>4337</v>
      </c>
      <c r="C5296" s="2" t="n">
        <v>2</v>
      </c>
      <c r="D5296" s="2" t="n">
        <v>2</v>
      </c>
      <c r="E5296" s="2" t="n">
        <v>2</v>
      </c>
      <c r="F5296" s="2" t="n">
        <v>89</v>
      </c>
      <c r="G5296" s="2" t="s">
        <v>2728</v>
      </c>
      <c r="H5296" s="2" t="str">
        <f aca="false">IFERROR(__xludf.dummyfunction("IF(I5354="""", """", REGEXEXTRACT(I5354, ""Padrao/([^/]+)""))"),"Bosque das Juritis")</f>
        <v>Bosque das Juritis</v>
      </c>
    </row>
    <row r="5297" customFormat="false" ht="15.75" hidden="false" customHeight="false" outlineLevel="0" collapsed="false">
      <c r="A5297" s="2" t="n">
        <v>198227</v>
      </c>
      <c r="B5297" s="2" t="s">
        <v>602</v>
      </c>
      <c r="C5297" s="2" t="n">
        <v>4</v>
      </c>
      <c r="D5297" s="2" t="n">
        <v>4</v>
      </c>
      <c r="E5297" s="2" t="n">
        <v>2</v>
      </c>
      <c r="F5297" s="2" t="n">
        <v>232</v>
      </c>
      <c r="G5297" s="2" t="s">
        <v>2728</v>
      </c>
      <c r="H5297" s="2" t="str">
        <f aca="false">IFERROR(__xludf.dummyfunction("IF(I5355="""", """", REGEXEXTRACT(I5355, ""Padrao/([^/]+)""))"),"Centro")</f>
        <v>Centro</v>
      </c>
    </row>
    <row r="5298" customFormat="false" ht="15.75" hidden="false" customHeight="false" outlineLevel="0" collapsed="false">
      <c r="A5298" s="2" t="n">
        <v>185987</v>
      </c>
      <c r="B5298" s="2" t="s">
        <v>1671</v>
      </c>
      <c r="C5298" s="2" t="n">
        <v>4</v>
      </c>
      <c r="D5298" s="2" t="n">
        <v>4</v>
      </c>
      <c r="E5298" s="2" t="n">
        <v>1</v>
      </c>
      <c r="F5298" s="2" t="n">
        <v>200</v>
      </c>
      <c r="G5298" s="2" t="s">
        <v>2728</v>
      </c>
      <c r="H5298" s="2" t="str">
        <f aca="false">IFERROR(__xludf.dummyfunction("IF(I5356="""", """", REGEXEXTRACT(I5356, ""Padrao/([^/]+)""))"),"Centro")</f>
        <v>Centro</v>
      </c>
    </row>
    <row r="5299" customFormat="false" ht="15.75" hidden="false" customHeight="false" outlineLevel="0" collapsed="false">
      <c r="A5299" s="2" t="n">
        <v>172889</v>
      </c>
      <c r="B5299" s="2" t="s">
        <v>2000</v>
      </c>
      <c r="C5299" s="2" t="n">
        <v>3</v>
      </c>
      <c r="D5299" s="2" t="n">
        <v>3</v>
      </c>
      <c r="E5299" s="2" t="n">
        <v>2</v>
      </c>
      <c r="F5299" s="2" t="n">
        <v>115</v>
      </c>
      <c r="G5299" s="2" t="s">
        <v>2728</v>
      </c>
      <c r="H5299" s="2" t="str">
        <f aca="false">IFERROR(__xludf.dummyfunction("IF(I5357="""", """", REGEXEXTRACT(I5357, ""Padrao/([^/]+)""))"),"Jardim Botanico")</f>
        <v>Jardim Botanico</v>
      </c>
    </row>
    <row r="5300" customFormat="false" ht="15.75" hidden="false" customHeight="false" outlineLevel="0" collapsed="false">
      <c r="A5300" s="2" t="n">
        <v>167774</v>
      </c>
      <c r="B5300" s="2" t="s">
        <v>4338</v>
      </c>
      <c r="C5300" s="2" t="n">
        <v>4</v>
      </c>
      <c r="D5300" s="2" t="n">
        <v>4</v>
      </c>
      <c r="E5300" s="2" t="n">
        <v>2</v>
      </c>
      <c r="F5300" s="2" t="n">
        <v>173</v>
      </c>
      <c r="G5300" s="2" t="s">
        <v>2728</v>
      </c>
      <c r="H5300" s="2" t="str">
        <f aca="false">IFERROR(__xludf.dummyfunction("IF(I5358="""", """", REGEXEXTRACT(I5358, ""Padrao/([^/]+)""))"),"Centro")</f>
        <v>Centro</v>
      </c>
    </row>
    <row r="5301" customFormat="false" ht="15.75" hidden="false" customHeight="false" outlineLevel="0" collapsed="false">
      <c r="A5301" s="2" t="n">
        <v>167018</v>
      </c>
      <c r="B5301" s="2" t="s">
        <v>4339</v>
      </c>
      <c r="C5301" s="2" t="n">
        <v>4</v>
      </c>
      <c r="D5301" s="2" t="n">
        <v>3</v>
      </c>
      <c r="E5301" s="2" t="n">
        <v>2</v>
      </c>
      <c r="F5301" s="2" t="n">
        <v>101</v>
      </c>
      <c r="G5301" s="2" t="s">
        <v>2728</v>
      </c>
      <c r="H5301" s="2" t="str">
        <f aca="false">IFERROR(__xludf.dummyfunction("IF(I5359="""", """", REGEXEXTRACT(I5359, ""Padrao/([^/]+)""))"),"Nova Alianca")</f>
        <v>Nova Alianca</v>
      </c>
    </row>
    <row r="5302" customFormat="false" ht="15.75" hidden="false" customHeight="false" outlineLevel="0" collapsed="false">
      <c r="A5302" s="2" t="n">
        <v>165512</v>
      </c>
      <c r="B5302" s="2" t="s">
        <v>1312</v>
      </c>
      <c r="C5302" s="2" t="n">
        <v>3</v>
      </c>
      <c r="D5302" s="2" t="n">
        <v>3</v>
      </c>
      <c r="E5302" s="2" t="n">
        <v>2</v>
      </c>
      <c r="F5302" s="2" t="n">
        <v>127</v>
      </c>
      <c r="G5302" s="2" t="s">
        <v>2728</v>
      </c>
      <c r="H5302" s="2" t="str">
        <f aca="false">IFERROR(__xludf.dummyfunction("IF(I5360="""", """", REGEXEXTRACT(I5360, ""Padrao/([^/]+)""))"),"Jardim Iraja")</f>
        <v>Jardim Iraja</v>
      </c>
    </row>
    <row r="5303" customFormat="false" ht="15.75" hidden="false" customHeight="false" outlineLevel="0" collapsed="false">
      <c r="A5303" s="2" t="n">
        <v>117428</v>
      </c>
      <c r="B5303" s="2" t="s">
        <v>4340</v>
      </c>
      <c r="C5303" s="2" t="n">
        <v>3</v>
      </c>
      <c r="D5303" s="2" t="n">
        <v>3</v>
      </c>
      <c r="E5303" s="2" t="n">
        <v>2</v>
      </c>
      <c r="F5303" s="2" t="n">
        <v>112</v>
      </c>
      <c r="G5303" s="2" t="s">
        <v>2728</v>
      </c>
      <c r="H5303" s="2" t="str">
        <f aca="false">IFERROR(__xludf.dummyfunction("IF(I5361="""", """", REGEXEXTRACT(I5361, ""Padrao/([^/]+)""))"),"Nova Alianca")</f>
        <v>Nova Alianca</v>
      </c>
    </row>
    <row r="5304" customFormat="false" ht="15.75" hidden="false" customHeight="false" outlineLevel="0" collapsed="false">
      <c r="A5304" s="2" t="n">
        <v>113174</v>
      </c>
      <c r="B5304" s="2" t="s">
        <v>847</v>
      </c>
      <c r="C5304" s="2" t="n">
        <v>2</v>
      </c>
      <c r="D5304" s="2" t="n">
        <v>3</v>
      </c>
      <c r="E5304" s="2" t="n">
        <v>2</v>
      </c>
      <c r="F5304" s="2" t="n">
        <v>89</v>
      </c>
      <c r="G5304" s="2" t="s">
        <v>2728</v>
      </c>
      <c r="H5304" s="2" t="str">
        <f aca="false">IFERROR(__xludf.dummyfunction("IF(I5362="""", """", REGEXEXTRACT(I5362, ""Padrao/([^/]+)""))"),"Jardim Paulista")</f>
        <v>Jardim Paulista</v>
      </c>
    </row>
    <row r="5305" customFormat="false" ht="15.75" hidden="false" customHeight="false" outlineLevel="0" collapsed="false">
      <c r="A5305" s="2" t="n">
        <v>94547</v>
      </c>
      <c r="B5305" s="2" t="s">
        <v>4341</v>
      </c>
      <c r="C5305" s="2" t="n">
        <v>2</v>
      </c>
      <c r="D5305" s="2" t="n">
        <v>2</v>
      </c>
      <c r="E5305" s="2" t="n">
        <v>1</v>
      </c>
      <c r="F5305" s="2" t="n">
        <v>69</v>
      </c>
      <c r="G5305" s="2" t="s">
        <v>2728</v>
      </c>
      <c r="H5305" s="2" t="str">
        <f aca="false">IFERROR(__xludf.dummyfunction("IF(I5363="""", """", REGEXEXTRACT(I5363, ""Padrao/([^/]+)""))"),"Vila Tiberio")</f>
        <v>Vila Tiberio</v>
      </c>
    </row>
    <row r="5306" customFormat="false" ht="15.75" hidden="false" customHeight="false" outlineLevel="0" collapsed="false">
      <c r="A5306" s="2" t="n">
        <v>49688</v>
      </c>
      <c r="B5306" s="2" t="s">
        <v>4342</v>
      </c>
      <c r="C5306" s="2" t="n">
        <v>3</v>
      </c>
      <c r="D5306" s="2" t="n">
        <v>3</v>
      </c>
      <c r="E5306" s="2" t="n">
        <v>1</v>
      </c>
      <c r="F5306" s="2" t="n">
        <v>221</v>
      </c>
      <c r="G5306" s="2" t="s">
        <v>2728</v>
      </c>
      <c r="H5306" s="2" t="str">
        <f aca="false">IFERROR(__xludf.dummyfunction("IF(I5364="""", """", REGEXEXTRACT(I5364, ""Padrao/([^/]+)""))"),"Higienopolis")</f>
        <v>Higienopolis</v>
      </c>
    </row>
    <row r="5307" customFormat="false" ht="15.75" hidden="false" customHeight="false" outlineLevel="0" collapsed="false">
      <c r="A5307" s="2" t="n">
        <v>169799</v>
      </c>
      <c r="B5307" s="2" t="s">
        <v>1518</v>
      </c>
      <c r="C5307" s="2" t="n">
        <v>3</v>
      </c>
      <c r="D5307" s="2" t="n">
        <v>2</v>
      </c>
      <c r="E5307" s="2" t="n">
        <v>2</v>
      </c>
      <c r="F5307" s="2" t="n">
        <v>173</v>
      </c>
      <c r="G5307" s="2" t="s">
        <v>4343</v>
      </c>
      <c r="H5307" s="2" t="str">
        <f aca="false">IFERROR(__xludf.dummyfunction("IF(I5365="""", """", REGEXEXTRACT(I5365, ""Padrao/([^/]+)""))"),"Centro")</f>
        <v>Centro</v>
      </c>
    </row>
    <row r="5308" customFormat="false" ht="15.75" hidden="false" customHeight="false" outlineLevel="0" collapsed="false">
      <c r="A5308" s="2" t="n">
        <v>196001</v>
      </c>
      <c r="B5308" s="2" t="s">
        <v>4344</v>
      </c>
      <c r="C5308" s="2" t="n">
        <v>3</v>
      </c>
      <c r="D5308" s="2" t="n">
        <v>3</v>
      </c>
      <c r="E5308" s="2" t="n">
        <v>1</v>
      </c>
      <c r="F5308" s="2" t="n">
        <v>83</v>
      </c>
      <c r="G5308" s="2" t="s">
        <v>4345</v>
      </c>
      <c r="H5308" s="2" t="str">
        <f aca="false">IFERROR(__xludf.dummyfunction("IF(I5366="""", """", REGEXEXTRACT(I5366, ""Padrao/([^/]+)""))"),"Jardim Botanico")</f>
        <v>Jardim Botanico</v>
      </c>
    </row>
    <row r="5309" customFormat="false" ht="15.75" hidden="false" customHeight="false" outlineLevel="0" collapsed="false">
      <c r="A5309" s="2" t="n">
        <v>234392</v>
      </c>
      <c r="B5309" s="2" t="s">
        <v>4346</v>
      </c>
      <c r="C5309" s="2" t="n">
        <v>3</v>
      </c>
      <c r="D5309" s="2" t="n">
        <v>3</v>
      </c>
      <c r="E5309" s="2" t="n">
        <v>2</v>
      </c>
      <c r="F5309" s="2" t="n">
        <v>93</v>
      </c>
      <c r="G5309" s="2" t="s">
        <v>4347</v>
      </c>
      <c r="H5309" s="2" t="str">
        <f aca="false">IFERROR(__xludf.dummyfunction("IF(I5367="""", """", REGEXEXTRACT(I5367, ""Padrao/([^/]+)""))"),"Ribeirania")</f>
        <v>Ribeirania</v>
      </c>
    </row>
    <row r="5310" customFormat="false" ht="15.75" hidden="false" customHeight="false" outlineLevel="0" collapsed="false">
      <c r="A5310" s="2" t="n">
        <v>87551</v>
      </c>
      <c r="B5310" s="2" t="s">
        <v>2000</v>
      </c>
      <c r="C5310" s="2" t="n">
        <v>3</v>
      </c>
      <c r="D5310" s="2" t="n">
        <v>2</v>
      </c>
      <c r="E5310" s="2" t="n">
        <v>2</v>
      </c>
      <c r="F5310" s="2" t="n">
        <v>75</v>
      </c>
      <c r="G5310" s="2" t="s">
        <v>4347</v>
      </c>
      <c r="H5310" s="2" t="str">
        <f aca="false">IFERROR(__xludf.dummyfunction("IF(I5368="""", """", REGEXEXTRACT(I5368, ""Padrao/([^/]+)""))"),"Jardim Botanico")</f>
        <v>Jardim Botanico</v>
      </c>
    </row>
    <row r="5311" customFormat="false" ht="15.75" hidden="false" customHeight="false" outlineLevel="0" collapsed="false">
      <c r="A5311" s="2" t="n">
        <v>109001</v>
      </c>
      <c r="B5311" s="2" t="s">
        <v>162</v>
      </c>
      <c r="C5311" s="2" t="n">
        <v>2</v>
      </c>
      <c r="D5311" s="2" t="n">
        <v>3</v>
      </c>
      <c r="E5311" s="2" t="n">
        <v>2</v>
      </c>
      <c r="F5311" s="2" t="n">
        <v>81</v>
      </c>
      <c r="G5311" s="2" t="s">
        <v>4348</v>
      </c>
      <c r="H5311" s="2" t="str">
        <f aca="false">IFERROR(__xludf.dummyfunction("IF(I5369="""", """", REGEXEXTRACT(I5369, ""Padrao/([^/]+)""))"),"Vila Ana Maria")</f>
        <v>Vila Ana Maria</v>
      </c>
    </row>
    <row r="5312" customFormat="false" ht="15.75" hidden="false" customHeight="false" outlineLevel="0" collapsed="false">
      <c r="A5312" s="2" t="n">
        <v>235532</v>
      </c>
      <c r="B5312" s="2" t="s">
        <v>4349</v>
      </c>
      <c r="C5312" s="2" t="n">
        <v>3</v>
      </c>
      <c r="D5312" s="2" t="n">
        <v>5</v>
      </c>
      <c r="E5312" s="2" t="n">
        <v>2</v>
      </c>
      <c r="F5312" s="2" t="n">
        <v>134</v>
      </c>
      <c r="G5312" s="2" t="s">
        <v>4350</v>
      </c>
      <c r="H5312" s="2" t="str">
        <f aca="false">IFERROR(__xludf.dummyfunction("IF(I5370="""", """", REGEXEXTRACT(I5370, ""Padrao/([^/]+)""))"),"Jardim Olhos DAgua")</f>
        <v>Jardim Olhos DAgua</v>
      </c>
    </row>
    <row r="5313" customFormat="false" ht="15.75" hidden="false" customHeight="false" outlineLevel="0" collapsed="false">
      <c r="A5313" s="2" t="n">
        <v>120845</v>
      </c>
      <c r="B5313" s="2" t="s">
        <v>4351</v>
      </c>
      <c r="C5313" s="2" t="n">
        <v>3</v>
      </c>
      <c r="D5313" s="2" t="n">
        <v>5</v>
      </c>
      <c r="E5313" s="2" t="n">
        <v>3</v>
      </c>
      <c r="F5313" s="2" t="n">
        <v>160</v>
      </c>
      <c r="G5313" s="2" t="s">
        <v>157</v>
      </c>
      <c r="H5313" s="2" t="str">
        <f aca="false">IFERROR(__xludf.dummyfunction("IF(I5371="""", """", REGEXEXTRACT(I5371, ""Padrao/([^/]+)""))"),"Bosque das Juritis")</f>
        <v>Bosque das Juritis</v>
      </c>
    </row>
    <row r="5314" customFormat="false" ht="15.75" hidden="false" customHeight="false" outlineLevel="0" collapsed="false">
      <c r="A5314" s="2" t="n">
        <v>215360</v>
      </c>
      <c r="B5314" s="2" t="s">
        <v>4352</v>
      </c>
      <c r="C5314" s="2" t="n">
        <v>3</v>
      </c>
      <c r="D5314" s="2" t="n">
        <v>6</v>
      </c>
      <c r="E5314" s="2" t="n">
        <v>3</v>
      </c>
      <c r="F5314" s="2" t="n">
        <v>153</v>
      </c>
      <c r="G5314" s="2" t="s">
        <v>238</v>
      </c>
      <c r="H5314" s="2" t="str">
        <f aca="false">IFERROR(__xludf.dummyfunction("IF(I5372="""", """", REGEXEXTRACT(I5372, ""Padrao/([^/]+)""))"),"Jardim Olhos DAgua")</f>
        <v>Jardim Olhos DAgua</v>
      </c>
    </row>
    <row r="5315" customFormat="false" ht="15.75" hidden="false" customHeight="false" outlineLevel="0" collapsed="false">
      <c r="A5315" s="2" t="n">
        <v>168203</v>
      </c>
      <c r="B5315" s="2" t="s">
        <v>4353</v>
      </c>
      <c r="C5315" s="2" t="n">
        <v>3</v>
      </c>
      <c r="D5315" s="2" t="n">
        <v>4</v>
      </c>
      <c r="E5315" s="2" t="n">
        <v>3</v>
      </c>
      <c r="F5315" s="2" t="n">
        <v>124</v>
      </c>
      <c r="G5315" s="2" t="s">
        <v>213</v>
      </c>
      <c r="H5315" s="2" t="str">
        <f aca="false">IFERROR(__xludf.dummyfunction("IF(I5373="""", """", REGEXEXTRACT(I5373, ""Padrao/([^/]+)""))"),"Bonfim Paulista")</f>
        <v>Bonfim Paulista</v>
      </c>
    </row>
    <row r="5316" customFormat="false" ht="15.75" hidden="false" customHeight="false" outlineLevel="0" collapsed="false">
      <c r="A5316" s="2" t="n">
        <v>239069</v>
      </c>
      <c r="B5316" s="2" t="s">
        <v>4354</v>
      </c>
      <c r="C5316" s="2" t="n">
        <v>3</v>
      </c>
      <c r="D5316" s="2" t="n">
        <v>5</v>
      </c>
      <c r="E5316" s="2" t="n">
        <v>3</v>
      </c>
      <c r="F5316" s="2" t="n">
        <v>186</v>
      </c>
      <c r="G5316" s="2" t="s">
        <v>277</v>
      </c>
      <c r="H5316" s="2" t="str">
        <f aca="false">IFERROR(__xludf.dummyfunction("IF(I5374="""", """", REGEXEXTRACT(I5374, ""Padrao/([^/]+)""))"),"Nova Alianca")</f>
        <v>Nova Alianca</v>
      </c>
    </row>
    <row r="5317" customFormat="false" ht="15.75" hidden="false" customHeight="false" outlineLevel="0" collapsed="false">
      <c r="A5317" s="2" t="n">
        <v>207326</v>
      </c>
      <c r="B5317" s="2" t="s">
        <v>4355</v>
      </c>
      <c r="C5317" s="2" t="n">
        <v>2</v>
      </c>
      <c r="D5317" s="2" t="n">
        <v>3</v>
      </c>
      <c r="E5317" s="2" t="n">
        <v>2</v>
      </c>
      <c r="F5317" s="2" t="n">
        <v>132</v>
      </c>
      <c r="G5317" s="2" t="s">
        <v>157</v>
      </c>
      <c r="H5317" s="2" t="str">
        <f aca="false">IFERROR(__xludf.dummyfunction("IF(I5375="""", """", REGEXEXTRACT(I5375, ""Padrao/([^/]+)""))"),"Jardim Botanico")</f>
        <v>Jardim Botanico</v>
      </c>
    </row>
    <row r="5318" customFormat="false" ht="15.75" hidden="false" customHeight="false" outlineLevel="0" collapsed="false">
      <c r="A5318" s="2" t="n">
        <v>215537</v>
      </c>
      <c r="B5318" s="2" t="s">
        <v>4356</v>
      </c>
      <c r="C5318" s="2" t="n">
        <v>3</v>
      </c>
      <c r="D5318" s="2" t="n">
        <v>5</v>
      </c>
      <c r="E5318" s="2" t="n">
        <v>3</v>
      </c>
      <c r="F5318" s="2" t="n">
        <v>153</v>
      </c>
      <c r="G5318" s="2" t="s">
        <v>157</v>
      </c>
      <c r="H5318" s="2" t="str">
        <f aca="false">IFERROR(__xludf.dummyfunction("IF(I5376="""", """", REGEXEXTRACT(I5376, ""Padrao/([^/]+)""))"),"Jardim Olhos DAgua")</f>
        <v>Jardim Olhos DAgua</v>
      </c>
    </row>
    <row r="5319" customFormat="false" ht="15.75" hidden="false" customHeight="false" outlineLevel="0" collapsed="false">
      <c r="A5319" s="2" t="n">
        <v>232256</v>
      </c>
      <c r="B5319" s="2" t="s">
        <v>143</v>
      </c>
      <c r="C5319" s="2" t="n">
        <v>3</v>
      </c>
      <c r="D5319" s="2" t="n">
        <v>6</v>
      </c>
      <c r="E5319" s="2" t="n">
        <v>3</v>
      </c>
      <c r="F5319" s="2" t="n">
        <v>153</v>
      </c>
      <c r="G5319" s="2" t="s">
        <v>229</v>
      </c>
      <c r="H5319" s="2" t="str">
        <f aca="false">IFERROR(__xludf.dummyfunction("IF(I5377="""", """", REGEXEXTRACT(I5377, ""Padrao/([^/]+)""))"),"Jardim Olhos DAgua")</f>
        <v>Jardim Olhos DAgua</v>
      </c>
    </row>
    <row r="5320" customFormat="false" ht="15.75" hidden="false" customHeight="false" outlineLevel="0" collapsed="false">
      <c r="A5320" s="2" t="n">
        <v>227426</v>
      </c>
      <c r="B5320" s="2" t="s">
        <v>4357</v>
      </c>
      <c r="C5320" s="2" t="n">
        <v>3</v>
      </c>
      <c r="D5320" s="2" t="n">
        <v>5</v>
      </c>
      <c r="E5320" s="2" t="n">
        <v>2</v>
      </c>
      <c r="F5320" s="2" t="n">
        <v>156</v>
      </c>
      <c r="G5320" s="2" t="s">
        <v>241</v>
      </c>
      <c r="H5320" s="2" t="str">
        <f aca="false">IFERROR(__xludf.dummyfunction("IF(I5378="""", """", REGEXEXTRACT(I5378, ""Padrao/([^/]+)""))"),"Jardim Botanico")</f>
        <v>Jardim Botanico</v>
      </c>
    </row>
    <row r="5321" customFormat="false" ht="15.75" hidden="false" customHeight="false" outlineLevel="0" collapsed="false">
      <c r="A5321" s="2" t="n">
        <v>224861</v>
      </c>
      <c r="B5321" s="2" t="s">
        <v>4358</v>
      </c>
      <c r="C5321" s="2" t="n">
        <v>3</v>
      </c>
      <c r="D5321" s="2" t="n">
        <v>4</v>
      </c>
      <c r="E5321" s="2" t="n">
        <v>3</v>
      </c>
      <c r="F5321" s="2" t="n">
        <v>150</v>
      </c>
      <c r="G5321" s="2" t="s">
        <v>250</v>
      </c>
      <c r="H5321" s="2" t="str">
        <f aca="false">IFERROR(__xludf.dummyfunction("IF(I5379="""", """", REGEXEXTRACT(I5379, ""Padrao/([^/]+)""))"),"Jardim Olhos DAgua")</f>
        <v>Jardim Olhos DAgua</v>
      </c>
    </row>
    <row r="5322" customFormat="false" ht="15.75" hidden="false" customHeight="false" outlineLevel="0" collapsed="false">
      <c r="A5322" s="2" t="n">
        <v>232769</v>
      </c>
      <c r="B5322" s="2" t="s">
        <v>4359</v>
      </c>
      <c r="C5322" s="2" t="n">
        <v>3</v>
      </c>
      <c r="D5322" s="2" t="n">
        <v>6</v>
      </c>
      <c r="E5322" s="2" t="n">
        <v>3</v>
      </c>
      <c r="F5322" s="2" t="n">
        <v>153</v>
      </c>
      <c r="G5322" s="2" t="s">
        <v>277</v>
      </c>
      <c r="H5322" s="2" t="str">
        <f aca="false">IFERROR(__xludf.dummyfunction("IF(I5380="""", """", REGEXEXTRACT(I5380, ""Padrao/([^/]+)""))"),"Jardim Olhos DAgua")</f>
        <v>Jardim Olhos DAgua</v>
      </c>
    </row>
    <row r="5323" customFormat="false" ht="15.75" hidden="false" customHeight="false" outlineLevel="0" collapsed="false">
      <c r="A5323" s="2" t="n">
        <v>232460</v>
      </c>
      <c r="B5323" s="2" t="s">
        <v>4359</v>
      </c>
      <c r="C5323" s="2" t="n">
        <v>3</v>
      </c>
      <c r="D5323" s="2" t="n">
        <v>6</v>
      </c>
      <c r="E5323" s="2" t="n">
        <v>3</v>
      </c>
      <c r="F5323" s="2" t="n">
        <v>153</v>
      </c>
      <c r="G5323" s="2" t="s">
        <v>277</v>
      </c>
      <c r="H5323" s="2" t="str">
        <f aca="false">IFERROR(__xludf.dummyfunction("IF(I5381="""", """", REGEXEXTRACT(I5381, ""Padrao/([^/]+)""))"),"Jardim Olhos DAgua")</f>
        <v>Jardim Olhos DAgua</v>
      </c>
    </row>
    <row r="5324" customFormat="false" ht="15.75" hidden="false" customHeight="false" outlineLevel="0" collapsed="false">
      <c r="A5324" s="2" t="n">
        <v>200327</v>
      </c>
      <c r="B5324" s="2" t="s">
        <v>4360</v>
      </c>
      <c r="C5324" s="2" t="n">
        <v>3</v>
      </c>
      <c r="D5324" s="2" t="n">
        <v>5</v>
      </c>
      <c r="E5324" s="2" t="n">
        <v>3</v>
      </c>
      <c r="F5324" s="2" t="n">
        <v>168</v>
      </c>
      <c r="G5324" s="2" t="s">
        <v>277</v>
      </c>
      <c r="H5324" s="2" t="str">
        <f aca="false">IFERROR(__xludf.dummyfunction("IF(I5382="""", """", REGEXEXTRACT(I5382, ""Padrao/([^/]+)""))"),"Residencial Alto do Ipe")</f>
        <v>Residencial Alto do Ipe</v>
      </c>
    </row>
    <row r="5325" customFormat="false" ht="15.75" hidden="false" customHeight="false" outlineLevel="0" collapsed="false">
      <c r="A5325" s="2" t="n">
        <v>234401</v>
      </c>
      <c r="B5325" s="2" t="s">
        <v>4361</v>
      </c>
      <c r="C5325" s="2" t="n">
        <v>4</v>
      </c>
      <c r="D5325" s="2" t="n">
        <v>7</v>
      </c>
      <c r="E5325" s="2" t="n">
        <v>6</v>
      </c>
      <c r="F5325" s="2" t="n">
        <v>529</v>
      </c>
      <c r="G5325" s="2" t="s">
        <v>4362</v>
      </c>
      <c r="H5325" s="2" t="str">
        <f aca="false">IFERROR(__xludf.dummyfunction("IF(I5383="""", """", REGEXEXTRACT(I5383, ""Padrao/([^/]+)""))"),"Jardim Botanico")</f>
        <v>Jardim Botanico</v>
      </c>
    </row>
    <row r="5326" customFormat="false" ht="15.75" hidden="false" customHeight="false" outlineLevel="0" collapsed="false">
      <c r="A5326" s="2" t="n">
        <v>235976</v>
      </c>
      <c r="B5326" s="2" t="s">
        <v>4363</v>
      </c>
      <c r="C5326" s="2" t="n">
        <v>2</v>
      </c>
      <c r="D5326" s="2" t="n">
        <v>2</v>
      </c>
      <c r="E5326" s="2" t="n">
        <v>2</v>
      </c>
      <c r="F5326" s="2" t="n">
        <v>83</v>
      </c>
      <c r="G5326" s="2" t="s">
        <v>652</v>
      </c>
      <c r="H5326" s="2" t="str">
        <f aca="false">IFERROR(__xludf.dummyfunction("IF(I5384="""", """", REGEXEXTRACT(I5384, ""Padrao/([^/]+)""))"),"Alamedas do Botanico")</f>
        <v>Alamedas do Botanico</v>
      </c>
    </row>
    <row r="5327" customFormat="false" ht="15.75" hidden="false" customHeight="false" outlineLevel="0" collapsed="false">
      <c r="A5327" s="2" t="n">
        <v>244946</v>
      </c>
      <c r="B5327" s="2" t="s">
        <v>4364</v>
      </c>
      <c r="C5327" s="2" t="n">
        <v>2</v>
      </c>
      <c r="D5327" s="2" t="n">
        <v>1</v>
      </c>
      <c r="E5327" s="2" t="n">
        <v>1</v>
      </c>
      <c r="F5327" s="2" t="n">
        <v>42</v>
      </c>
      <c r="G5327" s="2" t="s">
        <v>4365</v>
      </c>
      <c r="H5327" s="2" t="str">
        <f aca="false">IFERROR(__xludf.dummyfunction("IF(I5385="""", """", REGEXEXTRACT(I5385, ""Padrao/([^/]+)""))"),"Jardim Jose Wilson Toni")</f>
        <v>Jardim Jose Wilson Toni</v>
      </c>
    </row>
    <row r="5328" customFormat="false" ht="15.75" hidden="false" customHeight="false" outlineLevel="0" collapsed="false">
      <c r="A5328" s="2" t="n">
        <v>230558</v>
      </c>
      <c r="B5328" s="2" t="s">
        <v>4366</v>
      </c>
      <c r="C5328" s="2" t="n">
        <v>2</v>
      </c>
      <c r="D5328" s="2" t="n">
        <v>1</v>
      </c>
      <c r="E5328" s="2" t="n">
        <v>1</v>
      </c>
      <c r="F5328" s="2" t="n">
        <v>42</v>
      </c>
      <c r="G5328" s="2" t="s">
        <v>446</v>
      </c>
      <c r="H5328" s="2" t="str">
        <f aca="false">IFERROR(__xludf.dummyfunction("IF(I5386="""", """", REGEXEXTRACT(I5386, ""Padrao/([^/]+)""))"),"Vila Abranches")</f>
        <v>Vila Abranches</v>
      </c>
    </row>
    <row r="5329" customFormat="false" ht="15.75" hidden="false" customHeight="false" outlineLevel="0" collapsed="false">
      <c r="A5329" s="2" t="n">
        <v>157247</v>
      </c>
      <c r="B5329" s="2" t="s">
        <v>4367</v>
      </c>
      <c r="C5329" s="2" t="n">
        <v>2</v>
      </c>
      <c r="D5329" s="2" t="n">
        <v>1</v>
      </c>
      <c r="E5329" s="2" t="n">
        <v>1</v>
      </c>
      <c r="F5329" s="2" t="n">
        <v>48</v>
      </c>
      <c r="G5329" s="2" t="s">
        <v>446</v>
      </c>
      <c r="H5329" s="2" t="str">
        <f aca="false">IFERROR(__xludf.dummyfunction("IF(I5387="""", """", REGEXEXTRACT(I5387, ""Padrao/([^/]+)""))"),"Jardim Jose Wilson Toni")</f>
        <v>Jardim Jose Wilson Toni</v>
      </c>
    </row>
    <row r="5330" customFormat="false" ht="15.75" hidden="false" customHeight="false" outlineLevel="0" collapsed="false">
      <c r="A5330" s="2" t="n">
        <v>239447</v>
      </c>
      <c r="B5330" s="2" t="s">
        <v>4368</v>
      </c>
      <c r="C5330" s="2" t="n">
        <v>2</v>
      </c>
      <c r="D5330" s="2" t="n">
        <v>3</v>
      </c>
      <c r="E5330" s="2" t="n">
        <v>1</v>
      </c>
      <c r="F5330" s="2" t="n">
        <v>32</v>
      </c>
      <c r="G5330" s="2" t="s">
        <v>4251</v>
      </c>
      <c r="H5330" s="2" t="str">
        <f aca="false">IFERROR(__xludf.dummyfunction("IF(I5388="""", """", REGEXEXTRACT(I5388, ""Padrao/([^/]+)""))"),"Nova Alianca")</f>
        <v>Nova Alianca</v>
      </c>
    </row>
    <row r="5331" customFormat="false" ht="15.75" hidden="false" customHeight="false" outlineLevel="0" collapsed="false">
      <c r="A5331" s="2" t="n">
        <v>202454</v>
      </c>
      <c r="B5331" s="2" t="s">
        <v>4369</v>
      </c>
      <c r="C5331" s="2" t="n">
        <v>3</v>
      </c>
      <c r="D5331" s="2" t="n">
        <v>4</v>
      </c>
      <c r="E5331" s="2" t="n">
        <v>2</v>
      </c>
      <c r="F5331" s="2" t="n">
        <v>206</v>
      </c>
      <c r="G5331" s="2" t="s">
        <v>1519</v>
      </c>
      <c r="H5331" s="2" t="str">
        <f aca="false">IFERROR(__xludf.dummyfunction("IF(I5389="""", """", REGEXEXTRACT(I5389, ""Padrao/([^/]+)""))"),"Centro")</f>
        <v>Centro</v>
      </c>
    </row>
    <row r="5332" customFormat="false" ht="15.75" hidden="false" customHeight="false" outlineLevel="0" collapsed="false">
      <c r="A5332" s="2" t="n">
        <v>17576</v>
      </c>
      <c r="B5332" s="2" t="s">
        <v>4370</v>
      </c>
      <c r="C5332" s="2" t="n">
        <v>3</v>
      </c>
      <c r="D5332" s="2" t="n">
        <v>4</v>
      </c>
      <c r="E5332" s="2" t="n">
        <v>2</v>
      </c>
      <c r="F5332" s="2" t="n">
        <v>173</v>
      </c>
      <c r="G5332" s="2" t="s">
        <v>1519</v>
      </c>
      <c r="H5332" s="2" t="str">
        <f aca="false">IFERROR(__xludf.dummyfunction("IF(I5390="""", """", REGEXEXTRACT(I5390, ""Padrao/([^/]+)""))"),"Centro")</f>
        <v>Centro</v>
      </c>
    </row>
    <row r="5333" customFormat="false" ht="15.75" hidden="false" customHeight="false" outlineLevel="0" collapsed="false">
      <c r="A5333" s="2" t="n">
        <v>203078</v>
      </c>
      <c r="B5333" s="2" t="s">
        <v>4371</v>
      </c>
      <c r="C5333" s="2" t="n">
        <v>3</v>
      </c>
      <c r="D5333" s="2" t="n">
        <v>3</v>
      </c>
      <c r="E5333" s="2" t="n">
        <v>2</v>
      </c>
      <c r="F5333" s="2" t="n">
        <v>128</v>
      </c>
      <c r="G5333" s="2" t="s">
        <v>2689</v>
      </c>
      <c r="H5333" s="2" t="str">
        <f aca="false">IFERROR(__xludf.dummyfunction("IF(I5391="""", """", REGEXEXTRACT(I5391, ""Padrao/([^/]+)""))"),"Vila Seixas")</f>
        <v>Vila Seixas</v>
      </c>
    </row>
    <row r="5334" customFormat="false" ht="15.75" hidden="false" customHeight="false" outlineLevel="0" collapsed="false">
      <c r="A5334" s="2" t="n">
        <v>148514</v>
      </c>
      <c r="B5334" s="2" t="s">
        <v>4372</v>
      </c>
      <c r="C5334" s="2" t="n">
        <v>3</v>
      </c>
      <c r="D5334" s="2" t="n">
        <v>3</v>
      </c>
      <c r="E5334" s="2" t="n">
        <v>2</v>
      </c>
      <c r="F5334" s="2" t="n">
        <v>111</v>
      </c>
      <c r="G5334" s="2" t="s">
        <v>4373</v>
      </c>
      <c r="H5334" s="2" t="str">
        <f aca="false">IFERROR(__xludf.dummyfunction("IF(I5392="""", """", REGEXEXTRACT(I5392, ""Padrao/([^/]+)""))"),"Condominio Itamaraty")</f>
        <v>Condominio Itamaraty</v>
      </c>
    </row>
    <row r="5335" customFormat="false" ht="15.75" hidden="false" customHeight="false" outlineLevel="0" collapsed="false">
      <c r="A5335" s="2" t="n">
        <v>239981</v>
      </c>
      <c r="B5335" s="2" t="s">
        <v>4374</v>
      </c>
      <c r="C5335" s="2" t="n">
        <v>4</v>
      </c>
      <c r="D5335" s="2" t="n">
        <v>4</v>
      </c>
      <c r="E5335" s="2" t="n">
        <v>2</v>
      </c>
      <c r="F5335" s="2" t="n">
        <v>171</v>
      </c>
      <c r="G5335" s="2" t="s">
        <v>2724</v>
      </c>
      <c r="H5335" s="2" t="str">
        <f aca="false">IFERROR(__xludf.dummyfunction("IF(I5393="""", """", REGEXEXTRACT(I5393, ""Padrao/([^/]+)""))"),"Centro")</f>
        <v>Centro</v>
      </c>
    </row>
    <row r="5336" customFormat="false" ht="15.75" hidden="false" customHeight="false" outlineLevel="0" collapsed="false">
      <c r="A5336" s="2" t="n">
        <v>238607</v>
      </c>
      <c r="B5336" s="2" t="s">
        <v>4375</v>
      </c>
      <c r="C5336" s="2" t="n">
        <v>3</v>
      </c>
      <c r="D5336" s="2" t="n">
        <v>4</v>
      </c>
      <c r="E5336" s="2" t="n">
        <v>3</v>
      </c>
      <c r="F5336" s="2" t="n">
        <v>196</v>
      </c>
      <c r="G5336" s="2" t="s">
        <v>2724</v>
      </c>
      <c r="H5336" s="2" t="str">
        <f aca="false">IFERROR(__xludf.dummyfunction("IF(I5394="""", """", REGEXEXTRACT(I5394, ""Padrao/([^/]+)""))"),"City Ribeirao")</f>
        <v>City Ribeirao</v>
      </c>
    </row>
    <row r="5337" customFormat="false" ht="15.75" hidden="false" customHeight="false" outlineLevel="0" collapsed="false">
      <c r="A5337" s="2" t="n">
        <v>231764</v>
      </c>
      <c r="B5337" s="2" t="s">
        <v>4376</v>
      </c>
      <c r="C5337" s="2" t="n">
        <v>3</v>
      </c>
      <c r="D5337" s="2" t="n">
        <v>5</v>
      </c>
      <c r="E5337" s="2" t="n">
        <v>2</v>
      </c>
      <c r="F5337" s="2" t="n">
        <v>156</v>
      </c>
      <c r="G5337" s="2" t="s">
        <v>2724</v>
      </c>
      <c r="H5337" s="2" t="str">
        <f aca="false">IFERROR(__xludf.dummyfunction("IF(I5395="""", """", REGEXEXTRACT(I5395, ""Padrao/([^/]+)""))"),"Centro")</f>
        <v>Centro</v>
      </c>
    </row>
    <row r="5338" customFormat="false" ht="15.75" hidden="false" customHeight="false" outlineLevel="0" collapsed="false">
      <c r="A5338" s="2" t="n">
        <v>228545</v>
      </c>
      <c r="B5338" s="2" t="s">
        <v>4377</v>
      </c>
      <c r="C5338" s="2" t="n">
        <v>3</v>
      </c>
      <c r="D5338" s="2" t="n">
        <v>3</v>
      </c>
      <c r="E5338" s="2" t="n">
        <v>2</v>
      </c>
      <c r="F5338" s="2" t="n">
        <v>125</v>
      </c>
      <c r="G5338" s="2" t="s">
        <v>2724</v>
      </c>
      <c r="H5338" s="2" t="str">
        <f aca="false">IFERROR(__xludf.dummyfunction("IF(I5396="""", """", REGEXEXTRACT(I5396, ""Padrao/([^/]+)""))"),"Centro")</f>
        <v>Centro</v>
      </c>
    </row>
    <row r="5339" customFormat="false" ht="15.75" hidden="false" customHeight="false" outlineLevel="0" collapsed="false">
      <c r="A5339" s="2" t="n">
        <v>222218</v>
      </c>
      <c r="B5339" s="2" t="s">
        <v>4378</v>
      </c>
      <c r="C5339" s="2" t="n">
        <v>3</v>
      </c>
      <c r="D5339" s="2" t="n">
        <v>5</v>
      </c>
      <c r="E5339" s="2" t="n">
        <v>2</v>
      </c>
      <c r="F5339" s="2" t="n">
        <v>144</v>
      </c>
      <c r="G5339" s="2" t="s">
        <v>2724</v>
      </c>
      <c r="H5339" s="2" t="str">
        <f aca="false">IFERROR(__xludf.dummyfunction("IF(I5397="""", """", REGEXEXTRACT(I5397, ""Padrao/([^/]+)""))"),"Condominio Itamaraty")</f>
        <v>Condominio Itamaraty</v>
      </c>
    </row>
    <row r="5340" customFormat="false" ht="15.75" hidden="false" customHeight="false" outlineLevel="0" collapsed="false">
      <c r="A5340" s="2" t="n">
        <v>218903</v>
      </c>
      <c r="B5340" s="2" t="s">
        <v>4379</v>
      </c>
      <c r="C5340" s="2" t="n">
        <v>2</v>
      </c>
      <c r="D5340" s="2" t="n">
        <v>2</v>
      </c>
      <c r="E5340" s="2" t="n">
        <v>1</v>
      </c>
      <c r="F5340" s="2" t="n">
        <v>64</v>
      </c>
      <c r="G5340" s="2" t="s">
        <v>2724</v>
      </c>
      <c r="H5340" s="2" t="str">
        <f aca="false">IFERROR(__xludf.dummyfunction("IF(I5398="""", """", REGEXEXTRACT(I5398, ""Padrao/([^/]+)""))"),"Quinta da Primavera")</f>
        <v>Quinta da Primavera</v>
      </c>
    </row>
    <row r="5341" customFormat="false" ht="15.75" hidden="false" customHeight="false" outlineLevel="0" collapsed="false">
      <c r="A5341" s="2" t="n">
        <v>212015</v>
      </c>
      <c r="B5341" s="2" t="s">
        <v>4380</v>
      </c>
      <c r="C5341" s="2" t="n">
        <v>1</v>
      </c>
      <c r="D5341" s="2" t="n">
        <v>1</v>
      </c>
      <c r="E5341" s="2" t="n">
        <v>1</v>
      </c>
      <c r="F5341" s="2" t="n">
        <v>45</v>
      </c>
      <c r="G5341" s="2" t="s">
        <v>2724</v>
      </c>
      <c r="H5341" s="2" t="str">
        <f aca="false">IFERROR(__xludf.dummyfunction("IF(I5399="""", """", REGEXEXTRACT(I5399, ""Padrao/([^/]+)""))"),"Vila do Golf")</f>
        <v>Vila do Golf</v>
      </c>
    </row>
    <row r="5342" customFormat="false" ht="15.75" hidden="false" customHeight="false" outlineLevel="0" collapsed="false">
      <c r="A5342" s="2" t="n">
        <v>211739</v>
      </c>
      <c r="B5342" s="2" t="s">
        <v>4381</v>
      </c>
      <c r="C5342" s="2" t="n">
        <v>3</v>
      </c>
      <c r="D5342" s="2" t="n">
        <v>2</v>
      </c>
      <c r="E5342" s="2" t="n">
        <v>2</v>
      </c>
      <c r="F5342" s="2" t="n">
        <v>90</v>
      </c>
      <c r="G5342" s="2" t="s">
        <v>2724</v>
      </c>
      <c r="H5342" s="2" t="str">
        <f aca="false">IFERROR(__xludf.dummyfunction("IF(I5400="""", """", REGEXEXTRACT(I5400, ""Padrao/([^/]+)""))"),"Jardim Sumare")</f>
        <v>Jardim Sumare</v>
      </c>
    </row>
    <row r="5343" customFormat="false" ht="15.75" hidden="false" customHeight="false" outlineLevel="0" collapsed="false">
      <c r="A5343" s="2" t="n">
        <v>207389</v>
      </c>
      <c r="B5343" s="2" t="s">
        <v>4382</v>
      </c>
      <c r="C5343" s="2" t="n">
        <v>3</v>
      </c>
      <c r="D5343" s="2" t="n">
        <v>3</v>
      </c>
      <c r="E5343" s="2" t="n">
        <v>2</v>
      </c>
      <c r="F5343" s="2" t="n">
        <v>110</v>
      </c>
      <c r="G5343" s="2" t="s">
        <v>2724</v>
      </c>
      <c r="H5343" s="2" t="str">
        <f aca="false">IFERROR(__xludf.dummyfunction("IF(I5401="""", """", REGEXEXTRACT(I5401, ""Padrao/([^/]+)""))"),"Bonfim Paulista")</f>
        <v>Bonfim Paulista</v>
      </c>
    </row>
    <row r="5344" customFormat="false" ht="15.75" hidden="false" customHeight="false" outlineLevel="0" collapsed="false">
      <c r="A5344" s="2" t="n">
        <v>199676</v>
      </c>
      <c r="B5344" s="2" t="s">
        <v>4383</v>
      </c>
      <c r="C5344" s="2" t="n">
        <v>3</v>
      </c>
      <c r="D5344" s="2" t="n">
        <v>2</v>
      </c>
      <c r="E5344" s="2" t="n">
        <v>1</v>
      </c>
      <c r="F5344" s="2" t="n">
        <v>83</v>
      </c>
      <c r="G5344" s="2" t="s">
        <v>2724</v>
      </c>
      <c r="H5344" s="2" t="str">
        <f aca="false">IFERROR(__xludf.dummyfunction("IF(I5402="""", """", REGEXEXTRACT(I5402, ""Padrao/([^/]+)""))"),"Jardim Botanico")</f>
        <v>Jardim Botanico</v>
      </c>
    </row>
    <row r="5345" customFormat="false" ht="15.75" hidden="false" customHeight="false" outlineLevel="0" collapsed="false">
      <c r="A5345" s="2" t="n">
        <v>198128</v>
      </c>
      <c r="B5345" s="2" t="s">
        <v>3895</v>
      </c>
      <c r="C5345" s="2" t="n">
        <v>2</v>
      </c>
      <c r="D5345" s="2" t="n">
        <v>2</v>
      </c>
      <c r="E5345" s="2" t="n">
        <v>2</v>
      </c>
      <c r="F5345" s="2" t="n">
        <v>61</v>
      </c>
      <c r="G5345" s="2" t="s">
        <v>2724</v>
      </c>
      <c r="H5345" s="2" t="str">
        <f aca="false">IFERROR(__xludf.dummyfunction("IF(I5403="""", """", REGEXEXTRACT(I5403, ""Padrao/([^/]+)""))"),"Quinta da Primavera")</f>
        <v>Quinta da Primavera</v>
      </c>
    </row>
    <row r="5346" customFormat="false" ht="15.75" hidden="false" customHeight="false" outlineLevel="0" collapsed="false">
      <c r="A5346" s="2" t="n">
        <v>197120</v>
      </c>
      <c r="B5346" s="2" t="s">
        <v>4384</v>
      </c>
      <c r="C5346" s="2" t="n">
        <v>2</v>
      </c>
      <c r="D5346" s="2" t="n">
        <v>3</v>
      </c>
      <c r="E5346" s="2" t="n">
        <v>2</v>
      </c>
      <c r="F5346" s="2" t="n">
        <v>110</v>
      </c>
      <c r="G5346" s="2" t="s">
        <v>2724</v>
      </c>
      <c r="H5346" s="2" t="str">
        <f aca="false">IFERROR(__xludf.dummyfunction("IF(I5404="""", """", REGEXEXTRACT(I5404, ""Padrao/([^/]+)""))"),"Bonfim Paulista")</f>
        <v>Bonfim Paulista</v>
      </c>
    </row>
    <row r="5347" customFormat="false" ht="15.75" hidden="false" customHeight="false" outlineLevel="0" collapsed="false">
      <c r="A5347" s="2" t="n">
        <v>187757</v>
      </c>
      <c r="B5347" s="2" t="s">
        <v>3903</v>
      </c>
      <c r="C5347" s="2" t="n">
        <v>4</v>
      </c>
      <c r="D5347" s="2" t="n">
        <v>5</v>
      </c>
      <c r="E5347" s="2" t="n">
        <v>2</v>
      </c>
      <c r="F5347" s="2" t="n">
        <v>261</v>
      </c>
      <c r="G5347" s="2" t="s">
        <v>2724</v>
      </c>
      <c r="H5347" s="2" t="str">
        <f aca="false">IFERROR(__xludf.dummyfunction("IF(I5405="""", """", REGEXEXTRACT(I5405, ""Padrao/([^/]+)""))"),"Centro")</f>
        <v>Centro</v>
      </c>
    </row>
    <row r="5348" customFormat="false" ht="15.75" hidden="false" customHeight="false" outlineLevel="0" collapsed="false">
      <c r="A5348" s="2" t="n">
        <v>183527</v>
      </c>
      <c r="B5348" s="2" t="s">
        <v>14</v>
      </c>
      <c r="C5348" s="2" t="n">
        <v>3</v>
      </c>
      <c r="D5348" s="2" t="n">
        <v>5</v>
      </c>
      <c r="E5348" s="2" t="n">
        <v>2</v>
      </c>
      <c r="F5348" s="2" t="n">
        <v>173</v>
      </c>
      <c r="G5348" s="2" t="s">
        <v>2724</v>
      </c>
      <c r="H5348" s="2" t="str">
        <f aca="false">IFERROR(__xludf.dummyfunction("IF(I5406="""", """", REGEXEXTRACT(I5406, ""Padrao/([^/]+)""))"),"Centro")</f>
        <v>Centro</v>
      </c>
    </row>
    <row r="5349" customFormat="false" ht="15.75" hidden="false" customHeight="false" outlineLevel="0" collapsed="false">
      <c r="A5349" s="2" t="n">
        <v>142619</v>
      </c>
      <c r="B5349" s="2" t="s">
        <v>776</v>
      </c>
      <c r="C5349" s="2" t="n">
        <v>3</v>
      </c>
      <c r="D5349" s="2" t="n">
        <v>3</v>
      </c>
      <c r="E5349" s="2" t="n">
        <v>2</v>
      </c>
      <c r="F5349" s="2" t="n">
        <v>106</v>
      </c>
      <c r="G5349" s="2" t="s">
        <v>2724</v>
      </c>
      <c r="H5349" s="2" t="str">
        <f aca="false">IFERROR(__xludf.dummyfunction("IF(I5407="""", """", REGEXEXTRACT(I5407, ""Padrao/([^/]+)""))"),"Jardim Paulistano")</f>
        <v>Jardim Paulistano</v>
      </c>
    </row>
    <row r="5350" customFormat="false" ht="15.75" hidden="false" customHeight="false" outlineLevel="0" collapsed="false">
      <c r="A5350" s="2" t="n">
        <v>116684</v>
      </c>
      <c r="B5350" s="2" t="s">
        <v>4385</v>
      </c>
      <c r="C5350" s="2" t="n">
        <v>3</v>
      </c>
      <c r="D5350" s="2" t="n">
        <v>4</v>
      </c>
      <c r="E5350" s="2" t="n">
        <v>2</v>
      </c>
      <c r="F5350" s="2" t="n">
        <v>131</v>
      </c>
      <c r="G5350" s="2" t="s">
        <v>2724</v>
      </c>
      <c r="H5350" s="2" t="str">
        <f aca="false">IFERROR(__xludf.dummyfunction("IF(I5408="""", """", REGEXEXTRACT(I5408, ""Padrao/([^/]+)""))"),"Jardim Botanico")</f>
        <v>Jardim Botanico</v>
      </c>
    </row>
    <row r="5351" customFormat="false" ht="15.75" hidden="false" customHeight="false" outlineLevel="0" collapsed="false">
      <c r="A5351" s="2" t="n">
        <v>107618</v>
      </c>
      <c r="B5351" s="2" t="s">
        <v>4386</v>
      </c>
      <c r="C5351" s="2" t="n">
        <v>3</v>
      </c>
      <c r="D5351" s="2" t="n">
        <v>4</v>
      </c>
      <c r="E5351" s="2" t="n">
        <v>2</v>
      </c>
      <c r="F5351" s="2" t="n">
        <v>118</v>
      </c>
      <c r="G5351" s="2" t="s">
        <v>2724</v>
      </c>
      <c r="H5351" s="2" t="str">
        <f aca="false">IFERROR(__xludf.dummyfunction("IF(I5409="""", """", REGEXEXTRACT(I5409, ""Padrao/([^/]+)""))"),"Jardim Botanico")</f>
        <v>Jardim Botanico</v>
      </c>
    </row>
    <row r="5352" customFormat="false" ht="15.75" hidden="false" customHeight="false" outlineLevel="0" collapsed="false">
      <c r="A5352" s="2" t="n">
        <v>81779</v>
      </c>
      <c r="B5352" s="2" t="s">
        <v>4387</v>
      </c>
      <c r="C5352" s="2" t="n">
        <v>5</v>
      </c>
      <c r="D5352" s="2" t="n">
        <v>5</v>
      </c>
      <c r="E5352" s="2" t="n">
        <v>2</v>
      </c>
      <c r="F5352" s="2" t="n">
        <v>156</v>
      </c>
      <c r="G5352" s="2" t="s">
        <v>2724</v>
      </c>
      <c r="H5352" s="2" t="str">
        <f aca="false">IFERROR(__xludf.dummyfunction("IF(I5410="""", """", REGEXEXTRACT(I5410, ""Padrao/([^/]+)""))"),"Centro")</f>
        <v>Centro</v>
      </c>
    </row>
    <row r="5353" customFormat="false" ht="15.75" hidden="false" customHeight="false" outlineLevel="0" collapsed="false">
      <c r="A5353" s="2" t="n">
        <v>67448</v>
      </c>
      <c r="B5353" s="2" t="s">
        <v>4388</v>
      </c>
      <c r="C5353" s="2" t="n">
        <v>3</v>
      </c>
      <c r="D5353" s="2" t="n">
        <v>4</v>
      </c>
      <c r="E5353" s="2" t="n">
        <v>2</v>
      </c>
      <c r="F5353" s="2" t="n">
        <v>107</v>
      </c>
      <c r="G5353" s="2" t="s">
        <v>2724</v>
      </c>
      <c r="H5353" s="2" t="str">
        <f aca="false">IFERROR(__xludf.dummyfunction("IF(I5411="""", """", REGEXEXTRACT(I5411, ""Padrao/([^/]+)""))"),"Jardim Paulista")</f>
        <v>Jardim Paulista</v>
      </c>
    </row>
    <row r="5354" customFormat="false" ht="15.75" hidden="false" customHeight="false" outlineLevel="0" collapsed="false">
      <c r="A5354" s="2" t="n">
        <v>176729</v>
      </c>
      <c r="B5354" s="2" t="s">
        <v>4389</v>
      </c>
      <c r="C5354" s="2" t="n">
        <v>3</v>
      </c>
      <c r="D5354" s="2" t="n">
        <v>3</v>
      </c>
      <c r="E5354" s="2" t="n">
        <v>2</v>
      </c>
      <c r="F5354" s="2" t="n">
        <v>84</v>
      </c>
      <c r="G5354" s="2" t="s">
        <v>4390</v>
      </c>
      <c r="H5354" s="2" t="str">
        <f aca="false">IFERROR(__xludf.dummyfunction("IF(I5412="""", """", REGEXEXTRACT(I5412, ""Padrao/([^/]+)""))"),"Nova Alianca")</f>
        <v>Nova Alianca</v>
      </c>
    </row>
    <row r="5355" customFormat="false" ht="15.75" hidden="false" customHeight="false" outlineLevel="0" collapsed="false">
      <c r="A5355" s="2" t="n">
        <v>238331</v>
      </c>
      <c r="B5355" s="2" t="s">
        <v>4391</v>
      </c>
      <c r="C5355" s="2" t="n">
        <v>3</v>
      </c>
      <c r="D5355" s="2" t="n">
        <v>2</v>
      </c>
      <c r="E5355" s="2" t="n">
        <v>2</v>
      </c>
      <c r="F5355" s="2" t="n">
        <v>71</v>
      </c>
      <c r="G5355" s="2" t="s">
        <v>4303</v>
      </c>
      <c r="H5355" s="2" t="str">
        <f aca="false">IFERROR(__xludf.dummyfunction("IF(I5413="""", """", REGEXEXTRACT(I5413, ""Padrao/([^/]+)""))"),"Ribeirania")</f>
        <v>Ribeirania</v>
      </c>
    </row>
    <row r="5356" customFormat="false" ht="15.75" hidden="false" customHeight="false" outlineLevel="0" collapsed="false">
      <c r="A5356" s="2" t="n">
        <v>178229</v>
      </c>
      <c r="B5356" s="2" t="s">
        <v>4311</v>
      </c>
      <c r="C5356" s="2" t="n">
        <v>3</v>
      </c>
      <c r="D5356" s="2" t="n">
        <v>3</v>
      </c>
      <c r="E5356" s="2" t="n">
        <v>1</v>
      </c>
      <c r="F5356" s="2" t="n">
        <v>73</v>
      </c>
      <c r="G5356" s="2" t="s">
        <v>4392</v>
      </c>
      <c r="H5356" s="2" t="str">
        <f aca="false">IFERROR(__xludf.dummyfunction("IF(I5414="""", """", REGEXEXTRACT(I5414, ""Padrao/([^/]+)""))"),"Nova Alianca")</f>
        <v>Nova Alianca</v>
      </c>
    </row>
    <row r="5357" customFormat="false" ht="15.75" hidden="false" customHeight="false" outlineLevel="0" collapsed="false">
      <c r="A5357" s="2" t="n">
        <v>109013</v>
      </c>
      <c r="B5357" s="2" t="s">
        <v>4393</v>
      </c>
      <c r="C5357" s="2" t="n">
        <v>2</v>
      </c>
      <c r="D5357" s="2" t="n">
        <v>3</v>
      </c>
      <c r="E5357" s="2" t="n">
        <v>2</v>
      </c>
      <c r="F5357" s="2" t="n">
        <v>81</v>
      </c>
      <c r="G5357" s="2" t="s">
        <v>4394</v>
      </c>
      <c r="H5357" s="2" t="str">
        <f aca="false">IFERROR(__xludf.dummyfunction("IF(I5415="""", """", REGEXEXTRACT(I5415, ""Padrao/([^/]+)""))"),"Vila Ana Maria")</f>
        <v>Vila Ana Maria</v>
      </c>
    </row>
    <row r="5358" customFormat="false" ht="15.75" hidden="false" customHeight="false" outlineLevel="0" collapsed="false">
      <c r="A5358" s="2" t="n">
        <v>182159</v>
      </c>
      <c r="B5358" s="2" t="s">
        <v>4395</v>
      </c>
      <c r="C5358" s="2" t="n">
        <v>3</v>
      </c>
      <c r="D5358" s="2" t="n">
        <v>3</v>
      </c>
      <c r="E5358" s="2" t="n">
        <v>2</v>
      </c>
      <c r="F5358" s="2" t="n">
        <v>90</v>
      </c>
      <c r="G5358" s="2" t="s">
        <v>4396</v>
      </c>
      <c r="H5358" s="2" t="str">
        <f aca="false">IFERROR(__xludf.dummyfunction("IF(I5416="""", """", REGEXEXTRACT(I5416, ""Padrao/([^/]+)""))"),"Nova Alianca")</f>
        <v>Nova Alianca</v>
      </c>
    </row>
    <row r="5359" customFormat="false" ht="15.75" hidden="false" customHeight="false" outlineLevel="0" collapsed="false">
      <c r="A5359" s="2" t="n">
        <v>119714</v>
      </c>
      <c r="B5359" s="2" t="s">
        <v>4397</v>
      </c>
      <c r="C5359" s="2" t="n">
        <v>2</v>
      </c>
      <c r="D5359" s="2" t="n">
        <v>3</v>
      </c>
      <c r="E5359" s="2" t="n">
        <v>2</v>
      </c>
      <c r="F5359" s="2" t="n">
        <v>88</v>
      </c>
      <c r="G5359" s="2" t="s">
        <v>4396</v>
      </c>
      <c r="H5359" s="2" t="str">
        <f aca="false">IFERROR(__xludf.dummyfunction("IF(I5417="""", """", REGEXEXTRACT(I5417, ""Padrao/([^/]+)""))"),"Quinta da Primavera")</f>
        <v>Quinta da Primavera</v>
      </c>
    </row>
    <row r="5360" customFormat="false" ht="15.75" hidden="false" customHeight="false" outlineLevel="0" collapsed="false">
      <c r="A5360" s="2" t="n">
        <v>170309</v>
      </c>
      <c r="B5360" s="2" t="s">
        <v>4398</v>
      </c>
      <c r="C5360" s="2" t="n">
        <v>2</v>
      </c>
      <c r="D5360" s="2" t="n">
        <v>2</v>
      </c>
      <c r="E5360" s="2" t="n">
        <v>2</v>
      </c>
      <c r="F5360" s="2" t="n">
        <v>81</v>
      </c>
      <c r="G5360" s="2" t="s">
        <v>4399</v>
      </c>
      <c r="H5360" s="2" t="str">
        <f aca="false">IFERROR(__xludf.dummyfunction("IF(I5418="""", """", REGEXEXTRACT(I5418, ""Padrao/([^/]+)""))"),"Vila Ana Maria")</f>
        <v>Vila Ana Maria</v>
      </c>
    </row>
    <row r="5361" customFormat="false" ht="15.75" hidden="false" customHeight="false" outlineLevel="0" collapsed="false">
      <c r="A5361" s="2" t="n">
        <v>193607</v>
      </c>
      <c r="B5361" s="2" t="s">
        <v>3880</v>
      </c>
      <c r="C5361" s="2" t="n">
        <v>2</v>
      </c>
      <c r="D5361" s="2" t="n">
        <v>3</v>
      </c>
      <c r="E5361" s="2" t="n">
        <v>1</v>
      </c>
      <c r="F5361" s="2" t="n">
        <v>69</v>
      </c>
      <c r="G5361" s="2" t="s">
        <v>4400</v>
      </c>
      <c r="H5361" s="2" t="str">
        <f aca="false">IFERROR(__xludf.dummyfunction("IF(I5419="""", """", REGEXEXTRACT(I5419, ""Padrao/([^/]+)""))"),"Jardim Botanico")</f>
        <v>Jardim Botanico</v>
      </c>
    </row>
    <row r="5362" customFormat="false" ht="15.75" hidden="false" customHeight="false" outlineLevel="0" collapsed="false">
      <c r="A5362" s="2" t="n">
        <v>240167</v>
      </c>
      <c r="B5362" s="2" t="s">
        <v>4401</v>
      </c>
      <c r="C5362" s="2" t="n">
        <v>2</v>
      </c>
      <c r="D5362" s="2" t="n">
        <v>2</v>
      </c>
      <c r="E5362" s="2" t="n">
        <v>2</v>
      </c>
      <c r="F5362" s="2" t="n">
        <v>71</v>
      </c>
      <c r="G5362" s="2" t="s">
        <v>2711</v>
      </c>
      <c r="H5362" s="2" t="str">
        <f aca="false">IFERROR(__xludf.dummyfunction("IF(I5420="""", """", REGEXEXTRACT(I5420, ""Padrao/([^/]+)""))"),"Jardim Iraja")</f>
        <v>Jardim Iraja</v>
      </c>
    </row>
    <row r="5363" customFormat="false" ht="15.75" hidden="false" customHeight="false" outlineLevel="0" collapsed="false">
      <c r="A5363" s="2" t="n">
        <v>237815</v>
      </c>
      <c r="B5363" s="2" t="s">
        <v>4402</v>
      </c>
      <c r="C5363" s="2" t="n">
        <v>3</v>
      </c>
      <c r="D5363" s="2" t="n">
        <v>5</v>
      </c>
      <c r="E5363" s="2" t="n">
        <v>2</v>
      </c>
      <c r="F5363" s="2" t="n">
        <v>118</v>
      </c>
      <c r="G5363" s="2" t="s">
        <v>2711</v>
      </c>
      <c r="H5363" s="2" t="str">
        <f aca="false">IFERROR(__xludf.dummyfunction("IF(I5421="""", """", REGEXEXTRACT(I5421, ""Padrao/([^/]+)""))"),"Jardim Botanico")</f>
        <v>Jardim Botanico</v>
      </c>
    </row>
    <row r="5364" customFormat="false" ht="15.75" hidden="false" customHeight="false" outlineLevel="0" collapsed="false">
      <c r="A5364" s="2" t="n">
        <v>211094</v>
      </c>
      <c r="B5364" s="2" t="s">
        <v>4403</v>
      </c>
      <c r="C5364" s="2" t="n">
        <v>3</v>
      </c>
      <c r="D5364" s="2" t="n">
        <v>5</v>
      </c>
      <c r="E5364" s="2" t="n">
        <v>2</v>
      </c>
      <c r="F5364" s="2" t="n">
        <v>150</v>
      </c>
      <c r="G5364" s="2" t="s">
        <v>2711</v>
      </c>
      <c r="H5364" s="2" t="str">
        <f aca="false">IFERROR(__xludf.dummyfunction("IF(I5422="""", """", REGEXEXTRACT(I5422, ""Padrao/([^/]+)""))"),"Centro")</f>
        <v>Centro</v>
      </c>
    </row>
    <row r="5365" customFormat="false" ht="15.75" hidden="false" customHeight="false" outlineLevel="0" collapsed="false">
      <c r="A5365" s="2" t="n">
        <v>196061</v>
      </c>
      <c r="B5365" s="2" t="s">
        <v>4404</v>
      </c>
      <c r="C5365" s="2" t="n">
        <v>3</v>
      </c>
      <c r="D5365" s="2" t="n">
        <v>3</v>
      </c>
      <c r="E5365" s="2" t="n">
        <v>2</v>
      </c>
      <c r="F5365" s="2" t="n">
        <v>101</v>
      </c>
      <c r="G5365" s="2" t="s">
        <v>2711</v>
      </c>
      <c r="H5365" s="2" t="str">
        <f aca="false">IFERROR(__xludf.dummyfunction("IF(I5423="""", """", REGEXEXTRACT(I5423, ""Padrao/([^/]+)""))"),"Nova Alianca")</f>
        <v>Nova Alianca</v>
      </c>
    </row>
    <row r="5366" customFormat="false" ht="15.75" hidden="false" customHeight="false" outlineLevel="0" collapsed="false">
      <c r="A5366" s="2" t="n">
        <v>172997</v>
      </c>
      <c r="B5366" s="2" t="s">
        <v>4405</v>
      </c>
      <c r="C5366" s="2" t="n">
        <v>2</v>
      </c>
      <c r="D5366" s="2" t="n">
        <v>3</v>
      </c>
      <c r="E5366" s="2" t="n">
        <v>2</v>
      </c>
      <c r="F5366" s="2" t="n">
        <v>87</v>
      </c>
      <c r="G5366" s="2" t="s">
        <v>4406</v>
      </c>
      <c r="H5366" s="2" t="str">
        <f aca="false">IFERROR(__xludf.dummyfunction("IF(I5424="""", """", REGEXEXTRACT(I5424, ""Padrao/([^/]+)""))"),"Jardim Olhos DAgua")</f>
        <v>Jardim Olhos DAgua</v>
      </c>
    </row>
    <row r="5367" customFormat="false" ht="15.75" hidden="false" customHeight="false" outlineLevel="0" collapsed="false">
      <c r="A5367" s="2" t="n">
        <v>193217</v>
      </c>
      <c r="B5367" s="2" t="s">
        <v>4407</v>
      </c>
      <c r="C5367" s="2" t="n">
        <v>2</v>
      </c>
      <c r="D5367" s="2" t="n">
        <v>3</v>
      </c>
      <c r="E5367" s="2" t="n">
        <v>2</v>
      </c>
      <c r="F5367" s="2" t="n">
        <v>85</v>
      </c>
      <c r="G5367" s="2" t="s">
        <v>4408</v>
      </c>
      <c r="H5367" s="2" t="str">
        <f aca="false">IFERROR(__xludf.dummyfunction("IF(I5425="""", """", REGEXEXTRACT(I5425, ""Padrao/([^/]+)""))"),"Nova Alianca")</f>
        <v>Nova Alianca</v>
      </c>
    </row>
    <row r="5368" customFormat="false" ht="15.75" hidden="false" customHeight="false" outlineLevel="0" collapsed="false">
      <c r="A5368" s="2" t="n">
        <v>193205</v>
      </c>
      <c r="B5368" s="2" t="s">
        <v>4407</v>
      </c>
      <c r="C5368" s="2" t="n">
        <v>2</v>
      </c>
      <c r="D5368" s="2" t="n">
        <v>3</v>
      </c>
      <c r="E5368" s="2" t="n">
        <v>2</v>
      </c>
      <c r="F5368" s="2" t="n">
        <v>85</v>
      </c>
      <c r="G5368" s="2" t="s">
        <v>4408</v>
      </c>
      <c r="H5368" s="2" t="str">
        <f aca="false">IFERROR(__xludf.dummyfunction("IF(I5426="""", """", REGEXEXTRACT(I5426, ""Padrao/([^/]+)""))"),"Nova Alianca")</f>
        <v>Nova Alianca</v>
      </c>
    </row>
    <row r="5369" customFormat="false" ht="15.75" hidden="false" customHeight="false" outlineLevel="0" collapsed="false">
      <c r="A5369" s="2" t="n">
        <v>119111</v>
      </c>
      <c r="B5369" s="2" t="s">
        <v>4409</v>
      </c>
      <c r="C5369" s="2" t="n">
        <v>2</v>
      </c>
      <c r="D5369" s="2" t="n">
        <v>2</v>
      </c>
      <c r="E5369" s="2" t="n">
        <v>2</v>
      </c>
      <c r="F5369" s="2" t="n">
        <v>74</v>
      </c>
      <c r="G5369" s="2" t="s">
        <v>4410</v>
      </c>
      <c r="H5369" s="2" t="str">
        <f aca="false">IFERROR(__xludf.dummyfunction("IF(I5427="""", """", REGEXEXTRACT(I5427, ""Padrao/([^/]+)""))"),"Ribeirania")</f>
        <v>Ribeirania</v>
      </c>
    </row>
    <row r="5370" customFormat="false" ht="15.75" hidden="false" customHeight="false" outlineLevel="0" collapsed="false">
      <c r="A5370" s="2" t="n">
        <v>176807</v>
      </c>
      <c r="B5370" s="2" t="s">
        <v>4411</v>
      </c>
      <c r="C5370" s="2" t="n">
        <v>3</v>
      </c>
      <c r="D5370" s="2" t="n">
        <v>3</v>
      </c>
      <c r="E5370" s="2" t="n">
        <v>2</v>
      </c>
      <c r="F5370" s="2" t="n">
        <v>79</v>
      </c>
      <c r="G5370" s="2" t="s">
        <v>4412</v>
      </c>
      <c r="H5370" s="2" t="str">
        <f aca="false">IFERROR(__xludf.dummyfunction("IF(I5428="""", """", REGEXEXTRACT(I5428, ""Padrao/([^/]+)""))"),"Nova Alianca")</f>
        <v>Nova Alianca</v>
      </c>
    </row>
    <row r="5371" customFormat="false" ht="15.75" hidden="false" customHeight="false" outlineLevel="0" collapsed="false">
      <c r="A5371" s="2" t="n">
        <v>229364</v>
      </c>
      <c r="B5371" s="2" t="s">
        <v>4413</v>
      </c>
      <c r="C5371" s="2" t="n">
        <v>2</v>
      </c>
      <c r="D5371" s="2" t="n">
        <v>3</v>
      </c>
      <c r="E5371" s="2" t="n">
        <v>2</v>
      </c>
      <c r="F5371" s="2" t="n">
        <v>81</v>
      </c>
      <c r="G5371" s="2" t="s">
        <v>4414</v>
      </c>
      <c r="H5371" s="2" t="str">
        <f aca="false">IFERROR(__xludf.dummyfunction("IF(I5429="""", """", REGEXEXTRACT(I5429, ""Padrao/([^/]+)""))"),"Vila Ana Maria")</f>
        <v>Vila Ana Maria</v>
      </c>
    </row>
    <row r="5372" customFormat="false" ht="15.75" hidden="false" customHeight="false" outlineLevel="0" collapsed="false">
      <c r="A5372" s="2" t="n">
        <v>108998</v>
      </c>
      <c r="B5372" s="2" t="s">
        <v>162</v>
      </c>
      <c r="C5372" s="2" t="n">
        <v>2</v>
      </c>
      <c r="D5372" s="2" t="n">
        <v>3</v>
      </c>
      <c r="E5372" s="2" t="n">
        <v>2</v>
      </c>
      <c r="F5372" s="2" t="n">
        <v>81</v>
      </c>
      <c r="G5372" s="2" t="s">
        <v>4415</v>
      </c>
      <c r="H5372" s="2" t="str">
        <f aca="false">IFERROR(__xludf.dummyfunction("IF(I5430="""", """", REGEXEXTRACT(I5430, ""Padrao/([^/]+)""))"),"Vila Ana Maria")</f>
        <v>Vila Ana Maria</v>
      </c>
    </row>
    <row r="5373" customFormat="false" ht="15.75" hidden="false" customHeight="false" outlineLevel="0" collapsed="false">
      <c r="A5373" s="2" t="n">
        <v>142523</v>
      </c>
      <c r="B5373" s="2" t="s">
        <v>4398</v>
      </c>
      <c r="C5373" s="2" t="n">
        <v>2</v>
      </c>
      <c r="D5373" s="2" t="n">
        <v>3</v>
      </c>
      <c r="E5373" s="2" t="n">
        <v>2</v>
      </c>
      <c r="F5373" s="2" t="n">
        <v>81</v>
      </c>
      <c r="G5373" s="2" t="s">
        <v>4416</v>
      </c>
      <c r="H5373" s="2" t="str">
        <f aca="false">IFERROR(__xludf.dummyfunction("IF(I5431="""", """", REGEXEXTRACT(I5431, ""Padrao/([^/]+)""))"),"Vila Ana Maria")</f>
        <v>Vila Ana Maria</v>
      </c>
    </row>
    <row r="5374" customFormat="false" ht="15.75" hidden="false" customHeight="false" outlineLevel="0" collapsed="false">
      <c r="A5374" s="2" t="n">
        <v>82955</v>
      </c>
      <c r="B5374" s="2" t="s">
        <v>4417</v>
      </c>
      <c r="C5374" s="2" t="n">
        <v>4</v>
      </c>
      <c r="D5374" s="2" t="n">
        <v>4</v>
      </c>
      <c r="E5374" s="2" t="n">
        <v>3</v>
      </c>
      <c r="F5374" s="2" t="n">
        <v>148</v>
      </c>
      <c r="G5374" s="2" t="s">
        <v>4162</v>
      </c>
      <c r="H5374" s="2" t="str">
        <f aca="false">IFERROR(__xludf.dummyfunction("IF(I5432="""", """", REGEXEXTRACT(I5432, ""Padrao/([^/]+)""))"),"Santa Cruz do Jose Jacques")</f>
        <v>Santa Cruz do Jose Jacques</v>
      </c>
    </row>
    <row r="5375" customFormat="false" ht="15.75" hidden="false" customHeight="false" outlineLevel="0" collapsed="false">
      <c r="A5375" s="2" t="n">
        <v>229367</v>
      </c>
      <c r="B5375" s="2" t="s">
        <v>4413</v>
      </c>
      <c r="C5375" s="2" t="n">
        <v>2</v>
      </c>
      <c r="D5375" s="2" t="n">
        <v>3</v>
      </c>
      <c r="E5375" s="2" t="n">
        <v>2</v>
      </c>
      <c r="F5375" s="2" t="n">
        <v>81</v>
      </c>
      <c r="G5375" s="2" t="s">
        <v>4418</v>
      </c>
      <c r="H5375" s="2" t="str">
        <f aca="false">IFERROR(__xludf.dummyfunction("IF(I5433="""", """", REGEXEXTRACT(I5433, ""Padrao/([^/]+)""))"),"Vila Ana Maria")</f>
        <v>Vila Ana Maria</v>
      </c>
    </row>
    <row r="5376" customFormat="false" ht="15.75" hidden="false" customHeight="false" outlineLevel="0" collapsed="false">
      <c r="A5376" s="2" t="n">
        <v>245243</v>
      </c>
      <c r="B5376" s="2" t="s">
        <v>4419</v>
      </c>
      <c r="C5376" s="2" t="n">
        <v>2</v>
      </c>
      <c r="D5376" s="2" t="n">
        <v>3</v>
      </c>
      <c r="E5376" s="2" t="n">
        <v>2</v>
      </c>
      <c r="F5376" s="2" t="n">
        <v>85</v>
      </c>
      <c r="G5376" s="2" t="s">
        <v>4420</v>
      </c>
      <c r="H5376" s="2" t="str">
        <f aca="false">IFERROR(__xludf.dummyfunction("IF(I5434="""", """", REGEXEXTRACT(I5434, ""Padrao/([^/]+)""))"),"Nova Alianca")</f>
        <v>Nova Alianca</v>
      </c>
    </row>
    <row r="5377" customFormat="false" ht="15.75" hidden="false" customHeight="false" outlineLevel="0" collapsed="false">
      <c r="A5377" s="2" t="n">
        <v>242294</v>
      </c>
      <c r="B5377" s="2" t="s">
        <v>4421</v>
      </c>
      <c r="C5377" s="2" t="n">
        <v>3</v>
      </c>
      <c r="D5377" s="2" t="n">
        <v>3</v>
      </c>
      <c r="E5377" s="2" t="n">
        <v>2</v>
      </c>
      <c r="F5377" s="2" t="n">
        <v>92</v>
      </c>
      <c r="G5377" s="2" t="s">
        <v>4422</v>
      </c>
      <c r="H5377" s="2" t="str">
        <f aca="false">IFERROR(__xludf.dummyfunction("IF(I5435="""", """", REGEXEXTRACT(I5435, ""Padrao/([^/]+)""))"),"Nova Alianca")</f>
        <v>Nova Alianca</v>
      </c>
    </row>
    <row r="5378" customFormat="false" ht="15.75" hidden="false" customHeight="false" outlineLevel="0" collapsed="false">
      <c r="A5378" s="2" t="n">
        <v>242417</v>
      </c>
      <c r="B5378" s="2" t="s">
        <v>4423</v>
      </c>
      <c r="C5378" s="2" t="n">
        <v>3</v>
      </c>
      <c r="D5378" s="2" t="n">
        <v>3</v>
      </c>
      <c r="E5378" s="2" t="n">
        <v>1</v>
      </c>
      <c r="F5378" s="2" t="n">
        <v>106</v>
      </c>
      <c r="G5378" s="2" t="s">
        <v>4424</v>
      </c>
      <c r="H5378" s="2" t="str">
        <f aca="false">IFERROR(__xludf.dummyfunction("IF(I5436="""", """", REGEXEXTRACT(I5436, ""Padrao/([^/]+)""))"),"Nova Alianca")</f>
        <v>Nova Alianca</v>
      </c>
    </row>
    <row r="5379" customFormat="false" ht="15.75" hidden="false" customHeight="false" outlineLevel="0" collapsed="false">
      <c r="A5379" s="2" t="n">
        <v>229376</v>
      </c>
      <c r="B5379" s="2" t="s">
        <v>4413</v>
      </c>
      <c r="C5379" s="2" t="n">
        <v>2</v>
      </c>
      <c r="D5379" s="2" t="n">
        <v>3</v>
      </c>
      <c r="E5379" s="2" t="n">
        <v>2</v>
      </c>
      <c r="F5379" s="2" t="n">
        <v>81</v>
      </c>
      <c r="G5379" s="2" t="s">
        <v>4425</v>
      </c>
      <c r="H5379" s="2" t="str">
        <f aca="false">IFERROR(__xludf.dummyfunction("IF(I5437="""", """", REGEXEXTRACT(I5437, ""Padrao/([^/]+)""))"),"Vila Ana Maria")</f>
        <v>Vila Ana Maria</v>
      </c>
    </row>
    <row r="5380" customFormat="false" ht="15.75" hidden="false" customHeight="false" outlineLevel="0" collapsed="false">
      <c r="A5380" s="2" t="n">
        <v>229379</v>
      </c>
      <c r="B5380" s="2" t="s">
        <v>4413</v>
      </c>
      <c r="C5380" s="2" t="n">
        <v>2</v>
      </c>
      <c r="D5380" s="2" t="n">
        <v>3</v>
      </c>
      <c r="E5380" s="2" t="n">
        <v>2</v>
      </c>
      <c r="F5380" s="2" t="n">
        <v>81</v>
      </c>
      <c r="G5380" s="2" t="s">
        <v>4426</v>
      </c>
      <c r="H5380" s="2" t="str">
        <f aca="false">IFERROR(__xludf.dummyfunction("IF(I5438="""", """", REGEXEXTRACT(I5438, ""Padrao/([^/]+)""))"),"Vila Ana Maria")</f>
        <v>Vila Ana Maria</v>
      </c>
    </row>
    <row r="5381" customFormat="false" ht="15.75" hidden="false" customHeight="false" outlineLevel="0" collapsed="false">
      <c r="A5381" s="2" t="n">
        <v>187511</v>
      </c>
      <c r="B5381" s="2" t="s">
        <v>4427</v>
      </c>
      <c r="C5381" s="2" t="n">
        <v>3</v>
      </c>
      <c r="D5381" s="2" t="n">
        <v>3</v>
      </c>
      <c r="E5381" s="2" t="n">
        <v>2</v>
      </c>
      <c r="F5381" s="2" t="n">
        <v>106</v>
      </c>
      <c r="G5381" s="2" t="s">
        <v>4428</v>
      </c>
      <c r="H5381" s="2" t="str">
        <f aca="false">IFERROR(__xludf.dummyfunction("IF(I5439="""", """", REGEXEXTRACT(I5439, ""Padrao/([^/]+)""))"),"Bosque das Juritis")</f>
        <v>Bosque das Juritis</v>
      </c>
    </row>
    <row r="5382" customFormat="false" ht="15.75" hidden="false" customHeight="false" outlineLevel="0" collapsed="false">
      <c r="A5382" s="2" t="n">
        <v>211619</v>
      </c>
      <c r="B5382" s="2" t="s">
        <v>4429</v>
      </c>
      <c r="C5382" s="2" t="n">
        <v>3</v>
      </c>
      <c r="D5382" s="2" t="n">
        <v>2</v>
      </c>
      <c r="E5382" s="2" t="n">
        <v>2</v>
      </c>
      <c r="F5382" s="2" t="n">
        <v>90</v>
      </c>
      <c r="G5382" s="2" t="s">
        <v>4430</v>
      </c>
      <c r="H5382" s="2" t="str">
        <f aca="false">IFERROR(__xludf.dummyfunction("IF(I5440="""", """", REGEXEXTRACT(I5440, ""Padrao/([^/]+)""))"),"Jardim Olhos DAgua")</f>
        <v>Jardim Olhos DAgua</v>
      </c>
    </row>
    <row r="5383" customFormat="false" ht="15.75" hidden="false" customHeight="false" outlineLevel="0" collapsed="false">
      <c r="A5383" s="2" t="n">
        <v>197708</v>
      </c>
      <c r="B5383" s="2" t="s">
        <v>4431</v>
      </c>
      <c r="C5383" s="2" t="n">
        <v>3</v>
      </c>
      <c r="D5383" s="2" t="n">
        <v>2</v>
      </c>
      <c r="E5383" s="2" t="n">
        <v>2</v>
      </c>
      <c r="F5383" s="2" t="n">
        <v>214</v>
      </c>
      <c r="G5383" s="2" t="s">
        <v>2724</v>
      </c>
      <c r="H5383" s="2" t="str">
        <f aca="false">IFERROR(__xludf.dummyfunction("IF(I5441="""", """", REGEXEXTRACT(I5441, ""Padrao/([^/]+)""))"),"Centro")</f>
        <v>Centro</v>
      </c>
    </row>
    <row r="5384" customFormat="false" ht="15.75" hidden="false" customHeight="false" outlineLevel="0" collapsed="false">
      <c r="A5384" s="2" t="n">
        <v>238817</v>
      </c>
      <c r="B5384" s="2" t="s">
        <v>162</v>
      </c>
      <c r="C5384" s="2" t="n">
        <v>2</v>
      </c>
      <c r="D5384" s="2" t="n">
        <v>2</v>
      </c>
      <c r="E5384" s="2" t="n">
        <v>1</v>
      </c>
      <c r="F5384" s="2" t="n">
        <v>90</v>
      </c>
      <c r="G5384" s="2" t="s">
        <v>4432</v>
      </c>
      <c r="H5384" s="2" t="str">
        <f aca="false">IFERROR(__xludf.dummyfunction("IF(I5442="""", """", REGEXEXTRACT(I5442, ""Padrao/([^/]+)""))"),"Jardim Sumare")</f>
        <v>Jardim Sumare</v>
      </c>
    </row>
    <row r="5385" customFormat="false" ht="15.75" hidden="false" customHeight="false" outlineLevel="0" collapsed="false">
      <c r="A5385" s="2" t="n">
        <v>134021</v>
      </c>
      <c r="B5385" s="2" t="s">
        <v>4433</v>
      </c>
      <c r="C5385" s="2" t="n">
        <v>3</v>
      </c>
      <c r="D5385" s="2" t="n">
        <v>2</v>
      </c>
      <c r="E5385" s="2" t="n">
        <v>2</v>
      </c>
      <c r="F5385" s="2" t="n">
        <v>106</v>
      </c>
      <c r="G5385" s="2" t="s">
        <v>4432</v>
      </c>
      <c r="H5385" s="2" t="str">
        <f aca="false">IFERROR(__xludf.dummyfunction("IF(I5443="""", """", REGEXEXTRACT(I5443, ""Padrao/([^/]+)""))"),"Nova Alianca")</f>
        <v>Nova Alianca</v>
      </c>
    </row>
    <row r="5386" customFormat="false" ht="15.75" hidden="false" customHeight="false" outlineLevel="0" collapsed="false">
      <c r="A5386" s="2" t="n">
        <v>136496</v>
      </c>
      <c r="B5386" s="2" t="s">
        <v>4434</v>
      </c>
      <c r="C5386" s="2" t="n">
        <v>4</v>
      </c>
      <c r="D5386" s="2" t="n">
        <v>3</v>
      </c>
      <c r="E5386" s="2" t="n">
        <v>2</v>
      </c>
      <c r="F5386" s="2" t="n">
        <v>127</v>
      </c>
      <c r="G5386" s="2" t="s">
        <v>2724</v>
      </c>
      <c r="H5386" s="2" t="str">
        <f aca="false">IFERROR(__xludf.dummyfunction("IF(I5444="""", """", REGEXEXTRACT(I5444, ""Padrao/([^/]+)""))"),"Jardim Iraja")</f>
        <v>Jardim Iraja</v>
      </c>
    </row>
    <row r="5387" customFormat="false" ht="15.75" hidden="false" customHeight="false" outlineLevel="0" collapsed="false">
      <c r="A5387" s="2" t="n">
        <v>242252</v>
      </c>
      <c r="B5387" s="2" t="s">
        <v>4435</v>
      </c>
      <c r="C5387" s="2" t="n">
        <v>3</v>
      </c>
      <c r="D5387" s="2" t="n">
        <v>3</v>
      </c>
      <c r="E5387" s="2" t="n">
        <v>2</v>
      </c>
      <c r="F5387" s="2" t="n">
        <v>86</v>
      </c>
      <c r="G5387" s="2" t="s">
        <v>3900</v>
      </c>
      <c r="H5387" s="2" t="str">
        <f aca="false">IFERROR(__xludf.dummyfunction("IF(I5445="""", """", REGEXEXTRACT(I5445, ""Padrao/([^/]+)""))"),"Quinta da Primavera")</f>
        <v>Quinta da Primavera</v>
      </c>
    </row>
    <row r="5388" customFormat="false" ht="15.75" hidden="false" customHeight="false" outlineLevel="0" collapsed="false">
      <c r="A5388" s="2" t="n">
        <v>223943</v>
      </c>
      <c r="B5388" s="2" t="s">
        <v>4436</v>
      </c>
      <c r="C5388" s="2" t="n">
        <v>6</v>
      </c>
      <c r="D5388" s="2" t="n">
        <v>5</v>
      </c>
      <c r="E5388" s="2" t="n">
        <v>2</v>
      </c>
      <c r="F5388" s="2" t="n">
        <v>404</v>
      </c>
      <c r="G5388" s="2" t="s">
        <v>3900</v>
      </c>
      <c r="H5388" s="2" t="str">
        <f aca="false">IFERROR(__xludf.dummyfunction("IF(I5446="""", """", REGEXEXTRACT(I5446, ""Padrao/([^/]+)""))"),"Centro")</f>
        <v>Centro</v>
      </c>
    </row>
    <row r="5389" customFormat="false" ht="15.75" hidden="false" customHeight="false" outlineLevel="0" collapsed="false">
      <c r="A5389" s="2" t="n">
        <v>176588</v>
      </c>
      <c r="B5389" s="2" t="s">
        <v>602</v>
      </c>
      <c r="C5389" s="2" t="n">
        <v>4</v>
      </c>
      <c r="D5389" s="2" t="n">
        <v>4</v>
      </c>
      <c r="E5389" s="2" t="n">
        <v>3</v>
      </c>
      <c r="F5389" s="2" t="n">
        <v>306</v>
      </c>
      <c r="G5389" s="2" t="s">
        <v>3900</v>
      </c>
      <c r="H5389" s="2" t="str">
        <f aca="false">IFERROR(__xludf.dummyfunction("IF(I5447="""", """", REGEXEXTRACT(I5447, ""Padrao/([^/]+)""))"),"Centro")</f>
        <v>Centro</v>
      </c>
    </row>
    <row r="5390" customFormat="false" ht="15.75" hidden="false" customHeight="false" outlineLevel="0" collapsed="false">
      <c r="A5390" s="2" t="n">
        <v>175901</v>
      </c>
      <c r="B5390" s="2" t="s">
        <v>4437</v>
      </c>
      <c r="C5390" s="2" t="n">
        <v>3</v>
      </c>
      <c r="D5390" s="2" t="n">
        <v>2</v>
      </c>
      <c r="E5390" s="2" t="n">
        <v>1</v>
      </c>
      <c r="F5390" s="2" t="n">
        <v>155</v>
      </c>
      <c r="G5390" s="2" t="s">
        <v>3900</v>
      </c>
      <c r="H5390" s="2" t="str">
        <f aca="false">IFERROR(__xludf.dummyfunction("IF(I5448="""", """", REGEXEXTRACT(I5448, ""Padrao/([^/]+)""))"),"Centro")</f>
        <v>Centro</v>
      </c>
    </row>
    <row r="5391" customFormat="false" ht="15.75" hidden="false" customHeight="false" outlineLevel="0" collapsed="false">
      <c r="A5391" s="2" t="n">
        <v>164048</v>
      </c>
      <c r="B5391" s="2" t="s">
        <v>4438</v>
      </c>
      <c r="C5391" s="2" t="n">
        <v>4</v>
      </c>
      <c r="D5391" s="2" t="n">
        <v>4</v>
      </c>
      <c r="E5391" s="2" t="n">
        <v>3</v>
      </c>
      <c r="F5391" s="2" t="n">
        <v>146</v>
      </c>
      <c r="G5391" s="2" t="s">
        <v>3900</v>
      </c>
      <c r="H5391" s="2" t="str">
        <f aca="false">IFERROR(__xludf.dummyfunction("IF(I5449="""", """", REGEXEXTRACT(I5449, ""Padrao/([^/]+)""))"),"Jardim Sao Luiz")</f>
        <v>Jardim Sao Luiz</v>
      </c>
    </row>
    <row r="5392" customFormat="false" ht="15.75" hidden="false" customHeight="false" outlineLevel="0" collapsed="false">
      <c r="A5392" s="2" t="n">
        <v>155198</v>
      </c>
      <c r="B5392" s="2" t="s">
        <v>4439</v>
      </c>
      <c r="C5392" s="2" t="n">
        <v>2</v>
      </c>
      <c r="D5392" s="2" t="n">
        <v>3</v>
      </c>
      <c r="E5392" s="2" t="n">
        <v>2</v>
      </c>
      <c r="F5392" s="2" t="n">
        <v>110</v>
      </c>
      <c r="G5392" s="2" t="s">
        <v>3900</v>
      </c>
      <c r="H5392" s="2" t="str">
        <f aca="false">IFERROR(__xludf.dummyfunction("IF(I5450="""", """", REGEXEXTRACT(I5450, ""Padrao/([^/]+)""))"),"Bonfim Paulista")</f>
        <v>Bonfim Paulista</v>
      </c>
    </row>
    <row r="5393" customFormat="false" ht="15.75" hidden="false" customHeight="false" outlineLevel="0" collapsed="false">
      <c r="A5393" s="2" t="n">
        <v>155195</v>
      </c>
      <c r="B5393" s="2" t="s">
        <v>4440</v>
      </c>
      <c r="C5393" s="2" t="n">
        <v>2</v>
      </c>
      <c r="D5393" s="2" t="n">
        <v>3</v>
      </c>
      <c r="E5393" s="2" t="n">
        <v>2</v>
      </c>
      <c r="F5393" s="2" t="n">
        <v>110</v>
      </c>
      <c r="G5393" s="2" t="s">
        <v>3900</v>
      </c>
      <c r="H5393" s="2" t="str">
        <f aca="false">IFERROR(__xludf.dummyfunction("IF(I5451="""", """", REGEXEXTRACT(I5451, ""Padrao/([^/]+)""))"),"Bonfim Paulista")</f>
        <v>Bonfim Paulista</v>
      </c>
    </row>
    <row r="5394" customFormat="false" ht="15.75" hidden="false" customHeight="false" outlineLevel="0" collapsed="false">
      <c r="A5394" s="2" t="n">
        <v>137456</v>
      </c>
      <c r="B5394" s="2" t="s">
        <v>1312</v>
      </c>
      <c r="C5394" s="2" t="n">
        <v>3</v>
      </c>
      <c r="D5394" s="2" t="n">
        <v>3</v>
      </c>
      <c r="E5394" s="2" t="n">
        <v>1</v>
      </c>
      <c r="F5394" s="2" t="n">
        <v>115</v>
      </c>
      <c r="G5394" s="2" t="s">
        <v>3900</v>
      </c>
      <c r="H5394" s="2" t="str">
        <f aca="false">IFERROR(__xludf.dummyfunction("IF(I5452="""", """", REGEXEXTRACT(I5452, ""Padrao/([^/]+)""))"),"Jardim Iraja")</f>
        <v>Jardim Iraja</v>
      </c>
    </row>
    <row r="5395" customFormat="false" ht="15.75" hidden="false" customHeight="false" outlineLevel="0" collapsed="false">
      <c r="A5395" s="2" t="n">
        <v>155228</v>
      </c>
      <c r="B5395" s="2" t="s">
        <v>4441</v>
      </c>
      <c r="C5395" s="2" t="n">
        <v>2</v>
      </c>
      <c r="D5395" s="2" t="n">
        <v>2</v>
      </c>
      <c r="E5395" s="2" t="n">
        <v>1</v>
      </c>
      <c r="F5395" s="2" t="n">
        <v>82</v>
      </c>
      <c r="G5395" s="2" t="s">
        <v>4442</v>
      </c>
      <c r="H5395" s="2" t="str">
        <f aca="false">IFERROR(__xludf.dummyfunction("IF(I5453="""", """", REGEXEXTRACT(I5453, ""Padrao/([^/]+)""))"),"Jardim Botanico")</f>
        <v>Jardim Botanico</v>
      </c>
    </row>
    <row r="5396" customFormat="false" ht="15.75" hidden="false" customHeight="false" outlineLevel="0" collapsed="false">
      <c r="A5396" s="2" t="n">
        <v>160217</v>
      </c>
      <c r="B5396" s="2" t="s">
        <v>4443</v>
      </c>
      <c r="C5396" s="2" t="n">
        <v>3</v>
      </c>
      <c r="D5396" s="2" t="n">
        <v>3</v>
      </c>
      <c r="E5396" s="2" t="n">
        <v>2</v>
      </c>
      <c r="F5396" s="2" t="n">
        <v>97</v>
      </c>
      <c r="G5396" s="2" t="s">
        <v>4444</v>
      </c>
      <c r="H5396" s="2" t="str">
        <f aca="false">IFERROR(__xludf.dummyfunction("IF(I5454="""", """", REGEXEXTRACT(I5454, ""Padrao/([^/]+)""))"),"Jardim Nova Alianca Sul")</f>
        <v>Jardim Nova Alianca Sul</v>
      </c>
    </row>
    <row r="5397" customFormat="false" ht="15.75" hidden="false" customHeight="false" outlineLevel="0" collapsed="false">
      <c r="A5397" s="2" t="n">
        <v>178850</v>
      </c>
      <c r="B5397" s="2" t="s">
        <v>4445</v>
      </c>
      <c r="C5397" s="2" t="n">
        <v>3</v>
      </c>
      <c r="D5397" s="2" t="n">
        <v>2</v>
      </c>
      <c r="E5397" s="2" t="n">
        <v>2</v>
      </c>
      <c r="F5397" s="2" t="n">
        <v>88</v>
      </c>
      <c r="G5397" s="2" t="s">
        <v>4446</v>
      </c>
      <c r="H5397" s="2" t="str">
        <f aca="false">IFERROR(__xludf.dummyfunction("IF(I5455="""", """", REGEXEXTRACT(I5455, ""Padrao/([^/]+)""))"),"Jardim Olhos DAgua")</f>
        <v>Jardim Olhos DAgua</v>
      </c>
    </row>
    <row r="5398" customFormat="false" ht="15.75" hidden="false" customHeight="false" outlineLevel="0" collapsed="false">
      <c r="A5398" s="2" t="n">
        <v>178256</v>
      </c>
      <c r="B5398" s="2" t="s">
        <v>4447</v>
      </c>
      <c r="C5398" s="2" t="n">
        <v>2</v>
      </c>
      <c r="D5398" s="2" t="n">
        <v>3</v>
      </c>
      <c r="E5398" s="2" t="n">
        <v>2</v>
      </c>
      <c r="F5398" s="2" t="n">
        <v>68</v>
      </c>
      <c r="G5398" s="2" t="s">
        <v>4448</v>
      </c>
      <c r="H5398" s="2" t="str">
        <f aca="false">IFERROR(__xludf.dummyfunction("IF(I5456="""", """", REGEXEXTRACT(I5456, ""Padrao/([^/]+)""))"),"Nova Alianca")</f>
        <v>Nova Alianca</v>
      </c>
    </row>
    <row r="5399" customFormat="false" ht="15.75" hidden="false" customHeight="false" outlineLevel="0" collapsed="false">
      <c r="A5399" s="2" t="n">
        <v>110939</v>
      </c>
      <c r="B5399" s="2" t="s">
        <v>4449</v>
      </c>
      <c r="C5399" s="2" t="n">
        <v>2</v>
      </c>
      <c r="D5399" s="2" t="n">
        <v>2</v>
      </c>
      <c r="E5399" s="2" t="n">
        <v>2</v>
      </c>
      <c r="F5399" s="2" t="n">
        <v>76</v>
      </c>
      <c r="G5399" s="2" t="s">
        <v>4450</v>
      </c>
      <c r="H5399" s="2" t="str">
        <f aca="false">IFERROR(__xludf.dummyfunction("IF(I5457="""", """", REGEXEXTRACT(I5457, ""Padrao/([^/]+)""))"),"Jardim Iraja")</f>
        <v>Jardim Iraja</v>
      </c>
    </row>
    <row r="5400" customFormat="false" ht="15.75" hidden="false" customHeight="false" outlineLevel="0" collapsed="false">
      <c r="A5400" s="2" t="n">
        <v>242285</v>
      </c>
      <c r="B5400" s="2" t="s">
        <v>4451</v>
      </c>
      <c r="C5400" s="2" t="n">
        <v>3</v>
      </c>
      <c r="D5400" s="2" t="n">
        <v>3</v>
      </c>
      <c r="E5400" s="2" t="n">
        <v>2</v>
      </c>
      <c r="F5400" s="2" t="n">
        <v>94</v>
      </c>
      <c r="G5400" s="2" t="s">
        <v>4452</v>
      </c>
      <c r="H5400" s="2" t="str">
        <f aca="false">IFERROR(__xludf.dummyfunction("IF(I5458="""", """", REGEXEXTRACT(I5458, ""Padrao/([^/]+)""))"),"Nova Alianca")</f>
        <v>Nova Alianca</v>
      </c>
    </row>
    <row r="5401" customFormat="false" ht="15.75" hidden="false" customHeight="false" outlineLevel="0" collapsed="false">
      <c r="A5401" s="2" t="n">
        <v>215345</v>
      </c>
      <c r="B5401" s="2" t="s">
        <v>4453</v>
      </c>
      <c r="C5401" s="2" t="n">
        <v>2</v>
      </c>
      <c r="D5401" s="2" t="n">
        <v>3</v>
      </c>
      <c r="E5401" s="2" t="n">
        <v>2</v>
      </c>
      <c r="F5401" s="2" t="n">
        <v>81</v>
      </c>
      <c r="G5401" s="2" t="s">
        <v>4452</v>
      </c>
      <c r="H5401" s="2" t="str">
        <f aca="false">IFERROR(__xludf.dummyfunction("IF(I5459="""", """", REGEXEXTRACT(I5459, ""Padrao/([^/]+)""))"),"Nova Alianca")</f>
        <v>Nova Alianca</v>
      </c>
    </row>
    <row r="5402" customFormat="false" ht="15.75" hidden="false" customHeight="false" outlineLevel="0" collapsed="false">
      <c r="A5402" s="2" t="n">
        <v>231473</v>
      </c>
      <c r="B5402" s="2" t="s">
        <v>469</v>
      </c>
      <c r="C5402" s="2" t="n">
        <v>2</v>
      </c>
      <c r="D5402" s="2" t="n">
        <v>1</v>
      </c>
      <c r="E5402" s="2" t="n">
        <v>1</v>
      </c>
      <c r="F5402" s="2" t="n">
        <v>43</v>
      </c>
      <c r="G5402" s="2" t="s">
        <v>394</v>
      </c>
      <c r="H5402" s="2" t="str">
        <f aca="false">IFERROR(__xludf.dummyfunction("IF(I5460="""", """", REGEXEXTRACT(I5460, ""Padrao/([^/]+)""))"),"Valentina Figueiredo")</f>
        <v>Valentina Figueiredo</v>
      </c>
    </row>
    <row r="5403" customFormat="false" ht="15.75" hidden="false" customHeight="false" outlineLevel="0" collapsed="false">
      <c r="A5403" s="2" t="n">
        <v>160826</v>
      </c>
      <c r="B5403" s="2" t="s">
        <v>4454</v>
      </c>
      <c r="C5403" s="2" t="n">
        <v>2</v>
      </c>
      <c r="D5403" s="2" t="n">
        <v>1</v>
      </c>
      <c r="E5403" s="2" t="n">
        <v>1</v>
      </c>
      <c r="F5403" s="2" t="n">
        <v>43</v>
      </c>
      <c r="G5403" s="2" t="s">
        <v>432</v>
      </c>
      <c r="H5403" s="2" t="str">
        <f aca="false">IFERROR(__xludf.dummyfunction("IF(I5461="""", """", REGEXEXTRACT(I5461, ""Padrao/([^/]+)""))"),"Jardim Diva Tarla de Carvalho")</f>
        <v>Jardim Diva Tarla de Carvalho</v>
      </c>
    </row>
    <row r="5404" customFormat="false" ht="15.75" hidden="false" customHeight="false" outlineLevel="0" collapsed="false">
      <c r="A5404" s="2" t="n">
        <v>184652</v>
      </c>
      <c r="B5404" s="2" t="s">
        <v>4455</v>
      </c>
      <c r="C5404" s="2" t="n">
        <v>2</v>
      </c>
      <c r="D5404" s="2" t="n">
        <v>1</v>
      </c>
      <c r="E5404" s="2" t="n">
        <v>1</v>
      </c>
      <c r="F5404" s="2" t="n">
        <v>47</v>
      </c>
      <c r="G5404" s="2" t="s">
        <v>425</v>
      </c>
      <c r="H5404" s="2" t="str">
        <f aca="false">IFERROR(__xludf.dummyfunction("IF(I5462="""", """", REGEXEXTRACT(I5462, ""Padrao/([^/]+)""))"),"Parque dos Lagos")</f>
        <v>Parque dos Lagos</v>
      </c>
    </row>
    <row r="5405" customFormat="false" ht="15.75" hidden="false" customHeight="false" outlineLevel="0" collapsed="false">
      <c r="A5405" s="2" t="n">
        <v>102506</v>
      </c>
      <c r="B5405" s="2" t="s">
        <v>4456</v>
      </c>
      <c r="C5405" s="2" t="n">
        <v>3</v>
      </c>
      <c r="D5405" s="2" t="n">
        <v>2</v>
      </c>
      <c r="E5405" s="2" t="n">
        <v>1</v>
      </c>
      <c r="F5405" s="2" t="n">
        <v>97</v>
      </c>
      <c r="G5405" s="2" t="s">
        <v>1556</v>
      </c>
      <c r="H5405" s="2" t="str">
        <f aca="false">IFERROR(__xludf.dummyfunction("IF(I5463="""", """", REGEXEXTRACT(I5463, ""Padrao/([^/]+)""))"),"Jardim Palma Travassos")</f>
        <v>Jardim Palma Travassos</v>
      </c>
    </row>
    <row r="5406" customFormat="false" ht="15.75" hidden="false" customHeight="false" outlineLevel="0" collapsed="false">
      <c r="A5406" s="2" t="n">
        <v>219893</v>
      </c>
      <c r="B5406" s="2" t="s">
        <v>4457</v>
      </c>
      <c r="C5406" s="2" t="n">
        <v>3</v>
      </c>
      <c r="D5406" s="2" t="n">
        <v>4</v>
      </c>
      <c r="E5406" s="2" t="n">
        <v>2</v>
      </c>
      <c r="F5406" s="2" t="n">
        <v>125</v>
      </c>
      <c r="G5406" s="2" t="s">
        <v>1519</v>
      </c>
      <c r="H5406" s="2" t="str">
        <f aca="false">IFERROR(__xludf.dummyfunction("IF(I5464="""", """", REGEXEXTRACT(I5464, ""Padrao/([^/]+)""))"),"Centro")</f>
        <v>Centro</v>
      </c>
    </row>
    <row r="5407" customFormat="false" ht="15.75" hidden="false" customHeight="false" outlineLevel="0" collapsed="false">
      <c r="A5407" s="2" t="n">
        <v>110849</v>
      </c>
      <c r="B5407" s="2" t="s">
        <v>4458</v>
      </c>
      <c r="C5407" s="2" t="n">
        <v>3</v>
      </c>
      <c r="D5407" s="2" t="n">
        <v>3</v>
      </c>
      <c r="E5407" s="2" t="n">
        <v>2</v>
      </c>
      <c r="F5407" s="2" t="n">
        <v>86</v>
      </c>
      <c r="G5407" s="2" t="s">
        <v>2728</v>
      </c>
      <c r="H5407" s="2" t="str">
        <f aca="false">IFERROR(__xludf.dummyfunction("IF(I5465="""", """", REGEXEXTRACT(I5465, ""Padrao/([^/]+)""))"),"Quinta da Primavera")</f>
        <v>Quinta da Primavera</v>
      </c>
    </row>
    <row r="5408" customFormat="false" ht="15.75" hidden="false" customHeight="false" outlineLevel="0" collapsed="false">
      <c r="A5408" s="2" t="n">
        <v>117173</v>
      </c>
      <c r="B5408" s="2" t="s">
        <v>4459</v>
      </c>
      <c r="C5408" s="2" t="n">
        <v>4</v>
      </c>
      <c r="D5408" s="2" t="n">
        <v>3</v>
      </c>
      <c r="E5408" s="2" t="n">
        <v>3</v>
      </c>
      <c r="F5408" s="2" t="n">
        <v>196</v>
      </c>
      <c r="G5408" s="2" t="s">
        <v>4347</v>
      </c>
      <c r="H5408" s="2" t="str">
        <f aca="false">IFERROR(__xludf.dummyfunction("IF(I5466="""", """", REGEXEXTRACT(I5466, ""Padrao/([^/]+)""))"),"City Ribeirao")</f>
        <v>City Ribeirao</v>
      </c>
    </row>
    <row r="5409" customFormat="false" ht="15.75" hidden="false" customHeight="false" outlineLevel="0" collapsed="false">
      <c r="A5409" s="2" t="n">
        <v>203396</v>
      </c>
      <c r="B5409" s="2" t="s">
        <v>4460</v>
      </c>
      <c r="C5409" s="2" t="n">
        <v>3</v>
      </c>
      <c r="D5409" s="2" t="n">
        <v>3</v>
      </c>
      <c r="E5409" s="2" t="n">
        <v>2</v>
      </c>
      <c r="F5409" s="2" t="n">
        <v>106</v>
      </c>
      <c r="G5409" s="2" t="s">
        <v>2711</v>
      </c>
      <c r="H5409" s="2" t="str">
        <f aca="false">IFERROR(__xludf.dummyfunction("IF(I5467="""", """", REGEXEXTRACT(I5467, ""Padrao/([^/]+)""))"),"Nova Alianca")</f>
        <v>Nova Alianca</v>
      </c>
    </row>
    <row r="5410" customFormat="false" ht="15.75" hidden="false" customHeight="false" outlineLevel="0" collapsed="false">
      <c r="A5410" s="2" t="n">
        <v>179564</v>
      </c>
      <c r="B5410" s="2" t="s">
        <v>4461</v>
      </c>
      <c r="C5410" s="2" t="n">
        <v>3</v>
      </c>
      <c r="D5410" s="2" t="n">
        <v>3</v>
      </c>
      <c r="E5410" s="2" t="n">
        <v>1</v>
      </c>
      <c r="F5410" s="2" t="n">
        <v>184</v>
      </c>
      <c r="G5410" s="2" t="s">
        <v>4462</v>
      </c>
      <c r="H5410" s="2" t="str">
        <f aca="false">IFERROR(__xludf.dummyfunction("IF(I5468="""", """", REGEXEXTRACT(I5468, ""Padrao/([^/]+)""))"),"Centro")</f>
        <v>Centro</v>
      </c>
    </row>
    <row r="5411" customFormat="false" ht="15.75" hidden="false" customHeight="false" outlineLevel="0" collapsed="false">
      <c r="A5411" s="2" t="n">
        <v>240521</v>
      </c>
      <c r="B5411" s="2" t="s">
        <v>4463</v>
      </c>
      <c r="C5411" s="2" t="n">
        <v>3</v>
      </c>
      <c r="D5411" s="2" t="n">
        <v>3</v>
      </c>
      <c r="E5411" s="2" t="n">
        <v>2</v>
      </c>
      <c r="F5411" s="2" t="n">
        <v>98</v>
      </c>
      <c r="G5411" s="2" t="s">
        <v>2667</v>
      </c>
      <c r="H5411" s="2" t="str">
        <f aca="false">IFERROR(__xludf.dummyfunction("IF(I5469="""", """", REGEXEXTRACT(I5469, ""Padrao/([^/]+)""))"),"Quinta da Primavera")</f>
        <v>Quinta da Primavera</v>
      </c>
    </row>
    <row r="5412" customFormat="false" ht="15.75" hidden="false" customHeight="false" outlineLevel="0" collapsed="false">
      <c r="A5412" s="2" t="n">
        <v>239696</v>
      </c>
      <c r="B5412" s="2" t="s">
        <v>4464</v>
      </c>
      <c r="C5412" s="2" t="n">
        <v>2</v>
      </c>
      <c r="D5412" s="2" t="n">
        <v>3</v>
      </c>
      <c r="E5412" s="2" t="n">
        <v>2</v>
      </c>
      <c r="F5412" s="2" t="n">
        <v>90</v>
      </c>
      <c r="G5412" s="2" t="s">
        <v>2667</v>
      </c>
      <c r="H5412" s="2" t="str">
        <f aca="false">IFERROR(__xludf.dummyfunction("IF(I5470="""", """", REGEXEXTRACT(I5470, ""Padrao/([^/]+)""))"),"Bosque das Juritis")</f>
        <v>Bosque das Juritis</v>
      </c>
    </row>
    <row r="5413" customFormat="false" ht="15.75" hidden="false" customHeight="false" outlineLevel="0" collapsed="false">
      <c r="A5413" s="2" t="n">
        <v>237776</v>
      </c>
      <c r="B5413" s="2" t="s">
        <v>4465</v>
      </c>
      <c r="C5413" s="2" t="n">
        <v>2</v>
      </c>
      <c r="D5413" s="2" t="n">
        <v>3</v>
      </c>
      <c r="E5413" s="2" t="n">
        <v>2</v>
      </c>
      <c r="F5413" s="2" t="n">
        <v>88</v>
      </c>
      <c r="G5413" s="2" t="s">
        <v>2667</v>
      </c>
      <c r="H5413" s="2" t="str">
        <f aca="false">IFERROR(__xludf.dummyfunction("IF(I5471="""", """", REGEXEXTRACT(I5471, ""Padrao/([^/]+)""))"),"Quinta da Primavera")</f>
        <v>Quinta da Primavera</v>
      </c>
    </row>
    <row r="5414" customFormat="false" ht="15.75" hidden="false" customHeight="false" outlineLevel="0" collapsed="false">
      <c r="A5414" s="2" t="n">
        <v>236741</v>
      </c>
      <c r="B5414" s="2" t="s">
        <v>4466</v>
      </c>
      <c r="C5414" s="2" t="n">
        <v>3</v>
      </c>
      <c r="D5414" s="2" t="n">
        <v>4</v>
      </c>
      <c r="E5414" s="2" t="n">
        <v>2</v>
      </c>
      <c r="F5414" s="2" t="n">
        <v>173</v>
      </c>
      <c r="G5414" s="2" t="s">
        <v>2667</v>
      </c>
      <c r="H5414" s="2" t="str">
        <f aca="false">IFERROR(__xludf.dummyfunction("IF(I5472="""", """", REGEXEXTRACT(I5472, ""Padrao/([^/]+)""))"),"Jardim Sao Luiz")</f>
        <v>Jardim Sao Luiz</v>
      </c>
    </row>
    <row r="5415" customFormat="false" ht="15.75" hidden="false" customHeight="false" outlineLevel="0" collapsed="false">
      <c r="A5415" s="2" t="n">
        <v>234389</v>
      </c>
      <c r="B5415" s="2" t="s">
        <v>4467</v>
      </c>
      <c r="C5415" s="2" t="n">
        <v>2</v>
      </c>
      <c r="D5415" s="2" t="n">
        <v>2</v>
      </c>
      <c r="E5415" s="2" t="n">
        <v>2</v>
      </c>
      <c r="F5415" s="2" t="n">
        <v>5</v>
      </c>
      <c r="G5415" s="2" t="s">
        <v>2667</v>
      </c>
      <c r="H5415" s="2" t="str">
        <f aca="false">IFERROR(__xludf.dummyfunction("IF(I5473="""", """", REGEXEXTRACT(I5473, ""Padrao/([^/]+)""))"),"Jardim Olhos DAgua")</f>
        <v>Jardim Olhos DAgua</v>
      </c>
    </row>
    <row r="5416" customFormat="false" ht="15.75" hidden="false" customHeight="false" outlineLevel="0" collapsed="false">
      <c r="A5416" s="2" t="n">
        <v>226214</v>
      </c>
      <c r="B5416" s="2" t="s">
        <v>4468</v>
      </c>
      <c r="C5416" s="2" t="n">
        <v>3</v>
      </c>
      <c r="D5416" s="2" t="n">
        <v>2</v>
      </c>
      <c r="E5416" s="2" t="n">
        <v>2</v>
      </c>
      <c r="F5416" s="2" t="n">
        <v>90</v>
      </c>
      <c r="G5416" s="2" t="s">
        <v>2667</v>
      </c>
      <c r="H5416" s="2" t="str">
        <f aca="false">IFERROR(__xludf.dummyfunction("IF(I5474="""", """", REGEXEXTRACT(I5474, ""Padrao/([^/]+)""))"),"Quinta da Primavera")</f>
        <v>Quinta da Primavera</v>
      </c>
    </row>
    <row r="5417" customFormat="false" ht="15.75" hidden="false" customHeight="false" outlineLevel="0" collapsed="false">
      <c r="A5417" s="2" t="n">
        <v>224054</v>
      </c>
      <c r="B5417" s="2" t="s">
        <v>4469</v>
      </c>
      <c r="C5417" s="2" t="n">
        <v>3</v>
      </c>
      <c r="D5417" s="2" t="n">
        <v>2</v>
      </c>
      <c r="E5417" s="2" t="n">
        <v>2</v>
      </c>
      <c r="F5417" s="2" t="n">
        <v>88</v>
      </c>
      <c r="G5417" s="2" t="s">
        <v>2667</v>
      </c>
      <c r="H5417" s="2" t="str">
        <f aca="false">IFERROR(__xludf.dummyfunction("IF(I5475="""", """", REGEXEXTRACT(I5475, ""Padrao/([^/]+)""))"),"Vila Ana Maria")</f>
        <v>Vila Ana Maria</v>
      </c>
    </row>
    <row r="5418" customFormat="false" ht="15.75" hidden="false" customHeight="false" outlineLevel="0" collapsed="false">
      <c r="A5418" s="2" t="n">
        <v>207392</v>
      </c>
      <c r="B5418" s="2" t="s">
        <v>4470</v>
      </c>
      <c r="C5418" s="2" t="n">
        <v>2</v>
      </c>
      <c r="D5418" s="2" t="n">
        <v>3</v>
      </c>
      <c r="E5418" s="2" t="n">
        <v>2</v>
      </c>
      <c r="F5418" s="2" t="n">
        <v>110</v>
      </c>
      <c r="G5418" s="2" t="s">
        <v>2667</v>
      </c>
      <c r="H5418" s="2" t="str">
        <f aca="false">IFERROR(__xludf.dummyfunction("IF(I5476="""", """", REGEXEXTRACT(I5476, ""Padrao/([^/]+)""))"),"Bonfim Paulista")</f>
        <v>Bonfim Paulista</v>
      </c>
    </row>
    <row r="5419" customFormat="false" ht="15.75" hidden="false" customHeight="false" outlineLevel="0" collapsed="false">
      <c r="A5419" s="2" t="n">
        <v>199466</v>
      </c>
      <c r="B5419" s="2" t="s">
        <v>4471</v>
      </c>
      <c r="C5419" s="2" t="n">
        <v>3</v>
      </c>
      <c r="D5419" s="2" t="n">
        <v>5</v>
      </c>
      <c r="E5419" s="2" t="n">
        <v>2</v>
      </c>
      <c r="F5419" s="2" t="n">
        <v>144</v>
      </c>
      <c r="G5419" s="2" t="s">
        <v>2667</v>
      </c>
      <c r="H5419" s="2" t="str">
        <f aca="false">IFERROR(__xludf.dummyfunction("IF(I5477="""", """", REGEXEXTRACT(I5477, ""Padrao/([^/]+)""))"),"Jardim Iraja")</f>
        <v>Jardim Iraja</v>
      </c>
    </row>
    <row r="5420" customFormat="false" ht="15.75" hidden="false" customHeight="false" outlineLevel="0" collapsed="false">
      <c r="A5420" s="2" t="n">
        <v>195797</v>
      </c>
      <c r="B5420" s="2" t="s">
        <v>3566</v>
      </c>
      <c r="C5420" s="2" t="n">
        <v>2</v>
      </c>
      <c r="D5420" s="2" t="n">
        <v>2</v>
      </c>
      <c r="E5420" s="2" t="n">
        <v>1</v>
      </c>
      <c r="F5420" s="2" t="n">
        <v>62</v>
      </c>
      <c r="G5420" s="2" t="s">
        <v>2667</v>
      </c>
      <c r="H5420" s="2" t="str">
        <f aca="false">IFERROR(__xludf.dummyfunction("IF(I5478="""", """", REGEXEXTRACT(I5478, ""Padrao/([^/]+)""))"),"Alamedas do Botanico")</f>
        <v>Alamedas do Botanico</v>
      </c>
    </row>
    <row r="5421" customFormat="false" ht="15.75" hidden="false" customHeight="false" outlineLevel="0" collapsed="false">
      <c r="A5421" s="2" t="n">
        <v>190508</v>
      </c>
      <c r="B5421" s="2" t="s">
        <v>4472</v>
      </c>
      <c r="C5421" s="2" t="n">
        <v>2</v>
      </c>
      <c r="D5421" s="2" t="n">
        <v>4</v>
      </c>
      <c r="E5421" s="2" t="n">
        <v>2</v>
      </c>
      <c r="F5421" s="2" t="n">
        <v>105</v>
      </c>
      <c r="G5421" s="2" t="s">
        <v>2667</v>
      </c>
      <c r="H5421" s="2" t="str">
        <f aca="false">IFERROR(__xludf.dummyfunction("IF(I5479="""", """", REGEXEXTRACT(I5479, ""Padrao/([^/]+)""))"),"Nova Alianca")</f>
        <v>Nova Alianca</v>
      </c>
    </row>
    <row r="5422" customFormat="false" ht="15.75" hidden="false" customHeight="false" outlineLevel="0" collapsed="false">
      <c r="A5422" s="2" t="n">
        <v>189518</v>
      </c>
      <c r="B5422" s="2" t="s">
        <v>4473</v>
      </c>
      <c r="C5422" s="2" t="n">
        <v>4</v>
      </c>
      <c r="D5422" s="2" t="n">
        <v>4</v>
      </c>
      <c r="E5422" s="2" t="n">
        <v>2</v>
      </c>
      <c r="F5422" s="2" t="n">
        <v>124</v>
      </c>
      <c r="G5422" s="2" t="s">
        <v>2667</v>
      </c>
      <c r="H5422" s="2" t="str">
        <f aca="false">IFERROR(__xludf.dummyfunction("IF(I5480="""", """", REGEXEXTRACT(I5480, ""Padrao/([^/]+)""))"),"Centro")</f>
        <v>Centro</v>
      </c>
    </row>
    <row r="5423" customFormat="false" ht="15.75" hidden="false" customHeight="false" outlineLevel="0" collapsed="false">
      <c r="A5423" s="2" t="n">
        <v>174320</v>
      </c>
      <c r="B5423" s="2" t="s">
        <v>602</v>
      </c>
      <c r="C5423" s="2" t="n">
        <v>3</v>
      </c>
      <c r="D5423" s="2" t="n">
        <v>5</v>
      </c>
      <c r="E5423" s="2" t="n">
        <v>2</v>
      </c>
      <c r="F5423" s="2" t="n">
        <v>152</v>
      </c>
      <c r="G5423" s="2" t="s">
        <v>2667</v>
      </c>
      <c r="H5423" s="2" t="str">
        <f aca="false">IFERROR(__xludf.dummyfunction("IF(I5481="""", """", REGEXEXTRACT(I5481, ""Padrao/([^/]+)""))"),"Centro")</f>
        <v>Centro</v>
      </c>
    </row>
    <row r="5424" customFormat="false" ht="15.75" hidden="false" customHeight="false" outlineLevel="0" collapsed="false">
      <c r="A5424" s="2" t="n">
        <v>167720</v>
      </c>
      <c r="B5424" s="2" t="s">
        <v>4320</v>
      </c>
      <c r="C5424" s="2" t="n">
        <v>3</v>
      </c>
      <c r="D5424" s="2" t="n">
        <v>3</v>
      </c>
      <c r="E5424" s="2" t="n">
        <v>1</v>
      </c>
      <c r="F5424" s="2" t="n">
        <v>138</v>
      </c>
      <c r="G5424" s="2" t="s">
        <v>2667</v>
      </c>
      <c r="H5424" s="2" t="str">
        <f aca="false">IFERROR(__xludf.dummyfunction("IF(I5482="""", """", REGEXEXTRACT(I5482, ""Padrao/([^/]+)""))"),"Vila Seixas")</f>
        <v>Vila Seixas</v>
      </c>
    </row>
    <row r="5425" customFormat="false" ht="15.75" hidden="false" customHeight="false" outlineLevel="0" collapsed="false">
      <c r="A5425" s="2" t="n">
        <v>162065</v>
      </c>
      <c r="B5425" s="2" t="s">
        <v>4474</v>
      </c>
      <c r="C5425" s="2" t="n">
        <v>3</v>
      </c>
      <c r="D5425" s="2" t="n">
        <v>3</v>
      </c>
      <c r="E5425" s="2" t="n">
        <v>2</v>
      </c>
      <c r="F5425" s="2" t="n">
        <v>101</v>
      </c>
      <c r="G5425" s="2" t="s">
        <v>2667</v>
      </c>
      <c r="H5425" s="2" t="str">
        <f aca="false">IFERROR(__xludf.dummyfunction("IF(I5483="""", """", REGEXEXTRACT(I5483, ""Padrao/([^/]+)""))"),"Nova Alianca")</f>
        <v>Nova Alianca</v>
      </c>
    </row>
    <row r="5426" customFormat="false" ht="15.75" hidden="false" customHeight="false" outlineLevel="0" collapsed="false">
      <c r="A5426" s="2" t="n">
        <v>149297</v>
      </c>
      <c r="B5426" s="2" t="s">
        <v>602</v>
      </c>
      <c r="C5426" s="2" t="n">
        <v>3</v>
      </c>
      <c r="D5426" s="2" t="n">
        <v>2</v>
      </c>
      <c r="E5426" s="2" t="n">
        <v>2</v>
      </c>
      <c r="F5426" s="2" t="n">
        <v>174</v>
      </c>
      <c r="G5426" s="2" t="s">
        <v>2667</v>
      </c>
      <c r="H5426" s="2" t="str">
        <f aca="false">IFERROR(__xludf.dummyfunction("IF(I5484="""", """", REGEXEXTRACT(I5484, ""Padrao/([^/]+)""))"),"Centro")</f>
        <v>Centro</v>
      </c>
    </row>
    <row r="5427" customFormat="false" ht="15.75" hidden="false" customHeight="false" outlineLevel="0" collapsed="false">
      <c r="A5427" s="2" t="n">
        <v>135860</v>
      </c>
      <c r="B5427" s="2" t="s">
        <v>4475</v>
      </c>
      <c r="C5427" s="2" t="n">
        <v>3</v>
      </c>
      <c r="D5427" s="2" t="n">
        <v>3</v>
      </c>
      <c r="E5427" s="2" t="n">
        <v>2</v>
      </c>
      <c r="F5427" s="2" t="n">
        <v>212</v>
      </c>
      <c r="G5427" s="2" t="s">
        <v>2667</v>
      </c>
      <c r="H5427" s="2" t="str">
        <f aca="false">IFERROR(__xludf.dummyfunction("IF(I5485="""", """", REGEXEXTRACT(I5485, ""Padrao/([^/]+)""))"),"Centro")</f>
        <v>Centro</v>
      </c>
    </row>
    <row r="5428" customFormat="false" ht="15.75" hidden="false" customHeight="false" outlineLevel="0" collapsed="false">
      <c r="A5428" s="2" t="n">
        <v>121676</v>
      </c>
      <c r="B5428" s="2" t="s">
        <v>4476</v>
      </c>
      <c r="C5428" s="2" t="n">
        <v>4</v>
      </c>
      <c r="D5428" s="2" t="n">
        <v>5</v>
      </c>
      <c r="E5428" s="2" t="n">
        <v>2</v>
      </c>
      <c r="F5428" s="2" t="n">
        <v>173</v>
      </c>
      <c r="G5428" s="2" t="s">
        <v>2667</v>
      </c>
      <c r="H5428" s="2" t="str">
        <f aca="false">IFERROR(__xludf.dummyfunction("IF(I5486="""", """", REGEXEXTRACT(I5486, ""Padrao/([^/]+)""))"),"Jardim Sao Luiz")</f>
        <v>Jardim Sao Luiz</v>
      </c>
    </row>
    <row r="5429" customFormat="false" ht="15.75" hidden="false" customHeight="false" outlineLevel="0" collapsed="false">
      <c r="A5429" s="2" t="n">
        <v>108152</v>
      </c>
      <c r="B5429" s="2" t="s">
        <v>1429</v>
      </c>
      <c r="C5429" s="2" t="n">
        <v>3</v>
      </c>
      <c r="D5429" s="2" t="n">
        <v>5</v>
      </c>
      <c r="E5429" s="2" t="n">
        <v>2</v>
      </c>
      <c r="F5429" s="2" t="n">
        <v>117</v>
      </c>
      <c r="G5429" s="2" t="s">
        <v>2667</v>
      </c>
      <c r="H5429" s="2" t="str">
        <f aca="false">IFERROR(__xludf.dummyfunction("IF(I5487="""", """", REGEXEXTRACT(I5487, ""Padrao/([^/]+)""))"),"Jardim Botanico")</f>
        <v>Jardim Botanico</v>
      </c>
    </row>
    <row r="5430" customFormat="false" ht="15.75" hidden="false" customHeight="false" outlineLevel="0" collapsed="false">
      <c r="A5430" s="2" t="n">
        <v>107669</v>
      </c>
      <c r="B5430" s="2" t="s">
        <v>4477</v>
      </c>
      <c r="C5430" s="2" t="n">
        <v>3</v>
      </c>
      <c r="D5430" s="2" t="n">
        <v>5</v>
      </c>
      <c r="E5430" s="2" t="n">
        <v>3</v>
      </c>
      <c r="F5430" s="2" t="n">
        <v>170</v>
      </c>
      <c r="G5430" s="2" t="s">
        <v>2667</v>
      </c>
      <c r="H5430" s="2" t="str">
        <f aca="false">IFERROR(__xludf.dummyfunction("IF(I5488="""", """", REGEXEXTRACT(I5488, ""Padrao/([^/]+)""))"),"Santa Cruz do Jose Jacques")</f>
        <v>Santa Cruz do Jose Jacques</v>
      </c>
    </row>
    <row r="5431" customFormat="false" ht="15.75" hidden="false" customHeight="false" outlineLevel="0" collapsed="false">
      <c r="A5431" s="2" t="n">
        <v>100763</v>
      </c>
      <c r="B5431" s="2" t="s">
        <v>4478</v>
      </c>
      <c r="C5431" s="2" t="n">
        <v>3</v>
      </c>
      <c r="D5431" s="2" t="n">
        <v>3</v>
      </c>
      <c r="E5431" s="2" t="n">
        <v>2</v>
      </c>
      <c r="F5431" s="2" t="n">
        <v>125</v>
      </c>
      <c r="G5431" s="2" t="s">
        <v>2667</v>
      </c>
      <c r="H5431" s="2" t="str">
        <f aca="false">IFERROR(__xludf.dummyfunction("IF(I5489="""", """", REGEXEXTRACT(I5489, ""Padrao/([^/]+)""))"),"Jardim Iraja")</f>
        <v>Jardim Iraja</v>
      </c>
    </row>
    <row r="5432" customFormat="false" ht="15.75" hidden="false" customHeight="false" outlineLevel="0" collapsed="false">
      <c r="A5432" s="2" t="n">
        <v>85352</v>
      </c>
      <c r="B5432" s="2" t="s">
        <v>4479</v>
      </c>
      <c r="C5432" s="2" t="n">
        <v>3</v>
      </c>
      <c r="D5432" s="2" t="n">
        <v>4</v>
      </c>
      <c r="E5432" s="2" t="n">
        <v>2</v>
      </c>
      <c r="F5432" s="2" t="n">
        <v>142</v>
      </c>
      <c r="G5432" s="2" t="s">
        <v>2667</v>
      </c>
      <c r="H5432" s="2" t="str">
        <f aca="false">IFERROR(__xludf.dummyfunction("IF(I5490="""", """", REGEXEXTRACT(I5490, ""Padrao/([^/]+)""))"),"Jardim Botanico")</f>
        <v>Jardim Botanico</v>
      </c>
    </row>
    <row r="5433" customFormat="false" ht="15.75" hidden="false" customHeight="false" outlineLevel="0" collapsed="false">
      <c r="A5433" s="2" t="n">
        <v>34952</v>
      </c>
      <c r="B5433" s="2" t="s">
        <v>4477</v>
      </c>
      <c r="C5433" s="2" t="n">
        <v>3</v>
      </c>
      <c r="D5433" s="2" t="n">
        <v>5</v>
      </c>
      <c r="E5433" s="2" t="n">
        <v>3</v>
      </c>
      <c r="F5433" s="2" t="n">
        <v>170</v>
      </c>
      <c r="G5433" s="2" t="s">
        <v>2667</v>
      </c>
      <c r="H5433" s="2" t="str">
        <f aca="false">IFERROR(__xludf.dummyfunction("IF(I5491="""", """", REGEXEXTRACT(I5491, ""Padrao/([^/]+)""))"),"Santa Cruz do Jose Jacques")</f>
        <v>Santa Cruz do Jose Jacques</v>
      </c>
    </row>
    <row r="5434" customFormat="false" ht="15.75" hidden="false" customHeight="false" outlineLevel="0" collapsed="false">
      <c r="A5434" s="2" t="n">
        <v>245252</v>
      </c>
      <c r="B5434" s="2" t="s">
        <v>3501</v>
      </c>
      <c r="C5434" s="2" t="n">
        <v>2</v>
      </c>
      <c r="D5434" s="2" t="n">
        <v>3</v>
      </c>
      <c r="E5434" s="2" t="n">
        <v>2</v>
      </c>
      <c r="F5434" s="2" t="n">
        <v>85</v>
      </c>
      <c r="G5434" s="2" t="s">
        <v>3502</v>
      </c>
      <c r="H5434" s="2" t="str">
        <f aca="false">IFERROR(__xludf.dummyfunction("IF(I5492="""", """", REGEXEXTRACT(I5492, ""Padrao/([^/]+)""))"),"Nova Alianca")</f>
        <v>Nova Alianca</v>
      </c>
    </row>
    <row r="5435" customFormat="false" ht="15.75" hidden="false" customHeight="false" outlineLevel="0" collapsed="false">
      <c r="A5435" s="2" t="n">
        <v>245366</v>
      </c>
      <c r="B5435" s="2" t="s">
        <v>4419</v>
      </c>
      <c r="C5435" s="2" t="n">
        <v>2</v>
      </c>
      <c r="D5435" s="2" t="n">
        <v>3</v>
      </c>
      <c r="E5435" s="2" t="n">
        <v>2</v>
      </c>
      <c r="F5435" s="2" t="n">
        <v>85</v>
      </c>
      <c r="G5435" s="2" t="s">
        <v>3500</v>
      </c>
      <c r="H5435" s="2" t="str">
        <f aca="false">IFERROR(__xludf.dummyfunction("IF(I5493="""", """", REGEXEXTRACT(I5493, ""Padrao/([^/]+)""))"),"Nova Alianca")</f>
        <v>Nova Alianca</v>
      </c>
    </row>
    <row r="5436" customFormat="false" ht="15.75" hidden="false" customHeight="false" outlineLevel="0" collapsed="false">
      <c r="A5436" s="2" t="n">
        <v>245342</v>
      </c>
      <c r="B5436" s="2" t="s">
        <v>4419</v>
      </c>
      <c r="C5436" s="2" t="n">
        <v>2</v>
      </c>
      <c r="D5436" s="2" t="n">
        <v>3</v>
      </c>
      <c r="E5436" s="2" t="n">
        <v>2</v>
      </c>
      <c r="F5436" s="2" t="n">
        <v>85</v>
      </c>
      <c r="G5436" s="2" t="s">
        <v>3500</v>
      </c>
      <c r="H5436" s="2" t="str">
        <f aca="false">IFERROR(__xludf.dummyfunction("IF(I5494="""", """", REGEXEXTRACT(I5494, ""Padrao/([^/]+)""))"),"Nova Alianca")</f>
        <v>Nova Alianca</v>
      </c>
    </row>
    <row r="5437" customFormat="false" ht="15.75" hidden="false" customHeight="false" outlineLevel="0" collapsed="false">
      <c r="A5437" s="2" t="n">
        <v>245339</v>
      </c>
      <c r="B5437" s="2" t="s">
        <v>4419</v>
      </c>
      <c r="C5437" s="2" t="n">
        <v>2</v>
      </c>
      <c r="D5437" s="2" t="n">
        <v>3</v>
      </c>
      <c r="E5437" s="2" t="n">
        <v>2</v>
      </c>
      <c r="F5437" s="2" t="n">
        <v>85</v>
      </c>
      <c r="G5437" s="2" t="s">
        <v>3500</v>
      </c>
      <c r="H5437" s="2" t="str">
        <f aca="false">IFERROR(__xludf.dummyfunction("IF(I5495="""", """", REGEXEXTRACT(I5495, ""Padrao/([^/]+)""))"),"Nova Alianca")</f>
        <v>Nova Alianca</v>
      </c>
    </row>
    <row r="5438" customFormat="false" ht="15.75" hidden="false" customHeight="false" outlineLevel="0" collapsed="false">
      <c r="A5438" s="2" t="n">
        <v>245333</v>
      </c>
      <c r="B5438" s="2" t="s">
        <v>4419</v>
      </c>
      <c r="C5438" s="2" t="n">
        <v>2</v>
      </c>
      <c r="D5438" s="2" t="n">
        <v>3</v>
      </c>
      <c r="E5438" s="2" t="n">
        <v>2</v>
      </c>
      <c r="F5438" s="2" t="n">
        <v>85</v>
      </c>
      <c r="G5438" s="2" t="s">
        <v>3500</v>
      </c>
      <c r="H5438" s="2" t="str">
        <f aca="false">IFERROR(__xludf.dummyfunction("IF(I5496="""", """", REGEXEXTRACT(I5496, ""Padrao/([^/]+)""))"),"Nova Alianca")</f>
        <v>Nova Alianca</v>
      </c>
    </row>
    <row r="5439" customFormat="false" ht="15.75" hidden="false" customHeight="false" outlineLevel="0" collapsed="false">
      <c r="A5439" s="2" t="n">
        <v>242507</v>
      </c>
      <c r="B5439" s="2" t="s">
        <v>4480</v>
      </c>
      <c r="C5439" s="2" t="n">
        <v>2</v>
      </c>
      <c r="D5439" s="2" t="n">
        <v>3</v>
      </c>
      <c r="E5439" s="2" t="n">
        <v>2</v>
      </c>
      <c r="F5439" s="2" t="n">
        <v>86</v>
      </c>
      <c r="G5439" s="2" t="s">
        <v>4481</v>
      </c>
      <c r="H5439" s="2" t="str">
        <f aca="false">IFERROR(__xludf.dummyfunction("IF(I5497="""", """", REGEXEXTRACT(I5497, ""Padrao/([^/]+)""))"),"Quinta da Primavera")</f>
        <v>Quinta da Primavera</v>
      </c>
    </row>
    <row r="5440" customFormat="false" ht="15.75" hidden="false" customHeight="false" outlineLevel="0" collapsed="false">
      <c r="A5440" s="2" t="n">
        <v>122816</v>
      </c>
      <c r="B5440" s="2" t="s">
        <v>4482</v>
      </c>
      <c r="C5440" s="2" t="n">
        <v>3</v>
      </c>
      <c r="D5440" s="2" t="n">
        <v>3</v>
      </c>
      <c r="E5440" s="2" t="n">
        <v>2</v>
      </c>
      <c r="F5440" s="2" t="n">
        <v>127</v>
      </c>
      <c r="G5440" s="2" t="s">
        <v>4481</v>
      </c>
      <c r="H5440" s="2" t="str">
        <f aca="false">IFERROR(__xludf.dummyfunction("IF(I5498="""", """", REGEXEXTRACT(I5498, ""Padrao/([^/]+)""))"),"Jardim Iraja")</f>
        <v>Jardim Iraja</v>
      </c>
    </row>
    <row r="5441" customFormat="false" ht="15.75" hidden="false" customHeight="false" outlineLevel="0" collapsed="false">
      <c r="A5441" s="2" t="n">
        <v>170273</v>
      </c>
      <c r="B5441" s="2" t="s">
        <v>4483</v>
      </c>
      <c r="C5441" s="2" t="n">
        <v>2</v>
      </c>
      <c r="D5441" s="2" t="n">
        <v>2</v>
      </c>
      <c r="E5441" s="2" t="n">
        <v>2</v>
      </c>
      <c r="F5441" s="2" t="n">
        <v>74</v>
      </c>
      <c r="G5441" s="2" t="s">
        <v>4484</v>
      </c>
      <c r="H5441" s="2" t="str">
        <f aca="false">IFERROR(__xludf.dummyfunction("IF(I5499="""", """", REGEXEXTRACT(I5499, ""Padrao/([^/]+)""))"),"Bonfim Paulista")</f>
        <v>Bonfim Paulista</v>
      </c>
    </row>
    <row r="5442" customFormat="false" ht="15.75" hidden="false" customHeight="false" outlineLevel="0" collapsed="false">
      <c r="A5442" s="2" t="n">
        <v>225722</v>
      </c>
      <c r="B5442" s="2" t="s">
        <v>4485</v>
      </c>
      <c r="C5442" s="2" t="n">
        <v>2</v>
      </c>
      <c r="D5442" s="2" t="n">
        <v>3</v>
      </c>
      <c r="E5442" s="2" t="n">
        <v>2</v>
      </c>
      <c r="F5442" s="2" t="n">
        <v>90</v>
      </c>
      <c r="G5442" s="2" t="s">
        <v>4486</v>
      </c>
      <c r="H5442" s="2" t="str">
        <f aca="false">IFERROR(__xludf.dummyfunction("IF(I5500="""", """", REGEXEXTRACT(I5500, ""Padrao/([^/]+)""))"),"Bosque das Juritis")</f>
        <v>Bosque das Juritis</v>
      </c>
    </row>
    <row r="5443" customFormat="false" ht="15.75" hidden="false" customHeight="false" outlineLevel="0" collapsed="false">
      <c r="A5443" s="2" t="n">
        <v>178283</v>
      </c>
      <c r="B5443" s="2" t="s">
        <v>4487</v>
      </c>
      <c r="C5443" s="2" t="n">
        <v>3</v>
      </c>
      <c r="D5443" s="2" t="n">
        <v>3</v>
      </c>
      <c r="E5443" s="2" t="n">
        <v>1</v>
      </c>
      <c r="F5443" s="2" t="n">
        <v>75</v>
      </c>
      <c r="G5443" s="2" t="s">
        <v>4488</v>
      </c>
      <c r="H5443" s="2" t="str">
        <f aca="false">IFERROR(__xludf.dummyfunction("IF(I5501="""", """", REGEXEXTRACT(I5501, ""Padrao/([^/]+)""))"),"Nova Alianca")</f>
        <v>Nova Alianca</v>
      </c>
    </row>
    <row r="5444" customFormat="false" ht="15.75" hidden="false" customHeight="false" outlineLevel="0" collapsed="false">
      <c r="A5444" s="2" t="n">
        <v>243647</v>
      </c>
      <c r="B5444" s="2" t="s">
        <v>4489</v>
      </c>
      <c r="C5444" s="2" t="n">
        <v>2</v>
      </c>
      <c r="D5444" s="2" t="n">
        <v>2</v>
      </c>
      <c r="E5444" s="2" t="n">
        <v>2</v>
      </c>
      <c r="F5444" s="2" t="n">
        <v>69</v>
      </c>
      <c r="G5444" s="2" t="s">
        <v>4490</v>
      </c>
      <c r="H5444" s="2" t="str">
        <f aca="false">IFERROR(__xludf.dummyfunction("IF(I5502="""", """", REGEXEXTRACT(I5502, ""Padrao/([^/]+)""))"),"Jardim Sumare")</f>
        <v>Jardim Sumare</v>
      </c>
    </row>
    <row r="5445" customFormat="false" ht="15.75" hidden="false" customHeight="false" outlineLevel="0" collapsed="false">
      <c r="A5445" s="2" t="n">
        <v>229373</v>
      </c>
      <c r="B5445" s="2" t="s">
        <v>4413</v>
      </c>
      <c r="C5445" s="2" t="n">
        <v>2</v>
      </c>
      <c r="D5445" s="2" t="n">
        <v>3</v>
      </c>
      <c r="E5445" s="2" t="n">
        <v>2</v>
      </c>
      <c r="F5445" s="2" t="n">
        <v>81</v>
      </c>
      <c r="G5445" s="2" t="s">
        <v>4491</v>
      </c>
      <c r="H5445" s="2" t="str">
        <f aca="false">IFERROR(__xludf.dummyfunction("IF(I5503="""", """", REGEXEXTRACT(I5503, ""Padrao/([^/]+)""))"),"Vila Ana Maria")</f>
        <v>Vila Ana Maria</v>
      </c>
    </row>
    <row r="5446" customFormat="false" ht="15.75" hidden="false" customHeight="false" outlineLevel="0" collapsed="false">
      <c r="A5446" s="2" t="n">
        <v>177899</v>
      </c>
      <c r="B5446" s="2" t="s">
        <v>4492</v>
      </c>
      <c r="C5446" s="2" t="n">
        <v>2</v>
      </c>
      <c r="D5446" s="2" t="n">
        <v>2</v>
      </c>
      <c r="E5446" s="2" t="n">
        <v>2</v>
      </c>
      <c r="F5446" s="2" t="n">
        <v>58</v>
      </c>
      <c r="G5446" s="2" t="s">
        <v>2724</v>
      </c>
      <c r="H5446" s="2" t="str">
        <f aca="false">IFERROR(__xludf.dummyfunction("IF(I5504="""", """", REGEXEXTRACT(I5504, ""Padrao/([^/]+)""))"),"Jardim Sumare")</f>
        <v>Jardim Sumare</v>
      </c>
    </row>
    <row r="5447" customFormat="false" ht="15.75" hidden="false" customHeight="false" outlineLevel="0" collapsed="false">
      <c r="A5447" s="2" t="n">
        <v>99581</v>
      </c>
      <c r="B5447" s="2" t="s">
        <v>2710</v>
      </c>
      <c r="C5447" s="2" t="n">
        <v>3</v>
      </c>
      <c r="D5447" s="2" t="n">
        <v>3</v>
      </c>
      <c r="E5447" s="2" t="n">
        <v>2</v>
      </c>
      <c r="F5447" s="2" t="n">
        <v>90</v>
      </c>
      <c r="G5447" s="2" t="s">
        <v>4493</v>
      </c>
      <c r="H5447" s="2" t="str">
        <f aca="false">IFERROR(__xludf.dummyfunction("IF(I5505="""", """", REGEXEXTRACT(I5505, ""Padrao/([^/]+)""))"),"Nova Alianca")</f>
        <v>Nova Alianca</v>
      </c>
    </row>
    <row r="5448" customFormat="false" ht="15.75" hidden="false" customHeight="false" outlineLevel="0" collapsed="false">
      <c r="A5448" s="2" t="n">
        <v>16157</v>
      </c>
      <c r="B5448" s="2" t="s">
        <v>162</v>
      </c>
      <c r="C5448" s="2" t="n">
        <v>3</v>
      </c>
      <c r="D5448" s="2" t="n">
        <v>5</v>
      </c>
      <c r="E5448" s="2" t="n">
        <v>2</v>
      </c>
      <c r="F5448" s="2" t="n">
        <v>147</v>
      </c>
      <c r="G5448" s="2" t="s">
        <v>4493</v>
      </c>
      <c r="H5448" s="2" t="str">
        <f aca="false">IFERROR(__xludf.dummyfunction("IF(I5506="""", """", REGEXEXTRACT(I5506, ""Padrao/([^/]+)""))"),"Santa Cruz do Jose Jacques")</f>
        <v>Santa Cruz do Jose Jacques</v>
      </c>
    </row>
    <row r="5449" customFormat="false" ht="15.75" hidden="false" customHeight="false" outlineLevel="0" collapsed="false">
      <c r="A5449" s="2" t="n">
        <v>108983</v>
      </c>
      <c r="B5449" s="2" t="s">
        <v>4413</v>
      </c>
      <c r="C5449" s="2" t="n">
        <v>2</v>
      </c>
      <c r="D5449" s="2" t="n">
        <v>3</v>
      </c>
      <c r="E5449" s="2" t="n">
        <v>2</v>
      </c>
      <c r="F5449" s="2" t="n">
        <v>81</v>
      </c>
      <c r="G5449" s="2" t="s">
        <v>4494</v>
      </c>
      <c r="H5449" s="2" t="str">
        <f aca="false">IFERROR(__xludf.dummyfunction("IF(I5507="""", """", REGEXEXTRACT(I5507, ""Padrao/([^/]+)""))"),"Vila Ana Maria")</f>
        <v>Vila Ana Maria</v>
      </c>
    </row>
    <row r="5450" customFormat="false" ht="15.75" hidden="false" customHeight="false" outlineLevel="0" collapsed="false">
      <c r="A5450" s="2" t="n">
        <v>214577</v>
      </c>
      <c r="B5450" s="2" t="s">
        <v>4429</v>
      </c>
      <c r="C5450" s="2" t="n">
        <v>3</v>
      </c>
      <c r="D5450" s="2" t="n">
        <v>2</v>
      </c>
      <c r="E5450" s="2" t="n">
        <v>2</v>
      </c>
      <c r="F5450" s="2" t="n">
        <v>90</v>
      </c>
      <c r="G5450" s="2" t="s">
        <v>4495</v>
      </c>
      <c r="H5450" s="2" t="str">
        <f aca="false">IFERROR(__xludf.dummyfunction("IF(I5508="""", """", REGEXEXTRACT(I5508, ""Padrao/([^/]+)""))"),"Jardim Olhos DAgua")</f>
        <v>Jardim Olhos DAgua</v>
      </c>
    </row>
    <row r="5451" customFormat="false" ht="15.75" hidden="false" customHeight="false" outlineLevel="0" collapsed="false">
      <c r="A5451" s="2" t="n">
        <v>234071</v>
      </c>
      <c r="B5451" s="2" t="s">
        <v>4496</v>
      </c>
      <c r="C5451" s="2" t="n">
        <v>3</v>
      </c>
      <c r="D5451" s="2" t="n">
        <v>3</v>
      </c>
      <c r="E5451" s="2" t="n">
        <v>2</v>
      </c>
      <c r="F5451" s="2" t="n">
        <v>114</v>
      </c>
      <c r="G5451" s="2" t="s">
        <v>4497</v>
      </c>
      <c r="H5451" s="2" t="str">
        <f aca="false">IFERROR(__xludf.dummyfunction("IF(I5509="""", """", REGEXEXTRACT(I5509, ""Padrao/([^/]+)""))"),"Jardim Iraja")</f>
        <v>Jardim Iraja</v>
      </c>
    </row>
    <row r="5452" customFormat="false" ht="15.75" hidden="false" customHeight="false" outlineLevel="0" collapsed="false">
      <c r="A5452" s="2" t="n">
        <v>239009</v>
      </c>
      <c r="B5452" s="2" t="s">
        <v>4498</v>
      </c>
      <c r="C5452" s="2" t="n">
        <v>3</v>
      </c>
      <c r="D5452" s="2" t="n">
        <v>2</v>
      </c>
      <c r="E5452" s="2" t="n">
        <v>2</v>
      </c>
      <c r="F5452" s="2" t="n">
        <v>90</v>
      </c>
      <c r="G5452" s="2" t="s">
        <v>4499</v>
      </c>
      <c r="H5452" s="2" t="str">
        <f aca="false">IFERROR(__xludf.dummyfunction("IF(I5510="""", """", REGEXEXTRACT(I5510, ""Padrao/([^/]+)""))"),"Jardim Olhos DAgua")</f>
        <v>Jardim Olhos DAgua</v>
      </c>
    </row>
    <row r="5453" customFormat="false" ht="15.75" hidden="false" customHeight="false" outlineLevel="0" collapsed="false">
      <c r="A5453" s="2" t="n">
        <v>239006</v>
      </c>
      <c r="B5453" s="2" t="s">
        <v>4498</v>
      </c>
      <c r="C5453" s="2" t="n">
        <v>3</v>
      </c>
      <c r="D5453" s="2" t="n">
        <v>2</v>
      </c>
      <c r="E5453" s="2" t="n">
        <v>2</v>
      </c>
      <c r="F5453" s="2" t="n">
        <v>90</v>
      </c>
      <c r="G5453" s="2" t="s">
        <v>4499</v>
      </c>
      <c r="H5453" s="2" t="str">
        <f aca="false">IFERROR(__xludf.dummyfunction("IF(I5511="""", """", REGEXEXTRACT(I5511, ""Padrao/([^/]+)""))"),"Jardim Olhos DAgua")</f>
        <v>Jardim Olhos DAgua</v>
      </c>
    </row>
    <row r="5454" customFormat="false" ht="15.75" hidden="false" customHeight="false" outlineLevel="0" collapsed="false">
      <c r="A5454" s="2" t="n">
        <v>239003</v>
      </c>
      <c r="B5454" s="2" t="s">
        <v>4498</v>
      </c>
      <c r="C5454" s="2" t="n">
        <v>3</v>
      </c>
      <c r="D5454" s="2" t="n">
        <v>2</v>
      </c>
      <c r="E5454" s="2" t="n">
        <v>2</v>
      </c>
      <c r="F5454" s="2" t="n">
        <v>90</v>
      </c>
      <c r="G5454" s="2" t="s">
        <v>4499</v>
      </c>
      <c r="H5454" s="2" t="str">
        <f aca="false">IFERROR(__xludf.dummyfunction("IF(I5512="""", """", REGEXEXTRACT(I5512, ""Padrao/([^/]+)""))"),"Jardim Olhos DAgua")</f>
        <v>Jardim Olhos DAgua</v>
      </c>
    </row>
    <row r="5455" customFormat="false" ht="15.75" hidden="false" customHeight="false" outlineLevel="0" collapsed="false">
      <c r="A5455" s="2" t="n">
        <v>239000</v>
      </c>
      <c r="B5455" s="2" t="s">
        <v>4498</v>
      </c>
      <c r="C5455" s="2" t="n">
        <v>3</v>
      </c>
      <c r="D5455" s="2" t="n">
        <v>2</v>
      </c>
      <c r="E5455" s="2" t="n">
        <v>2</v>
      </c>
      <c r="F5455" s="2" t="n">
        <v>90</v>
      </c>
      <c r="G5455" s="2" t="s">
        <v>4499</v>
      </c>
      <c r="H5455" s="2" t="str">
        <f aca="false">IFERROR(__xludf.dummyfunction("IF(I5513="""", """", REGEXEXTRACT(I5513, ""Padrao/([^/]+)""))"),"Jardim Olhos DAgua")</f>
        <v>Jardim Olhos DAgua</v>
      </c>
    </row>
    <row r="5456" customFormat="false" ht="15.75" hidden="false" customHeight="false" outlineLevel="0" collapsed="false">
      <c r="A5456" s="2" t="n">
        <v>236120</v>
      </c>
      <c r="B5456" s="2" t="s">
        <v>4500</v>
      </c>
      <c r="C5456" s="2" t="n">
        <v>3</v>
      </c>
      <c r="D5456" s="2" t="n">
        <v>3</v>
      </c>
      <c r="E5456" s="2" t="n">
        <v>2</v>
      </c>
      <c r="F5456" s="2" t="n">
        <v>204</v>
      </c>
      <c r="G5456" s="2" t="s">
        <v>2728</v>
      </c>
      <c r="H5456" s="2" t="str">
        <f aca="false">IFERROR(__xludf.dummyfunction("IF(I5514="""", """", REGEXEXTRACT(I5514, ""Padrao/([^/]+)""))"),"Centro")</f>
        <v>Centro</v>
      </c>
    </row>
    <row r="5457" customFormat="false" ht="15.75" hidden="false" customHeight="false" outlineLevel="0" collapsed="false">
      <c r="A5457" s="2" t="n">
        <v>158216</v>
      </c>
      <c r="B5457" s="2" t="s">
        <v>4501</v>
      </c>
      <c r="C5457" s="2" t="n">
        <v>3</v>
      </c>
      <c r="D5457" s="2" t="n">
        <v>4</v>
      </c>
      <c r="E5457" s="2" t="n">
        <v>2</v>
      </c>
      <c r="F5457" s="2" t="n">
        <v>151</v>
      </c>
      <c r="G5457" s="2" t="s">
        <v>2728</v>
      </c>
      <c r="H5457" s="2" t="str">
        <f aca="false">IFERROR(__xludf.dummyfunction("IF(I5515="""", """", REGEXEXTRACT(I5515, ""Padrao/([^/]+)""))"),"Santa Cruz do Jose Jacques")</f>
        <v>Santa Cruz do Jose Jacques</v>
      </c>
    </row>
    <row r="5458" customFormat="false" ht="15.75" hidden="false" customHeight="false" outlineLevel="0" collapsed="false">
      <c r="A5458" s="2" t="n">
        <v>238658</v>
      </c>
      <c r="B5458" s="2" t="s">
        <v>4502</v>
      </c>
      <c r="C5458" s="2" t="n">
        <v>1</v>
      </c>
      <c r="D5458" s="2" t="n">
        <v>1</v>
      </c>
      <c r="E5458" s="2" t="n">
        <v>1</v>
      </c>
      <c r="F5458" s="2" t="n">
        <v>51</v>
      </c>
      <c r="G5458" s="2" t="s">
        <v>3922</v>
      </c>
      <c r="H5458" s="2" t="str">
        <f aca="false">IFERROR(__xludf.dummyfunction("IF(I5516="""", """", REGEXEXTRACT(I5516, ""Padrao/([^/]+)""))"),"Alto da Boa Vista")</f>
        <v>Alto da Boa Vista</v>
      </c>
    </row>
    <row r="5459" customFormat="false" ht="15.75" hidden="false" customHeight="false" outlineLevel="0" collapsed="false">
      <c r="A5459" s="2" t="n">
        <v>224222</v>
      </c>
      <c r="B5459" s="2" t="s">
        <v>4503</v>
      </c>
      <c r="C5459" s="2" t="n">
        <v>4</v>
      </c>
      <c r="D5459" s="2" t="n">
        <v>4</v>
      </c>
      <c r="E5459" s="2" t="n">
        <v>2</v>
      </c>
      <c r="F5459" s="2" t="n">
        <v>124</v>
      </c>
      <c r="G5459" s="2" t="s">
        <v>3922</v>
      </c>
      <c r="H5459" s="2" t="str">
        <f aca="false">IFERROR(__xludf.dummyfunction("IF(I5517="""", """", REGEXEXTRACT(I5517, ""Padrao/([^/]+)""))"),"Centro")</f>
        <v>Centro</v>
      </c>
    </row>
    <row r="5460" customFormat="false" ht="15.75" hidden="false" customHeight="false" outlineLevel="0" collapsed="false">
      <c r="A5460" s="2" t="n">
        <v>236108</v>
      </c>
      <c r="B5460" s="2" t="s">
        <v>4504</v>
      </c>
      <c r="C5460" s="2" t="n">
        <v>3</v>
      </c>
      <c r="D5460" s="2" t="n">
        <v>3</v>
      </c>
      <c r="E5460" s="2" t="n">
        <v>2</v>
      </c>
      <c r="F5460" s="2" t="n">
        <v>123</v>
      </c>
      <c r="G5460" s="2" t="s">
        <v>4505</v>
      </c>
      <c r="H5460" s="2" t="str">
        <f aca="false">IFERROR(__xludf.dummyfunction("IF(I5518="""", """", REGEXEXTRACT(I5518, ""Padrao/([^/]+)""))"),"Jardim Paulista")</f>
        <v>Jardim Paulista</v>
      </c>
    </row>
    <row r="5461" customFormat="false" ht="15.75" hidden="false" customHeight="false" outlineLevel="0" collapsed="false">
      <c r="A5461" s="2" t="n">
        <v>229316</v>
      </c>
      <c r="B5461" s="2" t="s">
        <v>4506</v>
      </c>
      <c r="C5461" s="2" t="n">
        <v>3</v>
      </c>
      <c r="D5461" s="2" t="n">
        <v>5</v>
      </c>
      <c r="E5461" s="2" t="n">
        <v>3</v>
      </c>
      <c r="F5461" s="2" t="n">
        <v>146</v>
      </c>
      <c r="G5461" s="2" t="s">
        <v>4505</v>
      </c>
      <c r="H5461" s="2" t="str">
        <f aca="false">IFERROR(__xludf.dummyfunction("IF(I5519="""", """", REGEXEXTRACT(I5519, ""Padrao/([^/]+)""))"),"Santa Cruz do Jose Jacques")</f>
        <v>Santa Cruz do Jose Jacques</v>
      </c>
    </row>
    <row r="5462" customFormat="false" ht="15.75" hidden="false" customHeight="false" outlineLevel="0" collapsed="false">
      <c r="A5462" s="2" t="n">
        <v>245405</v>
      </c>
      <c r="B5462" s="2" t="s">
        <v>4419</v>
      </c>
      <c r="C5462" s="2" t="n">
        <v>2</v>
      </c>
      <c r="D5462" s="2" t="n">
        <v>3</v>
      </c>
      <c r="E5462" s="2" t="n">
        <v>2</v>
      </c>
      <c r="F5462" s="2" t="n">
        <v>85</v>
      </c>
      <c r="G5462" s="2" t="s">
        <v>4507</v>
      </c>
      <c r="H5462" s="2" t="str">
        <f aca="false">IFERROR(__xludf.dummyfunction("IF(I5520="""", """", REGEXEXTRACT(I5520, ""Padrao/([^/]+)""))"),"Nova Alianca")</f>
        <v>Nova Alianca</v>
      </c>
    </row>
    <row r="5463" customFormat="false" ht="15.75" hidden="false" customHeight="false" outlineLevel="0" collapsed="false">
      <c r="A5463" s="2" t="n">
        <v>245402</v>
      </c>
      <c r="B5463" s="2" t="s">
        <v>4419</v>
      </c>
      <c r="C5463" s="2" t="n">
        <v>2</v>
      </c>
      <c r="D5463" s="2" t="n">
        <v>3</v>
      </c>
      <c r="E5463" s="2" t="n">
        <v>2</v>
      </c>
      <c r="F5463" s="2" t="n">
        <v>85</v>
      </c>
      <c r="G5463" s="2" t="s">
        <v>4507</v>
      </c>
      <c r="H5463" s="2" t="str">
        <f aca="false">IFERROR(__xludf.dummyfunction("IF(I5521="""", """", REGEXEXTRACT(I5521, ""Padrao/([^/]+)""))"),"Nova Alianca")</f>
        <v>Nova Alianca</v>
      </c>
    </row>
    <row r="5464" customFormat="false" ht="15.75" hidden="false" customHeight="false" outlineLevel="0" collapsed="false">
      <c r="A5464" s="2" t="n">
        <v>245357</v>
      </c>
      <c r="B5464" s="2" t="s">
        <v>4419</v>
      </c>
      <c r="C5464" s="2" t="n">
        <v>2</v>
      </c>
      <c r="D5464" s="2" t="n">
        <v>3</v>
      </c>
      <c r="E5464" s="2" t="n">
        <v>2</v>
      </c>
      <c r="F5464" s="2" t="n">
        <v>85</v>
      </c>
      <c r="G5464" s="2" t="s">
        <v>4507</v>
      </c>
      <c r="H5464" s="2" t="str">
        <f aca="false">IFERROR(__xludf.dummyfunction("IF(I5522="""", """", REGEXEXTRACT(I5522, ""Padrao/([^/]+)""))"),"Nova Alianca")</f>
        <v>Nova Alianca</v>
      </c>
    </row>
    <row r="5465" customFormat="false" ht="15.75" hidden="false" customHeight="false" outlineLevel="0" collapsed="false">
      <c r="A5465" s="2" t="n">
        <v>245258</v>
      </c>
      <c r="B5465" s="2" t="s">
        <v>4419</v>
      </c>
      <c r="C5465" s="2" t="n">
        <v>2</v>
      </c>
      <c r="D5465" s="2" t="n">
        <v>3</v>
      </c>
      <c r="E5465" s="2" t="n">
        <v>2</v>
      </c>
      <c r="F5465" s="2" t="n">
        <v>85</v>
      </c>
      <c r="G5465" s="2" t="s">
        <v>4507</v>
      </c>
      <c r="H5465" s="2" t="str">
        <f aca="false">IFERROR(__xludf.dummyfunction("IF(I5523="""", """", REGEXEXTRACT(I5523, ""Padrao/([^/]+)""))"),"Nova Alianca")</f>
        <v>Nova Alianca</v>
      </c>
    </row>
    <row r="5466" customFormat="false" ht="15.75" hidden="false" customHeight="false" outlineLevel="0" collapsed="false">
      <c r="A5466" s="2" t="n">
        <v>136400</v>
      </c>
      <c r="B5466" s="2" t="s">
        <v>4508</v>
      </c>
      <c r="C5466" s="2" t="n">
        <v>5</v>
      </c>
      <c r="D5466" s="2" t="n">
        <v>5</v>
      </c>
      <c r="E5466" s="2" t="n">
        <v>3</v>
      </c>
      <c r="F5466" s="2" t="n">
        <v>317</v>
      </c>
      <c r="G5466" s="2" t="s">
        <v>4143</v>
      </c>
      <c r="H5466" s="2" t="str">
        <f aca="false">IFERROR(__xludf.dummyfunction("IF(I5524="""", """", REGEXEXTRACT(I5524, ""Padrao/([^/]+)""))"),"Centro")</f>
        <v>Centro</v>
      </c>
    </row>
    <row r="5467" customFormat="false" ht="15.75" hidden="false" customHeight="false" outlineLevel="0" collapsed="false">
      <c r="A5467" s="2" t="n">
        <v>188069</v>
      </c>
      <c r="B5467" s="2" t="s">
        <v>4509</v>
      </c>
      <c r="C5467" s="2" t="n">
        <v>2</v>
      </c>
      <c r="D5467" s="2" t="n">
        <v>2</v>
      </c>
      <c r="E5467" s="2" t="n">
        <v>2</v>
      </c>
      <c r="F5467" s="2" t="n">
        <v>86</v>
      </c>
      <c r="G5467" s="2" t="s">
        <v>4510</v>
      </c>
      <c r="H5467" s="2" t="str">
        <f aca="false">IFERROR(__xludf.dummyfunction("IF(I5525="""", """", REGEXEXTRACT(I5525, ""Padrao/([^/]+)""))"),"Bosque das Juritis")</f>
        <v>Bosque das Juritis</v>
      </c>
    </row>
    <row r="5468" customFormat="false" ht="15.75" hidden="false" customHeight="false" outlineLevel="0" collapsed="false">
      <c r="A5468" s="2" t="n">
        <v>227915</v>
      </c>
      <c r="B5468" s="2" t="s">
        <v>4511</v>
      </c>
      <c r="C5468" s="2" t="n">
        <v>3</v>
      </c>
      <c r="D5468" s="2" t="n">
        <v>3</v>
      </c>
      <c r="E5468" s="2" t="n">
        <v>2</v>
      </c>
      <c r="F5468" s="2" t="n">
        <v>111</v>
      </c>
      <c r="G5468" s="2" t="s">
        <v>2667</v>
      </c>
      <c r="H5468" s="2" t="str">
        <f aca="false">IFERROR(__xludf.dummyfunction("IF(I5526="""", """", REGEXEXTRACT(I5526, ""Padrao/([^/]+)""))"),"Jardim Nova Alianca Sul")</f>
        <v>Jardim Nova Alianca Sul</v>
      </c>
    </row>
    <row r="5469" customFormat="false" ht="15.75" hidden="false" customHeight="false" outlineLevel="0" collapsed="false">
      <c r="A5469" s="2" t="n">
        <v>240647</v>
      </c>
      <c r="B5469" s="2" t="s">
        <v>4512</v>
      </c>
      <c r="C5469" s="2" t="n">
        <v>4</v>
      </c>
      <c r="D5469" s="2" t="n">
        <v>2</v>
      </c>
      <c r="E5469" s="2" t="n">
        <v>2</v>
      </c>
      <c r="F5469" s="2" t="n">
        <v>111</v>
      </c>
      <c r="G5469" s="2" t="s">
        <v>1561</v>
      </c>
      <c r="H5469" s="2" t="str">
        <f aca="false">IFERROR(__xludf.dummyfunction("IF(I5527="""", """", REGEXEXTRACT(I5527, ""Padrao/([^/]+)""))"),"Jardim Nova Alianca Sul")</f>
        <v>Jardim Nova Alianca Sul</v>
      </c>
    </row>
    <row r="5470" customFormat="false" ht="15.75" hidden="false" customHeight="false" outlineLevel="0" collapsed="false">
      <c r="A5470" s="2" t="n">
        <v>235061</v>
      </c>
      <c r="B5470" s="2" t="s">
        <v>4513</v>
      </c>
      <c r="C5470" s="2" t="n">
        <v>2</v>
      </c>
      <c r="D5470" s="2" t="n">
        <v>3</v>
      </c>
      <c r="E5470" s="2" t="n">
        <v>2</v>
      </c>
      <c r="F5470" s="2" t="n">
        <v>90</v>
      </c>
      <c r="G5470" s="2" t="s">
        <v>1561</v>
      </c>
      <c r="H5470" s="2" t="str">
        <f aca="false">IFERROR(__xludf.dummyfunction("IF(I5528="""", """", REGEXEXTRACT(I5528, ""Padrao/([^/]+)""))"),"Quinta da Primavera")</f>
        <v>Quinta da Primavera</v>
      </c>
    </row>
    <row r="5471" customFormat="false" ht="15.75" hidden="false" customHeight="false" outlineLevel="0" collapsed="false">
      <c r="A5471" s="2" t="n">
        <v>219836</v>
      </c>
      <c r="B5471" s="2" t="s">
        <v>4514</v>
      </c>
      <c r="C5471" s="2" t="n">
        <v>2</v>
      </c>
      <c r="D5471" s="2" t="n">
        <v>2</v>
      </c>
      <c r="E5471" s="2" t="n">
        <v>2</v>
      </c>
      <c r="F5471" s="2" t="n">
        <v>60</v>
      </c>
      <c r="G5471" s="2" t="s">
        <v>1561</v>
      </c>
      <c r="H5471" s="2" t="str">
        <f aca="false">IFERROR(__xludf.dummyfunction("IF(I5529="""", """", REGEXEXTRACT(I5529, ""Padrao/([^/]+)""))"),"Jardim Sumare")</f>
        <v>Jardim Sumare</v>
      </c>
    </row>
    <row r="5472" customFormat="false" ht="15.75" hidden="false" customHeight="false" outlineLevel="0" collapsed="false">
      <c r="A5472" s="2" t="n">
        <v>213821</v>
      </c>
      <c r="B5472" s="2" t="s">
        <v>4515</v>
      </c>
      <c r="C5472" s="2" t="n">
        <v>2</v>
      </c>
      <c r="D5472" s="2" t="n">
        <v>3</v>
      </c>
      <c r="E5472" s="2" t="n">
        <v>2</v>
      </c>
      <c r="F5472" s="2" t="n">
        <v>111</v>
      </c>
      <c r="G5472" s="2" t="s">
        <v>1561</v>
      </c>
      <c r="H5472" s="2" t="str">
        <f aca="false">IFERROR(__xludf.dummyfunction("IF(I5530="""", """", REGEXEXTRACT(I5530, ""Padrao/([^/]+)""))"),"Nova Alianca")</f>
        <v>Nova Alianca</v>
      </c>
    </row>
    <row r="5473" customFormat="false" ht="15.75" hidden="false" customHeight="false" outlineLevel="0" collapsed="false">
      <c r="A5473" s="2" t="n">
        <v>124403</v>
      </c>
      <c r="B5473" s="2" t="s">
        <v>4516</v>
      </c>
      <c r="C5473" s="2" t="n">
        <v>2</v>
      </c>
      <c r="D5473" s="2" t="n">
        <v>3</v>
      </c>
      <c r="E5473" s="2" t="n">
        <v>1</v>
      </c>
      <c r="F5473" s="2" t="n">
        <v>73</v>
      </c>
      <c r="G5473" s="2" t="s">
        <v>1561</v>
      </c>
      <c r="H5473" s="2" t="str">
        <f aca="false">IFERROR(__xludf.dummyfunction("IF(I5531="""", """", REGEXEXTRACT(I5531, ""Padrao/([^/]+)""))"),"Bosque das Juritis")</f>
        <v>Bosque das Juritis</v>
      </c>
    </row>
    <row r="5474" customFormat="false" ht="15.75" hidden="false" customHeight="false" outlineLevel="0" collapsed="false">
      <c r="A5474" s="2" t="n">
        <v>239015</v>
      </c>
      <c r="B5474" s="2" t="s">
        <v>4498</v>
      </c>
      <c r="C5474" s="2" t="n">
        <v>3</v>
      </c>
      <c r="D5474" s="2" t="n">
        <v>2</v>
      </c>
      <c r="E5474" s="2" t="n">
        <v>2</v>
      </c>
      <c r="F5474" s="2" t="n">
        <v>90</v>
      </c>
      <c r="G5474" s="2" t="s">
        <v>4517</v>
      </c>
      <c r="H5474" s="2" t="str">
        <f aca="false">IFERROR(__xludf.dummyfunction("IF(I5532="""", """", REGEXEXTRACT(I5532, ""Padrao/([^/]+)""))"),"Jardim Olhos DAgua")</f>
        <v>Jardim Olhos DAgua</v>
      </c>
    </row>
    <row r="5475" customFormat="false" ht="15.75" hidden="false" customHeight="false" outlineLevel="0" collapsed="false">
      <c r="A5475" s="2" t="n">
        <v>239012</v>
      </c>
      <c r="B5475" s="2" t="s">
        <v>4498</v>
      </c>
      <c r="C5475" s="2" t="n">
        <v>3</v>
      </c>
      <c r="D5475" s="2" t="n">
        <v>2</v>
      </c>
      <c r="E5475" s="2" t="n">
        <v>2</v>
      </c>
      <c r="F5475" s="2" t="n">
        <v>90</v>
      </c>
      <c r="G5475" s="2" t="s">
        <v>4517</v>
      </c>
      <c r="H5475" s="2" t="str">
        <f aca="false">IFERROR(__xludf.dummyfunction("IF(I5533="""", """", REGEXEXTRACT(I5533, ""Padrao/([^/]+)""))"),"Jardim Olhos DAgua")</f>
        <v>Jardim Olhos DAgua</v>
      </c>
    </row>
    <row r="5476" customFormat="false" ht="15.75" hidden="false" customHeight="false" outlineLevel="0" collapsed="false">
      <c r="A5476" s="2" t="n">
        <v>178280</v>
      </c>
      <c r="B5476" s="2" t="s">
        <v>4487</v>
      </c>
      <c r="C5476" s="2" t="n">
        <v>3</v>
      </c>
      <c r="D5476" s="2" t="n">
        <v>3</v>
      </c>
      <c r="E5476" s="2" t="n">
        <v>1</v>
      </c>
      <c r="F5476" s="2" t="n">
        <v>75</v>
      </c>
      <c r="G5476" s="2" t="s">
        <v>4518</v>
      </c>
      <c r="H5476" s="2" t="str">
        <f aca="false">IFERROR(__xludf.dummyfunction("IF(I5534="""", """", REGEXEXTRACT(I5534, ""Padrao/([^/]+)""))"),"Nova Alianca")</f>
        <v>Nova Alianca</v>
      </c>
    </row>
    <row r="5477" customFormat="false" ht="15.75" hidden="false" customHeight="false" outlineLevel="0" collapsed="false">
      <c r="A5477" s="2" t="n">
        <v>229157</v>
      </c>
      <c r="B5477" s="2" t="s">
        <v>4519</v>
      </c>
      <c r="C5477" s="2" t="n">
        <v>3</v>
      </c>
      <c r="D5477" s="2" t="n">
        <v>2</v>
      </c>
      <c r="E5477" s="2" t="n">
        <v>2</v>
      </c>
      <c r="F5477" s="2" t="n">
        <v>107</v>
      </c>
      <c r="G5477" s="2" t="s">
        <v>4520</v>
      </c>
      <c r="H5477" s="2" t="str">
        <f aca="false">IFERROR(__xludf.dummyfunction("IF(I5535="""", """", REGEXEXTRACT(I5535, ""Padrao/([^/]+)""))"),"Jardim Paulista")</f>
        <v>Jardim Paulista</v>
      </c>
    </row>
    <row r="5478" customFormat="false" ht="15.75" hidden="false" customHeight="false" outlineLevel="0" collapsed="false">
      <c r="A5478" s="2" t="n">
        <v>210059</v>
      </c>
      <c r="B5478" s="2" t="s">
        <v>4521</v>
      </c>
      <c r="C5478" s="2" t="n">
        <v>2</v>
      </c>
      <c r="D5478" s="2" t="n">
        <v>2</v>
      </c>
      <c r="E5478" s="2" t="n">
        <v>1</v>
      </c>
      <c r="F5478" s="2" t="n">
        <v>68</v>
      </c>
      <c r="G5478" s="2" t="s">
        <v>4520</v>
      </c>
      <c r="H5478" s="2" t="str">
        <f aca="false">IFERROR(__xludf.dummyfunction("IF(I5536="""", """", REGEXEXTRACT(I5536, ""Padrao/([^/]+)""))"),"Vila do Golf")</f>
        <v>Vila do Golf</v>
      </c>
    </row>
    <row r="5479" customFormat="false" ht="15.75" hidden="false" customHeight="false" outlineLevel="0" collapsed="false">
      <c r="A5479" s="2" t="n">
        <v>159314</v>
      </c>
      <c r="B5479" s="2" t="s">
        <v>4522</v>
      </c>
      <c r="C5479" s="2" t="n">
        <v>3</v>
      </c>
      <c r="D5479" s="2" t="n">
        <v>3</v>
      </c>
      <c r="E5479" s="2" t="n">
        <v>2</v>
      </c>
      <c r="F5479" s="2" t="n">
        <v>98</v>
      </c>
      <c r="G5479" s="2" t="s">
        <v>4520</v>
      </c>
      <c r="H5479" s="2" t="str">
        <f aca="false">IFERROR(__xludf.dummyfunction("IF(I5537="""", """", REGEXEXTRACT(I5537, ""Padrao/([^/]+)""))"),"Quinta da Primavera")</f>
        <v>Quinta da Primavera</v>
      </c>
    </row>
    <row r="5480" customFormat="false" ht="15.75" hidden="false" customHeight="false" outlineLevel="0" collapsed="false">
      <c r="A5480" s="2" t="n">
        <v>245360</v>
      </c>
      <c r="B5480" s="2" t="s">
        <v>4419</v>
      </c>
      <c r="C5480" s="2" t="n">
        <v>2</v>
      </c>
      <c r="D5480" s="2" t="n">
        <v>3</v>
      </c>
      <c r="E5480" s="2" t="n">
        <v>2</v>
      </c>
      <c r="F5480" s="2" t="n">
        <v>85</v>
      </c>
      <c r="G5480" s="2" t="s">
        <v>4523</v>
      </c>
      <c r="H5480" s="2" t="str">
        <f aca="false">IFERROR(__xludf.dummyfunction("IF(I5538="""", """", REGEXEXTRACT(I5538, ""Padrao/([^/]+)""))"),"Nova Alianca")</f>
        <v>Nova Alianca</v>
      </c>
    </row>
    <row r="5481" customFormat="false" ht="15.75" hidden="false" customHeight="false" outlineLevel="0" collapsed="false">
      <c r="A5481" s="2" t="n">
        <v>245348</v>
      </c>
      <c r="B5481" s="2" t="s">
        <v>4419</v>
      </c>
      <c r="C5481" s="2" t="n">
        <v>2</v>
      </c>
      <c r="D5481" s="2" t="n">
        <v>3</v>
      </c>
      <c r="E5481" s="2" t="n">
        <v>2</v>
      </c>
      <c r="F5481" s="2" t="n">
        <v>85</v>
      </c>
      <c r="G5481" s="2" t="s">
        <v>4523</v>
      </c>
      <c r="H5481" s="2" t="str">
        <f aca="false">IFERROR(__xludf.dummyfunction("IF(I5539="""", """", REGEXEXTRACT(I5539, ""Padrao/([^/]+)""))"),"Nova Alianca")</f>
        <v>Nova Alianca</v>
      </c>
    </row>
    <row r="5482" customFormat="false" ht="15.75" hidden="false" customHeight="false" outlineLevel="0" collapsed="false">
      <c r="A5482" s="2" t="n">
        <v>245336</v>
      </c>
      <c r="B5482" s="2" t="s">
        <v>4419</v>
      </c>
      <c r="C5482" s="2" t="n">
        <v>2</v>
      </c>
      <c r="D5482" s="2" t="n">
        <v>3</v>
      </c>
      <c r="E5482" s="2" t="n">
        <v>2</v>
      </c>
      <c r="F5482" s="2" t="n">
        <v>85</v>
      </c>
      <c r="G5482" s="2" t="s">
        <v>4523</v>
      </c>
      <c r="H5482" s="2" t="str">
        <f aca="false">IFERROR(__xludf.dummyfunction("IF(I5540="""", """", REGEXEXTRACT(I5540, ""Padrao/([^/]+)""))"),"Nova Alianca")</f>
        <v>Nova Alianca</v>
      </c>
    </row>
    <row r="5483" customFormat="false" ht="15.75" hidden="false" customHeight="false" outlineLevel="0" collapsed="false">
      <c r="A5483" s="2" t="n">
        <v>245264</v>
      </c>
      <c r="B5483" s="2" t="s">
        <v>4419</v>
      </c>
      <c r="C5483" s="2" t="n">
        <v>2</v>
      </c>
      <c r="D5483" s="2" t="n">
        <v>3</v>
      </c>
      <c r="E5483" s="2" t="n">
        <v>2</v>
      </c>
      <c r="F5483" s="2" t="n">
        <v>85</v>
      </c>
      <c r="G5483" s="2" t="s">
        <v>4523</v>
      </c>
      <c r="H5483" s="2" t="str">
        <f aca="false">IFERROR(__xludf.dummyfunction("IF(I5541="""", """", REGEXEXTRACT(I5541, ""Padrao/([^/]+)""))"),"Nova Alianca")</f>
        <v>Nova Alianca</v>
      </c>
    </row>
    <row r="5484" customFormat="false" ht="15.75" hidden="false" customHeight="false" outlineLevel="0" collapsed="false">
      <c r="A5484" s="2" t="n">
        <v>245261</v>
      </c>
      <c r="B5484" s="2" t="s">
        <v>4419</v>
      </c>
      <c r="C5484" s="2" t="n">
        <v>2</v>
      </c>
      <c r="D5484" s="2" t="n">
        <v>3</v>
      </c>
      <c r="E5484" s="2" t="n">
        <v>2</v>
      </c>
      <c r="F5484" s="2" t="n">
        <v>85</v>
      </c>
      <c r="G5484" s="2" t="s">
        <v>4523</v>
      </c>
      <c r="H5484" s="2" t="str">
        <f aca="false">IFERROR(__xludf.dummyfunction("IF(I5542="""", """", REGEXEXTRACT(I5542, ""Padrao/([^/]+)""))"),"Nova Alianca")</f>
        <v>Nova Alianca</v>
      </c>
    </row>
    <row r="5485" customFormat="false" ht="15.75" hidden="false" customHeight="false" outlineLevel="0" collapsed="false">
      <c r="A5485" s="2" t="n">
        <v>245255</v>
      </c>
      <c r="B5485" s="2" t="s">
        <v>4419</v>
      </c>
      <c r="C5485" s="2" t="n">
        <v>2</v>
      </c>
      <c r="D5485" s="2" t="n">
        <v>3</v>
      </c>
      <c r="E5485" s="2" t="n">
        <v>2</v>
      </c>
      <c r="F5485" s="2" t="n">
        <v>85</v>
      </c>
      <c r="G5485" s="2" t="s">
        <v>4523</v>
      </c>
      <c r="H5485" s="2" t="str">
        <f aca="false">IFERROR(__xludf.dummyfunction("IF(I5543="""", """", REGEXEXTRACT(I5543, ""Padrao/([^/]+)""))"),"Nova Alianca")</f>
        <v>Nova Alianca</v>
      </c>
    </row>
    <row r="5486" customFormat="false" ht="15.75" hidden="false" customHeight="false" outlineLevel="0" collapsed="false">
      <c r="A5486" s="2" t="n">
        <v>245297</v>
      </c>
      <c r="B5486" s="2" t="s">
        <v>4524</v>
      </c>
      <c r="C5486" s="2" t="n">
        <v>2</v>
      </c>
      <c r="D5486" s="2" t="n">
        <v>3</v>
      </c>
      <c r="E5486" s="2" t="n">
        <v>2</v>
      </c>
      <c r="F5486" s="2" t="n">
        <v>85</v>
      </c>
      <c r="G5486" s="2" t="s">
        <v>2740</v>
      </c>
      <c r="H5486" s="2" t="str">
        <f aca="false">IFERROR(__xludf.dummyfunction("IF(I5544="""", """", REGEXEXTRACT(I5544, ""Padrao/([^/]+)""))"),"Nova Alianca")</f>
        <v>Nova Alianca</v>
      </c>
    </row>
    <row r="5487" customFormat="false" ht="15.75" hidden="false" customHeight="false" outlineLevel="0" collapsed="false">
      <c r="A5487" s="2" t="n">
        <v>88916</v>
      </c>
      <c r="B5487" s="2" t="s">
        <v>4525</v>
      </c>
      <c r="C5487" s="2" t="n">
        <v>4</v>
      </c>
      <c r="D5487" s="2" t="n">
        <v>4</v>
      </c>
      <c r="E5487" s="2" t="n">
        <v>2</v>
      </c>
      <c r="F5487" s="2" t="n">
        <v>161</v>
      </c>
      <c r="G5487" s="2" t="s">
        <v>4526</v>
      </c>
      <c r="H5487" s="2" t="str">
        <f aca="false">IFERROR(__xludf.dummyfunction("IF(I5545="""", """", REGEXEXTRACT(I5545, ""Padrao/([^/]+)""))"),"Ribeirania")</f>
        <v>Ribeirania</v>
      </c>
    </row>
    <row r="5488" customFormat="false" ht="15.75" hidden="false" customHeight="false" outlineLevel="0" collapsed="false">
      <c r="A5488" s="2" t="n">
        <v>236810</v>
      </c>
      <c r="B5488" s="2" t="s">
        <v>4527</v>
      </c>
      <c r="C5488" s="2" t="n">
        <v>1</v>
      </c>
      <c r="D5488" s="2" t="n">
        <v>2</v>
      </c>
      <c r="E5488" s="2" t="n">
        <v>1</v>
      </c>
      <c r="F5488" s="2" t="n">
        <v>56</v>
      </c>
      <c r="G5488" s="2" t="s">
        <v>2697</v>
      </c>
      <c r="H5488" s="2" t="str">
        <f aca="false">IFERROR(__xludf.dummyfunction("IF(I5546="""", """", REGEXEXTRACT(I5546, ""Padrao/([^/]+)""))"),"Jardim Botanico")</f>
        <v>Jardim Botanico</v>
      </c>
    </row>
    <row r="5489" customFormat="false" ht="15.75" hidden="false" customHeight="false" outlineLevel="0" collapsed="false">
      <c r="A5489" s="2" t="n">
        <v>230150</v>
      </c>
      <c r="B5489" s="2" t="s">
        <v>4511</v>
      </c>
      <c r="C5489" s="2" t="n">
        <v>3</v>
      </c>
      <c r="D5489" s="2" t="n">
        <v>3</v>
      </c>
      <c r="E5489" s="2" t="n">
        <v>2</v>
      </c>
      <c r="F5489" s="2" t="n">
        <v>111</v>
      </c>
      <c r="G5489" s="2" t="s">
        <v>2697</v>
      </c>
      <c r="H5489" s="2" t="str">
        <f aca="false">IFERROR(__xludf.dummyfunction("IF(I5547="""", """", REGEXEXTRACT(I5547, ""Padrao/([^/]+)""))"),"Jardim Nova Alianca Sul")</f>
        <v>Jardim Nova Alianca Sul</v>
      </c>
    </row>
    <row r="5490" customFormat="false" ht="15.75" hidden="false" customHeight="false" outlineLevel="0" collapsed="false">
      <c r="A5490" s="2" t="n">
        <v>175850</v>
      </c>
      <c r="B5490" s="2" t="s">
        <v>602</v>
      </c>
      <c r="C5490" s="2" t="n">
        <v>4</v>
      </c>
      <c r="D5490" s="2" t="n">
        <v>4</v>
      </c>
      <c r="E5490" s="2" t="n">
        <v>2</v>
      </c>
      <c r="F5490" s="2" t="n">
        <v>367</v>
      </c>
      <c r="G5490" s="2" t="s">
        <v>2697</v>
      </c>
      <c r="H5490" s="2" t="str">
        <f aca="false">IFERROR(__xludf.dummyfunction("IF(I5548="""", """", REGEXEXTRACT(I5548, ""Padrao/([^/]+)""))"),"Vila Seixas")</f>
        <v>Vila Seixas</v>
      </c>
    </row>
    <row r="5491" customFormat="false" ht="15.75" hidden="false" customHeight="false" outlineLevel="0" collapsed="false">
      <c r="A5491" s="2" t="n">
        <v>151157</v>
      </c>
      <c r="B5491" s="2" t="s">
        <v>4528</v>
      </c>
      <c r="C5491" s="2" t="n">
        <v>3</v>
      </c>
      <c r="D5491" s="2" t="n">
        <v>3</v>
      </c>
      <c r="E5491" s="2" t="n">
        <v>2</v>
      </c>
      <c r="F5491" s="2" t="n">
        <v>151</v>
      </c>
      <c r="G5491" s="2" t="s">
        <v>2697</v>
      </c>
      <c r="H5491" s="2" t="str">
        <f aca="false">IFERROR(__xludf.dummyfunction("IF(I5549="""", """", REGEXEXTRACT(I5549, ""Padrao/([^/]+)""))"),"Santa Cruz do Jose Jacques")</f>
        <v>Santa Cruz do Jose Jacques</v>
      </c>
    </row>
    <row r="5492" customFormat="false" ht="15.75" hidden="false" customHeight="false" outlineLevel="0" collapsed="false">
      <c r="A5492" s="2" t="n">
        <v>116159</v>
      </c>
      <c r="B5492" s="2" t="s">
        <v>4529</v>
      </c>
      <c r="C5492" s="2" t="n">
        <v>3</v>
      </c>
      <c r="D5492" s="2" t="n">
        <v>5</v>
      </c>
      <c r="E5492" s="2" t="n">
        <v>2</v>
      </c>
      <c r="F5492" s="2" t="n">
        <v>122</v>
      </c>
      <c r="G5492" s="2" t="s">
        <v>2697</v>
      </c>
      <c r="H5492" s="2" t="str">
        <f aca="false">IFERROR(__xludf.dummyfunction("IF(I5550="""", """", REGEXEXTRACT(I5550, ""Padrao/([^/]+)""))"),"Jardim Botanico")</f>
        <v>Jardim Botanico</v>
      </c>
    </row>
    <row r="5493" customFormat="false" ht="15.75" hidden="false" customHeight="false" outlineLevel="0" collapsed="false">
      <c r="A5493" s="2" t="n">
        <v>176867</v>
      </c>
      <c r="B5493" s="2" t="s">
        <v>4301</v>
      </c>
      <c r="C5493" s="2" t="n">
        <v>2</v>
      </c>
      <c r="D5493" s="2" t="n">
        <v>3</v>
      </c>
      <c r="E5493" s="2" t="n">
        <v>2</v>
      </c>
      <c r="F5493" s="2" t="n">
        <v>81</v>
      </c>
      <c r="G5493" s="2" t="s">
        <v>4530</v>
      </c>
      <c r="H5493" s="2" t="str">
        <f aca="false">IFERROR(__xludf.dummyfunction("IF(I5551="""", """", REGEXEXTRACT(I5551, ""Padrao/([^/]+)""))"),"Nova Alianca")</f>
        <v>Nova Alianca</v>
      </c>
    </row>
    <row r="5494" customFormat="false" ht="15.75" hidden="false" customHeight="false" outlineLevel="0" collapsed="false">
      <c r="A5494" s="2" t="n">
        <v>165212</v>
      </c>
      <c r="B5494" s="2" t="s">
        <v>4531</v>
      </c>
      <c r="C5494" s="2" t="n">
        <v>3</v>
      </c>
      <c r="D5494" s="2" t="n">
        <v>4</v>
      </c>
      <c r="E5494" s="2" t="n">
        <v>2</v>
      </c>
      <c r="F5494" s="2" t="n">
        <v>114</v>
      </c>
      <c r="G5494" s="2" t="s">
        <v>4532</v>
      </c>
      <c r="H5494" s="2" t="str">
        <f aca="false">IFERROR(__xludf.dummyfunction("IF(I5552="""", """", REGEXEXTRACT(I5552, ""Padrao/([^/]+)""))"),"Jardim Botanico")</f>
        <v>Jardim Botanico</v>
      </c>
    </row>
    <row r="5495" customFormat="false" ht="15.75" hidden="false" customHeight="false" outlineLevel="0" collapsed="false">
      <c r="A5495" s="2" t="n">
        <v>227693</v>
      </c>
      <c r="B5495" s="2" t="s">
        <v>109</v>
      </c>
      <c r="C5495" s="2" t="n">
        <v>4</v>
      </c>
      <c r="D5495" s="2" t="n">
        <v>6</v>
      </c>
      <c r="E5495" s="2" t="n">
        <v>3</v>
      </c>
      <c r="F5495" s="2" t="n">
        <v>153</v>
      </c>
      <c r="G5495" s="2" t="s">
        <v>144</v>
      </c>
      <c r="H5495" s="2" t="str">
        <f aca="false">IFERROR(__xludf.dummyfunction("IF(I5553="""", """", REGEXEXTRACT(I5553, ""Padrao/([^/]+)""))"),"Jardim Olhos DAgua")</f>
        <v>Jardim Olhos DAgua</v>
      </c>
    </row>
    <row r="5496" customFormat="false" ht="15.75" hidden="false" customHeight="false" outlineLevel="0" collapsed="false">
      <c r="A5496" s="2" t="n">
        <v>236285</v>
      </c>
      <c r="B5496" s="2" t="s">
        <v>4533</v>
      </c>
      <c r="C5496" s="2" t="n">
        <v>3</v>
      </c>
      <c r="D5496" s="2" t="n">
        <v>5</v>
      </c>
      <c r="E5496" s="2" t="n">
        <v>3</v>
      </c>
      <c r="F5496" s="2" t="n">
        <v>160</v>
      </c>
      <c r="G5496" s="2" t="s">
        <v>191</v>
      </c>
      <c r="H5496" s="2" t="str">
        <f aca="false">IFERROR(__xludf.dummyfunction("IF(I5554="""", """", REGEXEXTRACT(I5554, ""Padrao/([^/]+)""))"),"Jardim Botanico")</f>
        <v>Jardim Botanico</v>
      </c>
    </row>
    <row r="5497" customFormat="false" ht="15.75" hidden="false" customHeight="false" outlineLevel="0" collapsed="false">
      <c r="A5497" s="2" t="n">
        <v>241745</v>
      </c>
      <c r="B5497" s="2" t="s">
        <v>4534</v>
      </c>
      <c r="C5497" s="2" t="n">
        <v>3</v>
      </c>
      <c r="D5497" s="2" t="n">
        <v>5</v>
      </c>
      <c r="E5497" s="2" t="n">
        <v>3</v>
      </c>
      <c r="F5497" s="2" t="n">
        <v>170</v>
      </c>
      <c r="G5497" s="2" t="s">
        <v>213</v>
      </c>
      <c r="H5497" s="2" t="str">
        <f aca="false">IFERROR(__xludf.dummyfunction("IF(I5555="""", """", REGEXEXTRACT(I5555, ""Padrao/([^/]+)""))"),"Vila do Golf")</f>
        <v>Vila do Golf</v>
      </c>
    </row>
    <row r="5498" customFormat="false" ht="15.75" hidden="false" customHeight="false" outlineLevel="0" collapsed="false">
      <c r="A5498" s="2" t="n">
        <v>213446</v>
      </c>
      <c r="B5498" s="2" t="s">
        <v>182</v>
      </c>
      <c r="C5498" s="2" t="n">
        <v>3</v>
      </c>
      <c r="D5498" s="2" t="n">
        <v>5</v>
      </c>
      <c r="E5498" s="2" t="n">
        <v>3</v>
      </c>
      <c r="F5498" s="2" t="n">
        <v>154</v>
      </c>
      <c r="G5498" s="2" t="s">
        <v>277</v>
      </c>
      <c r="H5498" s="2" t="str">
        <f aca="false">IFERROR(__xludf.dummyfunction("IF(I5556="""", """", REGEXEXTRACT(I5556, ""Padrao/([^/]+)""))"),"Jardim Olhos DAgua")</f>
        <v>Jardim Olhos DAgua</v>
      </c>
    </row>
    <row r="5499" customFormat="false" ht="15.75" hidden="false" customHeight="false" outlineLevel="0" collapsed="false">
      <c r="A5499" s="2" t="n">
        <v>215531</v>
      </c>
      <c r="B5499" s="2" t="s">
        <v>4352</v>
      </c>
      <c r="C5499" s="2" t="n">
        <v>3</v>
      </c>
      <c r="D5499" s="2" t="n">
        <v>5</v>
      </c>
      <c r="E5499" s="2" t="n">
        <v>3</v>
      </c>
      <c r="F5499" s="2" t="n">
        <v>153</v>
      </c>
      <c r="G5499" s="2" t="s">
        <v>231</v>
      </c>
      <c r="H5499" s="2" t="str">
        <f aca="false">IFERROR(__xludf.dummyfunction("IF(I5557="""", """", REGEXEXTRACT(I5557, ""Padrao/([^/]+)""))"),"Jardim Olhos DAgua")</f>
        <v>Jardim Olhos DAgua</v>
      </c>
    </row>
    <row r="5500" customFormat="false" ht="15.75" hidden="false" customHeight="false" outlineLevel="0" collapsed="false">
      <c r="A5500" s="2" t="n">
        <v>231668</v>
      </c>
      <c r="B5500" s="2" t="s">
        <v>4535</v>
      </c>
      <c r="C5500" s="2" t="n">
        <v>3</v>
      </c>
      <c r="D5500" s="2" t="n">
        <v>6</v>
      </c>
      <c r="E5500" s="2" t="n">
        <v>3</v>
      </c>
      <c r="F5500" s="2" t="n">
        <v>170</v>
      </c>
      <c r="G5500" s="2" t="s">
        <v>4536</v>
      </c>
      <c r="H5500" s="2" t="str">
        <f aca="false">IFERROR(__xludf.dummyfunction("IF(I5558="""", """", REGEXEXTRACT(I5558, ""Padrao/([^/]+)""))"),"Vila do Golf")</f>
        <v>Vila do Golf</v>
      </c>
    </row>
    <row r="5501" customFormat="false" ht="15.75" hidden="false" customHeight="false" outlineLevel="0" collapsed="false">
      <c r="A5501" s="2" t="n">
        <v>241283</v>
      </c>
      <c r="B5501" s="2" t="s">
        <v>4537</v>
      </c>
      <c r="C5501" s="2" t="n">
        <v>4</v>
      </c>
      <c r="D5501" s="2" t="n">
        <v>6</v>
      </c>
      <c r="E5501" s="2" t="n">
        <v>3</v>
      </c>
      <c r="F5501" s="2" t="n">
        <v>227</v>
      </c>
      <c r="G5501" s="2" t="s">
        <v>274</v>
      </c>
      <c r="H5501" s="2" t="str">
        <f aca="false">IFERROR(__xludf.dummyfunction("IF(I5559="""", """", REGEXEXTRACT(I5559, ""Padrao/([^/]+)""))"),"Jardim Botanico")</f>
        <v>Jardim Botanico</v>
      </c>
    </row>
    <row r="5502" customFormat="false" ht="15.75" hidden="false" customHeight="false" outlineLevel="0" collapsed="false">
      <c r="A5502" s="2" t="n">
        <v>210236</v>
      </c>
      <c r="B5502" s="2" t="s">
        <v>4538</v>
      </c>
      <c r="C5502" s="2" t="n">
        <v>3</v>
      </c>
      <c r="D5502" s="2" t="n">
        <v>5</v>
      </c>
      <c r="E5502" s="2" t="n">
        <v>4</v>
      </c>
      <c r="F5502" s="2" t="n">
        <v>227</v>
      </c>
      <c r="G5502" s="2" t="s">
        <v>4539</v>
      </c>
      <c r="H5502" s="2" t="str">
        <f aca="false">IFERROR(__xludf.dummyfunction("IF(I5560="""", """", REGEXEXTRACT(I5560, ""Padrao/([^/]+)""))"),"Jardim Botanico")</f>
        <v>Jardim Botanico</v>
      </c>
    </row>
    <row r="5503" customFormat="false" ht="15.75" hidden="false" customHeight="false" outlineLevel="0" collapsed="false">
      <c r="A5503" s="2" t="n">
        <v>241181</v>
      </c>
      <c r="B5503" s="2" t="s">
        <v>4540</v>
      </c>
      <c r="C5503" s="2" t="n">
        <v>3</v>
      </c>
      <c r="D5503" s="2" t="n">
        <v>4</v>
      </c>
      <c r="E5503" s="2" t="n">
        <v>3</v>
      </c>
      <c r="F5503" s="2" t="n">
        <v>124</v>
      </c>
      <c r="G5503" s="2" t="s">
        <v>320</v>
      </c>
      <c r="H5503" s="2" t="str">
        <f aca="false">IFERROR(__xludf.dummyfunction("IF(I5561="""", """", REGEXEXTRACT(I5561, ""Padrao/([^/]+)""))"),"Bonfim Paulista")</f>
        <v>Bonfim Paulista</v>
      </c>
    </row>
    <row r="5504" customFormat="false" ht="15.75" hidden="false" customHeight="false" outlineLevel="0" collapsed="false">
      <c r="A5504" s="2" t="n">
        <v>229214</v>
      </c>
      <c r="B5504" s="2" t="s">
        <v>300</v>
      </c>
      <c r="C5504" s="2" t="n">
        <v>3</v>
      </c>
      <c r="D5504" s="2" t="n">
        <v>5</v>
      </c>
      <c r="E5504" s="2" t="n">
        <v>3</v>
      </c>
      <c r="F5504" s="2" t="n">
        <v>214</v>
      </c>
      <c r="G5504" s="2" t="s">
        <v>324</v>
      </c>
      <c r="H5504" s="2" t="str">
        <f aca="false">IFERROR(__xludf.dummyfunction("IF(I5562="""", """", REGEXEXTRACT(I5562, ""Padrao/([^/]+)""))"),"Bosque das Juritis")</f>
        <v>Bosque das Juritis</v>
      </c>
    </row>
    <row r="5505" customFormat="false" ht="15.75" hidden="false" customHeight="false" outlineLevel="0" collapsed="false">
      <c r="A5505" s="2" t="n">
        <v>198350</v>
      </c>
      <c r="B5505" s="2" t="s">
        <v>4541</v>
      </c>
      <c r="C5505" s="2" t="n">
        <v>2</v>
      </c>
      <c r="D5505" s="2" t="n">
        <v>1</v>
      </c>
      <c r="E5505" s="2" t="n">
        <v>1</v>
      </c>
      <c r="F5505" s="2" t="n">
        <v>42</v>
      </c>
      <c r="G5505" s="2" t="s">
        <v>4542</v>
      </c>
      <c r="H5505" s="2" t="str">
        <f aca="false">IFERROR(__xludf.dummyfunction("IF(I5563="""", """", REGEXEXTRACT(I5563, ""Padrao/([^/]+)""))"),"Jardim Jose Wilson Toni")</f>
        <v>Jardim Jose Wilson Toni</v>
      </c>
    </row>
    <row r="5506" customFormat="false" ht="15.75" hidden="false" customHeight="false" outlineLevel="0" collapsed="false">
      <c r="A5506" s="2" t="n">
        <v>180608</v>
      </c>
      <c r="B5506" s="2" t="s">
        <v>4543</v>
      </c>
      <c r="C5506" s="2" t="n">
        <v>2</v>
      </c>
      <c r="D5506" s="2" t="n">
        <v>1</v>
      </c>
      <c r="E5506" s="2" t="n">
        <v>1</v>
      </c>
      <c r="F5506" s="2" t="n">
        <v>42</v>
      </c>
      <c r="G5506" s="2" t="s">
        <v>4542</v>
      </c>
      <c r="H5506" s="2" t="str">
        <f aca="false">IFERROR(__xludf.dummyfunction("IF(I5564="""", """", REGEXEXTRACT(I5564, ""Padrao/([^/]+)""))"),"Jardim Jose Wilson Toni")</f>
        <v>Jardim Jose Wilson Toni</v>
      </c>
    </row>
    <row r="5507" customFormat="false" ht="15.75" hidden="false" customHeight="false" outlineLevel="0" collapsed="false">
      <c r="A5507" s="2" t="n">
        <v>147218</v>
      </c>
      <c r="B5507" s="2" t="s">
        <v>4544</v>
      </c>
      <c r="C5507" s="2" t="n">
        <v>2</v>
      </c>
      <c r="D5507" s="2" t="n">
        <v>1</v>
      </c>
      <c r="E5507" s="2" t="n">
        <v>1</v>
      </c>
      <c r="F5507" s="2" t="n">
        <v>42</v>
      </c>
      <c r="G5507" s="2" t="s">
        <v>4542</v>
      </c>
      <c r="H5507" s="2" t="str">
        <f aca="false">IFERROR(__xludf.dummyfunction("IF(I5565="""", """", REGEXEXTRACT(I5565, ""Padrao/([^/]+)""))"),"Jardim Jose Wilson Toni")</f>
        <v>Jardim Jose Wilson Toni</v>
      </c>
    </row>
    <row r="5508" customFormat="false" ht="15.75" hidden="false" customHeight="false" outlineLevel="0" collapsed="false">
      <c r="A5508" s="2" t="n">
        <v>243845</v>
      </c>
      <c r="B5508" s="2" t="s">
        <v>388</v>
      </c>
      <c r="C5508" s="2" t="n">
        <v>2</v>
      </c>
      <c r="D5508" s="2" t="n">
        <v>1</v>
      </c>
      <c r="E5508" s="2" t="n">
        <v>1</v>
      </c>
      <c r="F5508" s="2" t="n">
        <v>39</v>
      </c>
      <c r="G5508" s="2" t="s">
        <v>795</v>
      </c>
      <c r="H5508" s="2" t="str">
        <f aca="false">IFERROR(__xludf.dummyfunction("IF(I5566="""", """", REGEXEXTRACT(I5566, ""Padrao/([^/]+)""))"),"Residencial das Americas")</f>
        <v>Residencial das Americas</v>
      </c>
    </row>
    <row r="5509" customFormat="false" ht="15.75" hidden="false" customHeight="false" outlineLevel="0" collapsed="false">
      <c r="A5509" s="2" t="n">
        <v>224003</v>
      </c>
      <c r="B5509" s="2" t="s">
        <v>491</v>
      </c>
      <c r="C5509" s="2" t="n">
        <v>2</v>
      </c>
      <c r="D5509" s="2" t="n">
        <v>1</v>
      </c>
      <c r="E5509" s="2" t="n">
        <v>1</v>
      </c>
      <c r="F5509" s="2" t="n">
        <v>42</v>
      </c>
      <c r="G5509" s="2" t="s">
        <v>389</v>
      </c>
      <c r="H5509" s="2" t="str">
        <f aca="false">IFERROR(__xludf.dummyfunction("IF(I5567="""", """", REGEXEXTRACT(I5567, ""Padrao/([^/]+)""))"),"Jardim Heitor Rigon")</f>
        <v>Jardim Heitor Rigon</v>
      </c>
    </row>
    <row r="5510" customFormat="false" ht="15.75" hidden="false" customHeight="false" outlineLevel="0" collapsed="false">
      <c r="A5510" s="2" t="n">
        <v>225161</v>
      </c>
      <c r="B5510" s="2" t="s">
        <v>4545</v>
      </c>
      <c r="C5510" s="2" t="n">
        <v>2</v>
      </c>
      <c r="D5510" s="2" t="n">
        <v>1</v>
      </c>
      <c r="E5510" s="2" t="n">
        <v>1</v>
      </c>
      <c r="F5510" s="2" t="n">
        <v>43</v>
      </c>
      <c r="G5510" s="2" t="s">
        <v>428</v>
      </c>
      <c r="H5510" s="2" t="str">
        <f aca="false">IFERROR(__xludf.dummyfunction("IF(I5568="""", """", REGEXEXTRACT(I5568, ""Padrao/([^/]+)""))"),"Jardim Diva Tarla de Carvalho")</f>
        <v>Jardim Diva Tarla de Carvalho</v>
      </c>
    </row>
    <row r="5511" customFormat="false" ht="15.75" hidden="false" customHeight="false" outlineLevel="0" collapsed="false">
      <c r="A5511" s="2" t="n">
        <v>146696</v>
      </c>
      <c r="B5511" s="2" t="s">
        <v>384</v>
      </c>
      <c r="C5511" s="2" t="n">
        <v>2</v>
      </c>
      <c r="D5511" s="2" t="n">
        <v>1</v>
      </c>
      <c r="E5511" s="2" t="n">
        <v>1</v>
      </c>
      <c r="F5511" s="2" t="n">
        <v>46</v>
      </c>
      <c r="G5511" s="2" t="s">
        <v>435</v>
      </c>
      <c r="H5511" s="2" t="str">
        <f aca="false">IFERROR(__xludf.dummyfunction("IF(I5569="""", """", REGEXEXTRACT(I5569, ""Padrao/([^/]+)""))"),"Residencial das Americas")</f>
        <v>Residencial das Americas</v>
      </c>
    </row>
    <row r="5512" customFormat="false" ht="15.75" hidden="false" customHeight="false" outlineLevel="0" collapsed="false">
      <c r="A5512" s="2" t="n">
        <v>222593</v>
      </c>
      <c r="B5512" s="2" t="s">
        <v>429</v>
      </c>
      <c r="C5512" s="2" t="n">
        <v>2</v>
      </c>
      <c r="D5512" s="2" t="n">
        <v>1</v>
      </c>
      <c r="E5512" s="2" t="n">
        <v>1</v>
      </c>
      <c r="F5512" s="2" t="n">
        <v>43</v>
      </c>
      <c r="G5512" s="2" t="s">
        <v>425</v>
      </c>
      <c r="H5512" s="2" t="str">
        <f aca="false">IFERROR(__xludf.dummyfunction("IF(I5570="""", """", REGEXEXTRACT(I5570, ""Padrao/([^/]+)""))"),"Reserva Macauba")</f>
        <v>Reserva Macauba</v>
      </c>
    </row>
    <row r="5513" customFormat="false" ht="15.75" hidden="false" customHeight="false" outlineLevel="0" collapsed="false">
      <c r="A5513" s="2" t="n">
        <v>189065</v>
      </c>
      <c r="B5513" s="2" t="s">
        <v>4546</v>
      </c>
      <c r="C5513" s="2" t="n">
        <v>2</v>
      </c>
      <c r="D5513" s="2" t="n">
        <v>1</v>
      </c>
      <c r="E5513" s="2" t="n">
        <v>1</v>
      </c>
      <c r="F5513" s="2" t="n">
        <v>48</v>
      </c>
      <c r="G5513" s="2" t="s">
        <v>459</v>
      </c>
      <c r="H5513" s="2" t="str">
        <f aca="false">IFERROR(__xludf.dummyfunction("IF(I5571="""", """", REGEXEXTRACT(I5571, ""Padrao/([^/]+)""))"),"Quintino Facci II")</f>
        <v>Quintino Facci II</v>
      </c>
    </row>
    <row r="5514" customFormat="false" ht="15.75" hidden="false" customHeight="false" outlineLevel="0" collapsed="false">
      <c r="A5514" s="2" t="n">
        <v>185177</v>
      </c>
      <c r="B5514" s="2" t="s">
        <v>4547</v>
      </c>
      <c r="C5514" s="2" t="n">
        <v>2</v>
      </c>
      <c r="D5514" s="2" t="n">
        <v>1</v>
      </c>
      <c r="E5514" s="2" t="n">
        <v>1</v>
      </c>
      <c r="F5514" s="2" t="n">
        <v>47</v>
      </c>
      <c r="G5514" s="2" t="s">
        <v>474</v>
      </c>
      <c r="H5514" s="2" t="str">
        <f aca="false">IFERROR(__xludf.dummyfunction("IF(I5572="""", """", REGEXEXTRACT(I5572, ""Padrao/([^/]+)""))"),"Ipiranga")</f>
        <v>Ipiranga</v>
      </c>
    </row>
    <row r="5515" customFormat="false" ht="15.75" hidden="false" customHeight="false" outlineLevel="0" collapsed="false">
      <c r="A5515" s="2" t="n">
        <v>244706</v>
      </c>
      <c r="B5515" s="2" t="s">
        <v>4548</v>
      </c>
      <c r="C5515" s="2" t="n">
        <v>2</v>
      </c>
      <c r="D5515" s="2" t="n">
        <v>2</v>
      </c>
      <c r="E5515" s="2" t="n">
        <v>1</v>
      </c>
      <c r="F5515" s="2" t="n">
        <v>58</v>
      </c>
      <c r="G5515" s="2" t="s">
        <v>1482</v>
      </c>
      <c r="H5515" s="2" t="str">
        <f aca="false">IFERROR(__xludf.dummyfunction("IF(I5573="""", """", REGEXEXTRACT(I5573, ""Padrao/([^/]+)""))"),"Ribeirania")</f>
        <v>Ribeirania</v>
      </c>
    </row>
    <row r="5516" customFormat="false" ht="15.75" hidden="false" customHeight="false" outlineLevel="0" collapsed="false">
      <c r="A5516" s="2" t="n">
        <v>191078</v>
      </c>
      <c r="B5516" s="2" t="s">
        <v>4549</v>
      </c>
      <c r="C5516" s="2" t="n">
        <v>3</v>
      </c>
      <c r="D5516" s="2" t="n">
        <v>4</v>
      </c>
      <c r="E5516" s="2" t="n">
        <v>2</v>
      </c>
      <c r="F5516" s="2" t="n">
        <v>172</v>
      </c>
      <c r="G5516" s="2" t="s">
        <v>1590</v>
      </c>
      <c r="H5516" s="2" t="str">
        <f aca="false">IFERROR(__xludf.dummyfunction("IF(I5574="""", """", REGEXEXTRACT(I5574, ""Padrao/([^/]+)""))"),"Centro")</f>
        <v>Centro</v>
      </c>
    </row>
    <row r="5517" customFormat="false" ht="15.75" hidden="false" customHeight="false" outlineLevel="0" collapsed="false">
      <c r="A5517" s="2" t="n">
        <v>241328</v>
      </c>
      <c r="B5517" s="2" t="s">
        <v>4550</v>
      </c>
      <c r="C5517" s="2" t="n">
        <v>3</v>
      </c>
      <c r="D5517" s="2" t="n">
        <v>3</v>
      </c>
      <c r="E5517" s="2" t="n">
        <v>2</v>
      </c>
      <c r="F5517" s="2" t="n">
        <v>101</v>
      </c>
      <c r="G5517" s="2" t="s">
        <v>4490</v>
      </c>
      <c r="H5517" s="2" t="str">
        <f aca="false">IFERROR(__xludf.dummyfunction("IF(I5575="""", """", REGEXEXTRACT(I5575, ""Padrao/([^/]+)""))"),"Jardim Nova Alianca Sul")</f>
        <v>Jardim Nova Alianca Sul</v>
      </c>
    </row>
    <row r="5518" customFormat="false" ht="15.75" hidden="false" customHeight="false" outlineLevel="0" collapsed="false">
      <c r="A5518" s="2" t="n">
        <v>41057</v>
      </c>
      <c r="B5518" s="2" t="s">
        <v>4551</v>
      </c>
      <c r="C5518" s="2" t="n">
        <v>4</v>
      </c>
      <c r="D5518" s="2" t="n">
        <v>5</v>
      </c>
      <c r="E5518" s="2" t="n">
        <v>2</v>
      </c>
      <c r="F5518" s="2" t="n">
        <v>173</v>
      </c>
      <c r="G5518" s="2" t="s">
        <v>4505</v>
      </c>
      <c r="H5518" s="2" t="str">
        <f aca="false">IFERROR(__xludf.dummyfunction("IF(I5576="""", """", REGEXEXTRACT(I5576, ""Padrao/([^/]+)""))"),"Centro")</f>
        <v>Centro</v>
      </c>
    </row>
    <row r="5519" customFormat="false" ht="15.75" hidden="false" customHeight="false" outlineLevel="0" collapsed="false">
      <c r="A5519" s="2" t="n">
        <v>237779</v>
      </c>
      <c r="B5519" s="2" t="s">
        <v>4552</v>
      </c>
      <c r="C5519" s="2" t="n">
        <v>2</v>
      </c>
      <c r="D5519" s="2" t="n">
        <v>3</v>
      </c>
      <c r="E5519" s="2" t="n">
        <v>2</v>
      </c>
      <c r="F5519" s="2" t="n">
        <v>84</v>
      </c>
      <c r="G5519" s="2" t="s">
        <v>2716</v>
      </c>
      <c r="H5519" s="2" t="str">
        <f aca="false">IFERROR(__xludf.dummyfunction("IF(I5577="""", """", REGEXEXTRACT(I5577, ""Padrao/([^/]+)""))"),"Quinta da Primavera")</f>
        <v>Quinta da Primavera</v>
      </c>
    </row>
    <row r="5520" customFormat="false" ht="15.75" hidden="false" customHeight="false" outlineLevel="0" collapsed="false">
      <c r="A5520" s="2" t="n">
        <v>236150</v>
      </c>
      <c r="B5520" s="2" t="s">
        <v>4553</v>
      </c>
      <c r="C5520" s="2" t="n">
        <v>2</v>
      </c>
      <c r="D5520" s="2" t="n">
        <v>2</v>
      </c>
      <c r="E5520" s="2" t="n">
        <v>2</v>
      </c>
      <c r="F5520" s="2" t="n">
        <v>63</v>
      </c>
      <c r="G5520" s="2" t="s">
        <v>2716</v>
      </c>
      <c r="H5520" s="2" t="str">
        <f aca="false">IFERROR(__xludf.dummyfunction("IF(I5578="""", """", REGEXEXTRACT(I5578, ""Padrao/([^/]+)""))"),"Alamedas do Botanico")</f>
        <v>Alamedas do Botanico</v>
      </c>
    </row>
    <row r="5521" customFormat="false" ht="15.75" hidden="false" customHeight="false" outlineLevel="0" collapsed="false">
      <c r="A5521" s="2" t="n">
        <v>232193</v>
      </c>
      <c r="B5521" s="2" t="s">
        <v>4554</v>
      </c>
      <c r="C5521" s="2" t="n">
        <v>4</v>
      </c>
      <c r="D5521" s="2" t="n">
        <v>5</v>
      </c>
      <c r="E5521" s="2" t="n">
        <v>2</v>
      </c>
      <c r="F5521" s="2" t="n">
        <v>147</v>
      </c>
      <c r="G5521" s="2" t="s">
        <v>2716</v>
      </c>
      <c r="H5521" s="2" t="str">
        <f aca="false">IFERROR(__xludf.dummyfunction("IF(I5579="""", """", REGEXEXTRACT(I5579, ""Padrao/([^/]+)""))"),"Santa Cruz do Jose Jacques")</f>
        <v>Santa Cruz do Jose Jacques</v>
      </c>
    </row>
    <row r="5522" customFormat="false" ht="15.75" hidden="false" customHeight="false" outlineLevel="0" collapsed="false">
      <c r="A5522" s="2" t="n">
        <v>232145</v>
      </c>
      <c r="B5522" s="2" t="s">
        <v>2741</v>
      </c>
      <c r="C5522" s="2" t="n">
        <v>1</v>
      </c>
      <c r="D5522" s="2" t="n">
        <v>2</v>
      </c>
      <c r="E5522" s="2" t="n">
        <v>1</v>
      </c>
      <c r="F5522" s="2" t="n">
        <v>63</v>
      </c>
      <c r="G5522" s="2" t="s">
        <v>2716</v>
      </c>
      <c r="H5522" s="2" t="str">
        <f aca="false">IFERROR(__xludf.dummyfunction("IF(I5580="""", """", REGEXEXTRACT(I5580, ""Padrao/([^/]+)""))"),"Nova Alianca")</f>
        <v>Nova Alianca</v>
      </c>
    </row>
    <row r="5523" customFormat="false" ht="15.75" hidden="false" customHeight="false" outlineLevel="0" collapsed="false">
      <c r="A5523" s="2" t="n">
        <v>230891</v>
      </c>
      <c r="B5523" s="2" t="s">
        <v>4555</v>
      </c>
      <c r="C5523" s="2" t="n">
        <v>3</v>
      </c>
      <c r="D5523" s="2" t="n">
        <v>3</v>
      </c>
      <c r="E5523" s="2" t="n">
        <v>2</v>
      </c>
      <c r="F5523" s="2" t="n">
        <v>111</v>
      </c>
      <c r="G5523" s="2" t="s">
        <v>2716</v>
      </c>
      <c r="H5523" s="2" t="str">
        <f aca="false">IFERROR(__xludf.dummyfunction("IF(I5581="""", """", REGEXEXTRACT(I5581, ""Padrao/([^/]+)""))"),"Nova Alianca")</f>
        <v>Nova Alianca</v>
      </c>
    </row>
    <row r="5524" customFormat="false" ht="15.75" hidden="false" customHeight="false" outlineLevel="0" collapsed="false">
      <c r="A5524" s="2" t="n">
        <v>225536</v>
      </c>
      <c r="B5524" s="2" t="s">
        <v>4556</v>
      </c>
      <c r="C5524" s="2" t="n">
        <v>2</v>
      </c>
      <c r="D5524" s="2" t="n">
        <v>3</v>
      </c>
      <c r="E5524" s="2" t="n">
        <v>2</v>
      </c>
      <c r="F5524" s="2" t="n">
        <v>90</v>
      </c>
      <c r="G5524" s="2" t="s">
        <v>2716</v>
      </c>
      <c r="H5524" s="2" t="str">
        <f aca="false">IFERROR(__xludf.dummyfunction("IF(I5582="""", """", REGEXEXTRACT(I5582, ""Padrao/([^/]+)""))"),"Quinta da Primavera")</f>
        <v>Quinta da Primavera</v>
      </c>
    </row>
    <row r="5525" customFormat="false" ht="15.75" hidden="false" customHeight="false" outlineLevel="0" collapsed="false">
      <c r="A5525" s="2" t="n">
        <v>213371</v>
      </c>
      <c r="B5525" s="2" t="s">
        <v>4557</v>
      </c>
      <c r="C5525" s="2" t="n">
        <v>3</v>
      </c>
      <c r="D5525" s="2" t="n">
        <v>2</v>
      </c>
      <c r="E5525" s="2" t="n">
        <v>2</v>
      </c>
      <c r="F5525" s="2" t="n">
        <v>71</v>
      </c>
      <c r="G5525" s="2" t="s">
        <v>2716</v>
      </c>
      <c r="H5525" s="2" t="str">
        <f aca="false">IFERROR(__xludf.dummyfunction("IF(I5583="""", """", REGEXEXTRACT(I5583, ""Padrao/([^/]+)""))"),"Ribeirania")</f>
        <v>Ribeirania</v>
      </c>
    </row>
    <row r="5526" customFormat="false" ht="15.75" hidden="false" customHeight="false" outlineLevel="0" collapsed="false">
      <c r="A5526" s="2" t="n">
        <v>194123</v>
      </c>
      <c r="B5526" s="2" t="s">
        <v>4558</v>
      </c>
      <c r="C5526" s="2" t="n">
        <v>4</v>
      </c>
      <c r="D5526" s="2" t="n">
        <v>2</v>
      </c>
      <c r="E5526" s="2" t="n">
        <v>2</v>
      </c>
      <c r="F5526" s="2" t="n">
        <v>150</v>
      </c>
      <c r="G5526" s="2" t="s">
        <v>2716</v>
      </c>
      <c r="H5526" s="2" t="str">
        <f aca="false">IFERROR(__xludf.dummyfunction("IF(I5584="""", """", REGEXEXTRACT(I5584, ""Padrao/([^/]+)""))"),"Centro")</f>
        <v>Centro</v>
      </c>
    </row>
    <row r="5527" customFormat="false" ht="15.75" hidden="false" customHeight="false" outlineLevel="0" collapsed="false">
      <c r="A5527" s="2" t="n">
        <v>179615</v>
      </c>
      <c r="B5527" s="2" t="s">
        <v>4559</v>
      </c>
      <c r="C5527" s="2" t="n">
        <v>4</v>
      </c>
      <c r="D5527" s="2" t="n">
        <v>5</v>
      </c>
      <c r="E5527" s="2" t="n">
        <v>2</v>
      </c>
      <c r="F5527" s="2" t="n">
        <v>368</v>
      </c>
      <c r="G5527" s="2" t="s">
        <v>2716</v>
      </c>
      <c r="H5527" s="2" t="str">
        <f aca="false">IFERROR(__xludf.dummyfunction("IF(I5585="""", """", REGEXEXTRACT(I5585, ""Padrao/([^/]+)""))"),"Centro")</f>
        <v>Centro</v>
      </c>
    </row>
    <row r="5528" customFormat="false" ht="15.75" hidden="false" customHeight="false" outlineLevel="0" collapsed="false">
      <c r="A5528" s="2" t="n">
        <v>153059</v>
      </c>
      <c r="B5528" s="2" t="s">
        <v>4560</v>
      </c>
      <c r="C5528" s="2" t="n">
        <v>3</v>
      </c>
      <c r="D5528" s="2" t="n">
        <v>3</v>
      </c>
      <c r="E5528" s="2" t="n">
        <v>2</v>
      </c>
      <c r="F5528" s="2" t="n">
        <v>87</v>
      </c>
      <c r="G5528" s="2" t="s">
        <v>2716</v>
      </c>
      <c r="H5528" s="2" t="str">
        <f aca="false">IFERROR(__xludf.dummyfunction("IF(I5586="""", """", REGEXEXTRACT(I5586, ""Padrao/([^/]+)""))"),"Jardim America")</f>
        <v>Jardim America</v>
      </c>
    </row>
    <row r="5529" customFormat="false" ht="15.75" hidden="false" customHeight="false" outlineLevel="0" collapsed="false">
      <c r="A5529" s="2" t="n">
        <v>137660</v>
      </c>
      <c r="B5529" s="2" t="s">
        <v>4561</v>
      </c>
      <c r="C5529" s="2" t="n">
        <v>3</v>
      </c>
      <c r="D5529" s="2" t="n">
        <v>4</v>
      </c>
      <c r="E5529" s="2" t="n">
        <v>2</v>
      </c>
      <c r="F5529" s="2" t="n">
        <v>105</v>
      </c>
      <c r="G5529" s="2" t="s">
        <v>2716</v>
      </c>
      <c r="H5529" s="2" t="str">
        <f aca="false">IFERROR(__xludf.dummyfunction("IF(I5587="""", """", REGEXEXTRACT(I5587, ""Padrao/([^/]+)""))"),"Quinta da Primavera")</f>
        <v>Quinta da Primavera</v>
      </c>
    </row>
    <row r="5530" customFormat="false" ht="15.75" hidden="false" customHeight="false" outlineLevel="0" collapsed="false">
      <c r="A5530" s="2" t="n">
        <v>240554</v>
      </c>
      <c r="B5530" s="2" t="s">
        <v>4531</v>
      </c>
      <c r="C5530" s="2" t="n">
        <v>3</v>
      </c>
      <c r="D5530" s="2" t="n">
        <v>4</v>
      </c>
      <c r="E5530" s="2" t="n">
        <v>2</v>
      </c>
      <c r="F5530" s="2" t="n">
        <v>114</v>
      </c>
      <c r="G5530" s="2" t="s">
        <v>4562</v>
      </c>
      <c r="H5530" s="2" t="str">
        <f aca="false">IFERROR(__xludf.dummyfunction("IF(I5588="""", """", REGEXEXTRACT(I5588, ""Padrao/([^/]+)""))"),"Jardim Botanico")</f>
        <v>Jardim Botanico</v>
      </c>
    </row>
    <row r="5531" customFormat="false" ht="15.75" hidden="false" customHeight="false" outlineLevel="0" collapsed="false">
      <c r="A5531" s="2" t="n">
        <v>148430</v>
      </c>
      <c r="B5531" s="2" t="s">
        <v>4563</v>
      </c>
      <c r="C5531" s="2" t="n">
        <v>3</v>
      </c>
      <c r="D5531" s="2" t="n">
        <v>3</v>
      </c>
      <c r="E5531" s="2" t="n">
        <v>2</v>
      </c>
      <c r="F5531" s="2" t="n">
        <v>86</v>
      </c>
      <c r="G5531" s="2" t="s">
        <v>4432</v>
      </c>
      <c r="H5531" s="2" t="str">
        <f aca="false">IFERROR(__xludf.dummyfunction("IF(I5589="""", """", REGEXEXTRACT(I5589, ""Padrao/([^/]+)""))"),"Quinta da Primavera")</f>
        <v>Quinta da Primavera</v>
      </c>
    </row>
    <row r="5532" customFormat="false" ht="15.75" hidden="false" customHeight="false" outlineLevel="0" collapsed="false">
      <c r="A5532" s="2" t="n">
        <v>154019</v>
      </c>
      <c r="B5532" s="2" t="s">
        <v>4564</v>
      </c>
      <c r="C5532" s="2" t="n">
        <v>3</v>
      </c>
      <c r="D5532" s="2" t="n">
        <v>4</v>
      </c>
      <c r="E5532" s="2" t="n">
        <v>2</v>
      </c>
      <c r="F5532" s="2" t="n">
        <v>131</v>
      </c>
      <c r="G5532" s="2" t="s">
        <v>1561</v>
      </c>
      <c r="H5532" s="2" t="str">
        <f aca="false">IFERROR(__xludf.dummyfunction("IF(I5590="""", """", REGEXEXTRACT(I5590, ""Padrao/([^/]+)""))"),"Jardim Iraja")</f>
        <v>Jardim Iraja</v>
      </c>
    </row>
    <row r="5533" customFormat="false" ht="15.75" hidden="false" customHeight="false" outlineLevel="0" collapsed="false">
      <c r="A5533" s="2" t="n">
        <v>198242</v>
      </c>
      <c r="B5533" s="2" t="s">
        <v>4565</v>
      </c>
      <c r="C5533" s="2" t="n">
        <v>3</v>
      </c>
      <c r="D5533" s="2" t="n">
        <v>4</v>
      </c>
      <c r="E5533" s="2" t="n">
        <v>2</v>
      </c>
      <c r="F5533" s="2" t="n">
        <v>118</v>
      </c>
      <c r="G5533" s="2" t="s">
        <v>4177</v>
      </c>
      <c r="H5533" s="2" t="str">
        <f aca="false">IFERROR(__xludf.dummyfunction("IF(I5591="""", """", REGEXEXTRACT(I5591, ""Padrao/([^/]+)""))"),"Jardim Olhos DAgua")</f>
        <v>Jardim Olhos DAgua</v>
      </c>
    </row>
    <row r="5534" customFormat="false" ht="15.75" hidden="false" customHeight="false" outlineLevel="0" collapsed="false">
      <c r="A5534" s="2" t="n">
        <v>179948</v>
      </c>
      <c r="B5534" s="2" t="s">
        <v>4566</v>
      </c>
      <c r="C5534" s="2" t="n">
        <v>2</v>
      </c>
      <c r="D5534" s="2" t="n">
        <v>3</v>
      </c>
      <c r="E5534" s="2" t="n">
        <v>2</v>
      </c>
      <c r="F5534" s="2" t="n">
        <v>111</v>
      </c>
      <c r="G5534" s="2" t="s">
        <v>4177</v>
      </c>
      <c r="H5534" s="2" t="str">
        <f aca="false">IFERROR(__xludf.dummyfunction("IF(I5592="""", """", REGEXEXTRACT(I5592, ""Padrao/([^/]+)""))"),"Nova Alianca")</f>
        <v>Nova Alianca</v>
      </c>
    </row>
    <row r="5535" customFormat="false" ht="15.75" hidden="false" customHeight="false" outlineLevel="0" collapsed="false">
      <c r="A5535" s="2" t="n">
        <v>126623</v>
      </c>
      <c r="B5535" s="2" t="s">
        <v>4567</v>
      </c>
      <c r="C5535" s="2" t="n">
        <v>3</v>
      </c>
      <c r="D5535" s="2" t="n">
        <v>5</v>
      </c>
      <c r="E5535" s="2" t="n">
        <v>2</v>
      </c>
      <c r="F5535" s="2" t="n">
        <v>128</v>
      </c>
      <c r="G5535" s="2" t="s">
        <v>4177</v>
      </c>
      <c r="H5535" s="2" t="str">
        <f aca="false">IFERROR(__xludf.dummyfunction("IF(I5593="""", """", REGEXEXTRACT(I5593, ""Padrao/([^/]+)""))"),"Jardim Canada")</f>
        <v>Jardim Canada</v>
      </c>
    </row>
    <row r="5536" customFormat="false" ht="15.75" hidden="false" customHeight="false" outlineLevel="0" collapsed="false">
      <c r="A5536" s="2" t="n">
        <v>120044</v>
      </c>
      <c r="B5536" s="2" t="s">
        <v>4568</v>
      </c>
      <c r="C5536" s="2" t="n">
        <v>3</v>
      </c>
      <c r="D5536" s="2" t="n">
        <v>4</v>
      </c>
      <c r="E5536" s="2" t="n">
        <v>2</v>
      </c>
      <c r="F5536" s="2" t="n">
        <v>127</v>
      </c>
      <c r="G5536" s="2" t="s">
        <v>4177</v>
      </c>
      <c r="H5536" s="2" t="str">
        <f aca="false">IFERROR(__xludf.dummyfunction("IF(I5594="""", """", REGEXEXTRACT(I5594, ""Padrao/([^/]+)""))"),"Jardim Iraja")</f>
        <v>Jardim Iraja</v>
      </c>
    </row>
    <row r="5537" customFormat="false" ht="15.75" hidden="false" customHeight="false" outlineLevel="0" collapsed="false">
      <c r="A5537" s="2" t="n">
        <v>219779</v>
      </c>
      <c r="B5537" s="2" t="s">
        <v>4569</v>
      </c>
      <c r="C5537" s="2" t="n">
        <v>3</v>
      </c>
      <c r="D5537" s="2" t="n">
        <v>3</v>
      </c>
      <c r="E5537" s="2" t="n">
        <v>2</v>
      </c>
      <c r="F5537" s="2" t="n">
        <v>93</v>
      </c>
      <c r="G5537" s="2" t="s">
        <v>4177</v>
      </c>
      <c r="H5537" s="2" t="str">
        <f aca="false">IFERROR(__xludf.dummyfunction("IF(I5595="""", """", REGEXEXTRACT(I5595, ""Padrao/([^/]+)""))"),"Jardim Botanico")</f>
        <v>Jardim Botanico</v>
      </c>
    </row>
    <row r="5538" customFormat="false" ht="15.75" hidden="false" customHeight="false" outlineLevel="0" collapsed="false">
      <c r="A5538" s="2" t="n">
        <v>197792</v>
      </c>
      <c r="B5538" s="2" t="s">
        <v>4570</v>
      </c>
      <c r="C5538" s="2" t="n">
        <v>3</v>
      </c>
      <c r="D5538" s="2" t="n">
        <v>5</v>
      </c>
      <c r="E5538" s="2" t="n">
        <v>2</v>
      </c>
      <c r="F5538" s="2" t="n">
        <v>137</v>
      </c>
      <c r="G5538" s="2" t="s">
        <v>4571</v>
      </c>
      <c r="H5538" s="2" t="str">
        <f aca="false">IFERROR(__xludf.dummyfunction("IF(I5596="""", """", REGEXEXTRACT(I5596, ""Padrao/([^/]+)""))"),"Jardim Botanico")</f>
        <v>Jardim Botanico</v>
      </c>
    </row>
    <row r="5539" customFormat="false" ht="15.75" hidden="false" customHeight="false" outlineLevel="0" collapsed="false">
      <c r="A5539" s="2" t="n">
        <v>155231</v>
      </c>
      <c r="B5539" s="2" t="s">
        <v>4441</v>
      </c>
      <c r="C5539" s="2" t="n">
        <v>3</v>
      </c>
      <c r="D5539" s="2" t="n">
        <v>2</v>
      </c>
      <c r="E5539" s="2" t="n">
        <v>2</v>
      </c>
      <c r="F5539" s="2" t="n">
        <v>82</v>
      </c>
      <c r="G5539" s="2" t="s">
        <v>4572</v>
      </c>
      <c r="H5539" s="2" t="str">
        <f aca="false">IFERROR(__xludf.dummyfunction("IF(I5597="""", """", REGEXEXTRACT(I5597, ""Padrao/([^/]+)""))"),"Jardim Botanico")</f>
        <v>Jardim Botanico</v>
      </c>
    </row>
    <row r="5540" customFormat="false" ht="15.75" hidden="false" customHeight="false" outlineLevel="0" collapsed="false">
      <c r="A5540" s="2" t="n">
        <v>155222</v>
      </c>
      <c r="B5540" s="2" t="s">
        <v>4441</v>
      </c>
      <c r="C5540" s="2" t="n">
        <v>3</v>
      </c>
      <c r="D5540" s="2" t="n">
        <v>2</v>
      </c>
      <c r="E5540" s="2" t="n">
        <v>2</v>
      </c>
      <c r="F5540" s="2" t="n">
        <v>82</v>
      </c>
      <c r="G5540" s="2" t="s">
        <v>4573</v>
      </c>
      <c r="H5540" s="2" t="str">
        <f aca="false">IFERROR(__xludf.dummyfunction("IF(I5598="""", """", REGEXEXTRACT(I5598, ""Padrao/([^/]+)""))"),"Jardim Botanico")</f>
        <v>Jardim Botanico</v>
      </c>
    </row>
    <row r="5541" customFormat="false" ht="15.75" hidden="false" customHeight="false" outlineLevel="0" collapsed="false">
      <c r="A5541" s="2" t="n">
        <v>225869</v>
      </c>
      <c r="B5541" s="2" t="s">
        <v>4574</v>
      </c>
      <c r="C5541" s="2" t="n">
        <v>2</v>
      </c>
      <c r="D5541" s="2" t="n">
        <v>1</v>
      </c>
      <c r="E5541" s="2" t="n">
        <v>1</v>
      </c>
      <c r="F5541" s="2" t="n">
        <v>42</v>
      </c>
      <c r="G5541" s="2" t="s">
        <v>797</v>
      </c>
      <c r="H5541" s="2" t="str">
        <f aca="false">IFERROR(__xludf.dummyfunction("IF(I5599="""", """", REGEXEXTRACT(I5599, ""Padrao/([^/]+)""))"),"Jardim Itau")</f>
        <v>Jardim Itau</v>
      </c>
    </row>
    <row r="5542" customFormat="false" ht="15.75" hidden="false" customHeight="false" outlineLevel="0" collapsed="false">
      <c r="A5542" s="2" t="n">
        <v>162713</v>
      </c>
      <c r="B5542" s="2" t="s">
        <v>4575</v>
      </c>
      <c r="C5542" s="2" t="n">
        <v>3</v>
      </c>
      <c r="D5542" s="2" t="n">
        <v>3</v>
      </c>
      <c r="E5542" s="2" t="n">
        <v>2</v>
      </c>
      <c r="F5542" s="2" t="n">
        <v>119</v>
      </c>
      <c r="G5542" s="2" t="s">
        <v>4576</v>
      </c>
      <c r="H5542" s="2" t="str">
        <f aca="false">IFERROR(__xludf.dummyfunction("IF(I5600="""", """", REGEXEXTRACT(I5600, ""Padrao/([^/]+)""))"),"Jardim Paulista")</f>
        <v>Jardim Paulista</v>
      </c>
    </row>
    <row r="5543" customFormat="false" ht="15.75" hidden="false" customHeight="false" outlineLevel="0" collapsed="false">
      <c r="A5543" s="2" t="n">
        <v>134153</v>
      </c>
      <c r="B5543" s="2" t="s">
        <v>4531</v>
      </c>
      <c r="C5543" s="2" t="n">
        <v>3</v>
      </c>
      <c r="D5543" s="2" t="n">
        <v>4</v>
      </c>
      <c r="E5543" s="2" t="n">
        <v>2</v>
      </c>
      <c r="F5543" s="2" t="n">
        <v>114</v>
      </c>
      <c r="G5543" s="2" t="s">
        <v>4577</v>
      </c>
      <c r="H5543" s="2" t="str">
        <f aca="false">IFERROR(__xludf.dummyfunction("IF(I5601="""", """", REGEXEXTRACT(I5601, ""Padrao/([^/]+)""))"),"Jardim Botanico")</f>
        <v>Jardim Botanico</v>
      </c>
    </row>
    <row r="5544" customFormat="false" ht="15.75" hidden="false" customHeight="false" outlineLevel="0" collapsed="false">
      <c r="A5544" s="2" t="n">
        <v>189797</v>
      </c>
      <c r="B5544" s="2" t="s">
        <v>4578</v>
      </c>
      <c r="C5544" s="2" t="n">
        <v>3</v>
      </c>
      <c r="D5544" s="2" t="n">
        <v>4</v>
      </c>
      <c r="E5544" s="2" t="n">
        <v>2</v>
      </c>
      <c r="F5544" s="2" t="n">
        <v>173</v>
      </c>
      <c r="G5544" s="2" t="s">
        <v>2737</v>
      </c>
      <c r="H5544" s="2" t="str">
        <f aca="false">IFERROR(__xludf.dummyfunction("IF(I5602="""", """", REGEXEXTRACT(I5602, ""Padrao/([^/]+)""))"),"Centro")</f>
        <v>Centro</v>
      </c>
    </row>
    <row r="5545" customFormat="false" ht="15.75" hidden="false" customHeight="false" outlineLevel="0" collapsed="false">
      <c r="A5545" s="2" t="n">
        <v>112940</v>
      </c>
      <c r="B5545" s="2" t="s">
        <v>4579</v>
      </c>
      <c r="C5545" s="2" t="n">
        <v>3</v>
      </c>
      <c r="D5545" s="2" t="n">
        <v>3</v>
      </c>
      <c r="E5545" s="2" t="n">
        <v>2</v>
      </c>
      <c r="F5545" s="2" t="n">
        <v>96</v>
      </c>
      <c r="G5545" s="2" t="s">
        <v>2737</v>
      </c>
      <c r="H5545" s="2" t="str">
        <f aca="false">IFERROR(__xludf.dummyfunction("IF(I5603="""", """", REGEXEXTRACT(I5603, ""Padrao/([^/]+)""))"),"Jardim Iraja")</f>
        <v>Jardim Iraja</v>
      </c>
    </row>
    <row r="5546" customFormat="false" ht="15.75" hidden="false" customHeight="false" outlineLevel="0" collapsed="false">
      <c r="A5546" s="2" t="n">
        <v>152639</v>
      </c>
      <c r="B5546" s="2" t="s">
        <v>366</v>
      </c>
      <c r="C5546" s="2" t="n">
        <v>2</v>
      </c>
      <c r="D5546" s="2" t="n">
        <v>1</v>
      </c>
      <c r="E5546" s="2" t="n">
        <v>1</v>
      </c>
      <c r="F5546" s="2" t="n">
        <v>42</v>
      </c>
      <c r="G5546" s="2" t="s">
        <v>4580</v>
      </c>
      <c r="H5546" s="2" t="str">
        <f aca="false">IFERROR(__xludf.dummyfunction("IF(I5604="""", """", REGEXEXTRACT(I5604, ""Padrao/([^/]+)""))"),"Jardim Javari")</f>
        <v>Jardim Javari</v>
      </c>
    </row>
    <row r="5547" customFormat="false" ht="15.75" hidden="false" customHeight="false" outlineLevel="0" collapsed="false">
      <c r="A5547" s="2" t="n">
        <v>210926</v>
      </c>
      <c r="B5547" s="2" t="s">
        <v>771</v>
      </c>
      <c r="C5547" s="2" t="n">
        <v>2</v>
      </c>
      <c r="D5547" s="2" t="n">
        <v>1</v>
      </c>
      <c r="E5547" s="2" t="n">
        <v>1</v>
      </c>
      <c r="F5547" s="2" t="n">
        <v>43</v>
      </c>
      <c r="G5547" s="2" t="s">
        <v>414</v>
      </c>
      <c r="H5547" s="2" t="str">
        <f aca="false">IFERROR(__xludf.dummyfunction("IF(I5605="""", """", REGEXEXTRACT(I5605, ""Padrao/([^/]+)""))"),"Jardim Diva Tarla de Carvalho")</f>
        <v>Jardim Diva Tarla de Carvalho</v>
      </c>
    </row>
    <row r="5548" customFormat="false" ht="15.75" hidden="false" customHeight="false" outlineLevel="0" collapsed="false">
      <c r="A5548" s="2" t="n">
        <v>153563</v>
      </c>
      <c r="B5548" s="2" t="s">
        <v>473</v>
      </c>
      <c r="C5548" s="2" t="n">
        <v>2</v>
      </c>
      <c r="D5548" s="2" t="n">
        <v>1</v>
      </c>
      <c r="E5548" s="2" t="n">
        <v>1</v>
      </c>
      <c r="F5548" s="2" t="n">
        <v>46</v>
      </c>
      <c r="G5548" s="2" t="s">
        <v>446</v>
      </c>
      <c r="H5548" s="2" t="str">
        <f aca="false">IFERROR(__xludf.dummyfunction("IF(I5606="""", """", REGEXEXTRACT(I5606, ""Padrao/([^/]+)""))"),"Ipiranga")</f>
        <v>Ipiranga</v>
      </c>
    </row>
    <row r="5549" customFormat="false" ht="15.75" hidden="false" customHeight="false" outlineLevel="0" collapsed="false">
      <c r="A5549" s="2" t="n">
        <v>150656</v>
      </c>
      <c r="B5549" s="2" t="s">
        <v>433</v>
      </c>
      <c r="C5549" s="2" t="n">
        <v>2</v>
      </c>
      <c r="D5549" s="2" t="n">
        <v>1</v>
      </c>
      <c r="E5549" s="2" t="n">
        <v>1</v>
      </c>
      <c r="F5549" s="2" t="n">
        <v>41</v>
      </c>
      <c r="G5549" s="2" t="s">
        <v>474</v>
      </c>
      <c r="H5549" s="2" t="str">
        <f aca="false">IFERROR(__xludf.dummyfunction("IF(I5607="""", """", REGEXEXTRACT(I5607, ""Padrao/([^/]+)""))"),"Reserva Real")</f>
        <v>Reserva Real</v>
      </c>
    </row>
    <row r="5550" customFormat="false" ht="15.75" hidden="false" customHeight="false" outlineLevel="0" collapsed="false">
      <c r="A5550" s="2" t="n">
        <v>80789</v>
      </c>
      <c r="B5550" s="2" t="s">
        <v>3386</v>
      </c>
      <c r="C5550" s="2" t="n">
        <v>1</v>
      </c>
      <c r="D5550" s="2" t="n">
        <v>1</v>
      </c>
      <c r="E5550" s="2" t="n">
        <v>1</v>
      </c>
      <c r="F5550" s="2" t="n">
        <v>46</v>
      </c>
      <c r="G5550" s="2" t="s">
        <v>525</v>
      </c>
      <c r="H5550" s="2" t="str">
        <f aca="false">IFERROR(__xludf.dummyfunction("IF(I5608="""", """", REGEXEXTRACT(I5608, ""Padrao/([^/]+)""))"),"Jardim Sao Luiz")</f>
        <v>Jardim Sao Luiz</v>
      </c>
    </row>
    <row r="5551" customFormat="false" ht="15.75" hidden="false" customHeight="false" outlineLevel="0" collapsed="false">
      <c r="A5551" s="2" t="n">
        <v>100196</v>
      </c>
      <c r="B5551" s="2" t="s">
        <v>660</v>
      </c>
      <c r="C5551" s="2" t="n">
        <v>4</v>
      </c>
      <c r="D5551" s="2" t="n">
        <v>6</v>
      </c>
      <c r="E5551" s="2" t="n">
        <v>3</v>
      </c>
      <c r="F5551" s="2" t="n">
        <v>317</v>
      </c>
      <c r="G5551" s="2" t="s">
        <v>1469</v>
      </c>
      <c r="H5551" s="2" t="str">
        <f aca="false">IFERROR(__xludf.dummyfunction("IF(I5609="""", """", REGEXEXTRACT(I5609, ""Padrao/([^/]+)""))"),"Centro")</f>
        <v>Centro</v>
      </c>
    </row>
    <row r="5552" customFormat="false" ht="15.75" hidden="false" customHeight="false" outlineLevel="0" collapsed="false">
      <c r="A5552" s="2" t="n">
        <v>86036</v>
      </c>
      <c r="B5552" s="2" t="s">
        <v>4581</v>
      </c>
      <c r="C5552" s="2" t="n">
        <v>3</v>
      </c>
      <c r="D5552" s="2" t="n">
        <v>4</v>
      </c>
      <c r="E5552" s="2" t="n">
        <v>2</v>
      </c>
      <c r="F5552" s="2" t="n">
        <v>117</v>
      </c>
      <c r="G5552" s="2" t="s">
        <v>1561</v>
      </c>
      <c r="H5552" s="2" t="str">
        <f aca="false">IFERROR(__xludf.dummyfunction("IF(I5610="""", """", REGEXEXTRACT(I5610, ""Padrao/([^/]+)""))"),"Jardim Botanico")</f>
        <v>Jardim Botanico</v>
      </c>
    </row>
    <row r="5553" customFormat="false" ht="15.75" hidden="false" customHeight="false" outlineLevel="0" collapsed="false">
      <c r="A5553" s="2" t="n">
        <v>182090</v>
      </c>
      <c r="B5553" s="2" t="s">
        <v>4582</v>
      </c>
      <c r="C5553" s="2" t="n">
        <v>2</v>
      </c>
      <c r="D5553" s="2" t="n">
        <v>3</v>
      </c>
      <c r="E5553" s="2" t="n">
        <v>2</v>
      </c>
      <c r="F5553" s="2" t="n">
        <v>110</v>
      </c>
      <c r="G5553" s="2" t="s">
        <v>2716</v>
      </c>
      <c r="H5553" s="2" t="str">
        <f aca="false">IFERROR(__xludf.dummyfunction("IF(I5611="""", """", REGEXEXTRACT(I5611, ""Padrao/([^/]+)""))"),"Bonfim Paulista")</f>
        <v>Bonfim Paulista</v>
      </c>
    </row>
    <row r="5554" customFormat="false" ht="15.75" hidden="false" customHeight="false" outlineLevel="0" collapsed="false">
      <c r="A5554" s="2" t="n">
        <v>212912</v>
      </c>
      <c r="B5554" s="2" t="s">
        <v>4583</v>
      </c>
      <c r="C5554" s="2" t="n">
        <v>3</v>
      </c>
      <c r="D5554" s="2" t="n">
        <v>4</v>
      </c>
      <c r="E5554" s="2" t="n">
        <v>2</v>
      </c>
      <c r="F5554" s="2" t="n">
        <v>153</v>
      </c>
      <c r="G5554" s="2" t="s">
        <v>4571</v>
      </c>
      <c r="H5554" s="2" t="str">
        <f aca="false">IFERROR(__xludf.dummyfunction("IF(I5612="""", """", REGEXEXTRACT(I5612, ""Padrao/([^/]+)""))"),"Centro")</f>
        <v>Centro</v>
      </c>
    </row>
    <row r="5555" customFormat="false" ht="15.75" hidden="false" customHeight="false" outlineLevel="0" collapsed="false">
      <c r="A5555" s="2" t="n">
        <v>240722</v>
      </c>
      <c r="B5555" s="2" t="s">
        <v>4584</v>
      </c>
      <c r="C5555" s="2" t="n">
        <v>3</v>
      </c>
      <c r="D5555" s="2" t="n">
        <v>5</v>
      </c>
      <c r="E5555" s="2" t="n">
        <v>2</v>
      </c>
      <c r="F5555" s="2" t="n">
        <v>128</v>
      </c>
      <c r="G5555" s="2" t="s">
        <v>2675</v>
      </c>
      <c r="H5555" s="2" t="str">
        <f aca="false">IFERROR(__xludf.dummyfunction("IF(I5613="""", """", REGEXEXTRACT(I5613, ""Padrao/([^/]+)""))"),"Jardim Canada")</f>
        <v>Jardim Canada</v>
      </c>
    </row>
    <row r="5556" customFormat="false" ht="15.75" hidden="false" customHeight="false" outlineLevel="0" collapsed="false">
      <c r="A5556" s="2" t="n">
        <v>238829</v>
      </c>
      <c r="B5556" s="2" t="s">
        <v>4585</v>
      </c>
      <c r="C5556" s="2" t="n">
        <v>2</v>
      </c>
      <c r="D5556" s="2" t="n">
        <v>2</v>
      </c>
      <c r="E5556" s="2" t="n">
        <v>2</v>
      </c>
      <c r="F5556" s="2" t="n">
        <v>79</v>
      </c>
      <c r="G5556" s="2" t="s">
        <v>2675</v>
      </c>
      <c r="H5556" s="2" t="str">
        <f aca="false">IFERROR(__xludf.dummyfunction("IF(I5614="""", """", REGEXEXTRACT(I5614, ""Padrao/([^/]+)""))"),"Jardim Sumare")</f>
        <v>Jardim Sumare</v>
      </c>
    </row>
    <row r="5557" customFormat="false" ht="15.75" hidden="false" customHeight="false" outlineLevel="0" collapsed="false">
      <c r="A5557" s="2" t="n">
        <v>235553</v>
      </c>
      <c r="B5557" s="2" t="s">
        <v>4586</v>
      </c>
      <c r="C5557" s="2" t="n">
        <v>3</v>
      </c>
      <c r="D5557" s="2" t="n">
        <v>4</v>
      </c>
      <c r="E5557" s="2" t="n">
        <v>2</v>
      </c>
      <c r="F5557" s="2" t="n">
        <v>109</v>
      </c>
      <c r="G5557" s="2" t="s">
        <v>2675</v>
      </c>
      <c r="H5557" s="2" t="str">
        <f aca="false">IFERROR(__xludf.dummyfunction("IF(I5615="""", """", REGEXEXTRACT(I5615, ""Padrao/([^/]+)""))"),"Plazas de Espana")</f>
        <v>Plazas de Espana</v>
      </c>
    </row>
    <row r="5558" customFormat="false" ht="15.75" hidden="false" customHeight="false" outlineLevel="0" collapsed="false">
      <c r="A5558" s="2" t="n">
        <v>230345</v>
      </c>
      <c r="B5558" s="2" t="s">
        <v>4587</v>
      </c>
      <c r="C5558" s="2" t="n">
        <v>2</v>
      </c>
      <c r="D5558" s="2" t="n">
        <v>3</v>
      </c>
      <c r="E5558" s="2" t="n">
        <v>2</v>
      </c>
      <c r="F5558" s="2" t="n">
        <v>86</v>
      </c>
      <c r="G5558" s="2" t="s">
        <v>2675</v>
      </c>
      <c r="H5558" s="2" t="str">
        <f aca="false">IFERROR(__xludf.dummyfunction("IF(I5616="""", """", REGEXEXTRACT(I5616, ""Padrao/([^/]+)""))"),"Bosque das Juritis")</f>
        <v>Bosque das Juritis</v>
      </c>
    </row>
    <row r="5559" customFormat="false" ht="15.75" hidden="false" customHeight="false" outlineLevel="0" collapsed="false">
      <c r="A5559" s="2" t="n">
        <v>229301</v>
      </c>
      <c r="B5559" s="2" t="s">
        <v>4588</v>
      </c>
      <c r="C5559" s="2" t="n">
        <v>4</v>
      </c>
      <c r="D5559" s="2" t="n">
        <v>2</v>
      </c>
      <c r="E5559" s="2" t="n">
        <v>1</v>
      </c>
      <c r="F5559" s="2" t="n">
        <v>114</v>
      </c>
      <c r="G5559" s="2" t="s">
        <v>2675</v>
      </c>
      <c r="H5559" s="2" t="str">
        <f aca="false">IFERROR(__xludf.dummyfunction("IF(I5617="""", """", REGEXEXTRACT(I5617, ""Padrao/([^/]+)""))"),"Jardim Iraja")</f>
        <v>Jardim Iraja</v>
      </c>
    </row>
    <row r="5560" customFormat="false" ht="15.75" hidden="false" customHeight="false" outlineLevel="0" collapsed="false">
      <c r="A5560" s="2" t="n">
        <v>224945</v>
      </c>
      <c r="B5560" s="2" t="s">
        <v>4589</v>
      </c>
      <c r="C5560" s="2" t="n">
        <v>1</v>
      </c>
      <c r="D5560" s="2" t="n">
        <v>2</v>
      </c>
      <c r="E5560" s="2" t="n">
        <v>1</v>
      </c>
      <c r="F5560" s="2" t="n">
        <v>63</v>
      </c>
      <c r="G5560" s="2" t="s">
        <v>2675</v>
      </c>
      <c r="H5560" s="2" t="str">
        <f aca="false">IFERROR(__xludf.dummyfunction("IF(I5618="""", """", REGEXEXTRACT(I5618, ""Padrao/([^/]+)""))"),"Nova Alianca")</f>
        <v>Nova Alianca</v>
      </c>
    </row>
    <row r="5561" customFormat="false" ht="15.75" hidden="false" customHeight="false" outlineLevel="0" collapsed="false">
      <c r="A5561" s="2" t="n">
        <v>220247</v>
      </c>
      <c r="B5561" s="2" t="s">
        <v>4413</v>
      </c>
      <c r="C5561" s="2" t="n">
        <v>2</v>
      </c>
      <c r="D5561" s="2" t="n">
        <v>3</v>
      </c>
      <c r="E5561" s="2" t="n">
        <v>2</v>
      </c>
      <c r="F5561" s="2" t="n">
        <v>81</v>
      </c>
      <c r="G5561" s="2" t="s">
        <v>2675</v>
      </c>
      <c r="H5561" s="2" t="str">
        <f aca="false">IFERROR(__xludf.dummyfunction("IF(I5619="""", """", REGEXEXTRACT(I5619, ""Padrao/([^/]+)""))"),"Vila Ana Maria")</f>
        <v>Vila Ana Maria</v>
      </c>
    </row>
    <row r="5562" customFormat="false" ht="15.75" hidden="false" customHeight="false" outlineLevel="0" collapsed="false">
      <c r="A5562" s="2" t="n">
        <v>218699</v>
      </c>
      <c r="B5562" s="2" t="s">
        <v>4590</v>
      </c>
      <c r="C5562" s="2" t="n">
        <v>2</v>
      </c>
      <c r="D5562" s="2" t="n">
        <v>3</v>
      </c>
      <c r="E5562" s="2" t="n">
        <v>2</v>
      </c>
      <c r="F5562" s="2" t="n">
        <v>110</v>
      </c>
      <c r="G5562" s="2" t="s">
        <v>2675</v>
      </c>
      <c r="H5562" s="2" t="str">
        <f aca="false">IFERROR(__xludf.dummyfunction("IF(I5620="""", """", REGEXEXTRACT(I5620, ""Padrao/([^/]+)""))"),"Bonfim Paulista")</f>
        <v>Bonfim Paulista</v>
      </c>
    </row>
    <row r="5563" customFormat="false" ht="15.75" hidden="false" customHeight="false" outlineLevel="0" collapsed="false">
      <c r="A5563" s="2" t="n">
        <v>218210</v>
      </c>
      <c r="B5563" s="2" t="s">
        <v>4591</v>
      </c>
      <c r="C5563" s="2" t="n">
        <v>3</v>
      </c>
      <c r="D5563" s="2" t="n">
        <v>3</v>
      </c>
      <c r="E5563" s="2" t="n">
        <v>1</v>
      </c>
      <c r="F5563" s="2" t="n">
        <v>87</v>
      </c>
      <c r="G5563" s="2" t="s">
        <v>2675</v>
      </c>
      <c r="H5563" s="2" t="str">
        <f aca="false">IFERROR(__xludf.dummyfunction("IF(I5621="""", """", REGEXEXTRACT(I5621, ""Padrao/([^/]+)""))"),"Jardim Olhos DAgua")</f>
        <v>Jardim Olhos DAgua</v>
      </c>
    </row>
    <row r="5564" customFormat="false" ht="15.75" hidden="false" customHeight="false" outlineLevel="0" collapsed="false">
      <c r="A5564" s="2" t="n">
        <v>208430</v>
      </c>
      <c r="B5564" s="2" t="s">
        <v>4592</v>
      </c>
      <c r="C5564" s="2" t="n">
        <v>3</v>
      </c>
      <c r="D5564" s="2" t="n">
        <v>2</v>
      </c>
      <c r="E5564" s="2" t="n">
        <v>2</v>
      </c>
      <c r="F5564" s="2" t="n">
        <v>118</v>
      </c>
      <c r="G5564" s="2" t="s">
        <v>2675</v>
      </c>
      <c r="H5564" s="2" t="str">
        <f aca="false">IFERROR(__xludf.dummyfunction("IF(I5622="""", """", REGEXEXTRACT(I5622, ""Padrao/([^/]+)""))"),"Jardim Botanico")</f>
        <v>Jardim Botanico</v>
      </c>
    </row>
    <row r="5565" customFormat="false" ht="15.75" hidden="false" customHeight="false" outlineLevel="0" collapsed="false">
      <c r="A5565" s="2" t="n">
        <v>198245</v>
      </c>
      <c r="B5565" s="2" t="s">
        <v>4593</v>
      </c>
      <c r="C5565" s="2" t="n">
        <v>3</v>
      </c>
      <c r="D5565" s="2" t="n">
        <v>4</v>
      </c>
      <c r="E5565" s="2" t="n">
        <v>2</v>
      </c>
      <c r="F5565" s="2" t="n">
        <v>118</v>
      </c>
      <c r="G5565" s="2" t="s">
        <v>2675</v>
      </c>
      <c r="H5565" s="2" t="str">
        <f aca="false">IFERROR(__xludf.dummyfunction("IF(I5623="""", """", REGEXEXTRACT(I5623, ""Padrao/([^/]+)""))"),"Jardim Olhos DAgua")</f>
        <v>Jardim Olhos DAgua</v>
      </c>
    </row>
    <row r="5566" customFormat="false" ht="15.75" hidden="false" customHeight="false" outlineLevel="0" collapsed="false">
      <c r="A5566" s="2" t="n">
        <v>193022</v>
      </c>
      <c r="B5566" s="2" t="s">
        <v>4594</v>
      </c>
      <c r="C5566" s="2" t="n">
        <v>2</v>
      </c>
      <c r="D5566" s="2" t="n">
        <v>3</v>
      </c>
      <c r="E5566" s="2" t="n">
        <v>2</v>
      </c>
      <c r="F5566" s="2" t="n">
        <v>118</v>
      </c>
      <c r="G5566" s="2" t="s">
        <v>2675</v>
      </c>
      <c r="H5566" s="2" t="str">
        <f aca="false">IFERROR(__xludf.dummyfunction("IF(I5624="""", """", REGEXEXTRACT(I5624, ""Padrao/([^/]+)""))"),"Jardim Botanico")</f>
        <v>Jardim Botanico</v>
      </c>
    </row>
    <row r="5567" customFormat="false" ht="15.75" hidden="false" customHeight="false" outlineLevel="0" collapsed="false">
      <c r="A5567" s="2" t="n">
        <v>176096</v>
      </c>
      <c r="B5567" s="2" t="s">
        <v>4595</v>
      </c>
      <c r="C5567" s="2" t="n">
        <v>3</v>
      </c>
      <c r="D5567" s="2" t="n">
        <v>4</v>
      </c>
      <c r="E5567" s="2" t="n">
        <v>2</v>
      </c>
      <c r="F5567" s="2" t="n">
        <v>114</v>
      </c>
      <c r="G5567" s="2" t="s">
        <v>2675</v>
      </c>
      <c r="H5567" s="2" t="str">
        <f aca="false">IFERROR(__xludf.dummyfunction("IF(I5625="""", """", REGEXEXTRACT(I5625, ""Padrao/([^/]+)""))"),"Jardim Botanico")</f>
        <v>Jardim Botanico</v>
      </c>
    </row>
    <row r="5568" customFormat="false" ht="15.75" hidden="false" customHeight="false" outlineLevel="0" collapsed="false">
      <c r="A5568" s="2" t="n">
        <v>147785</v>
      </c>
      <c r="B5568" s="2" t="s">
        <v>4596</v>
      </c>
      <c r="C5568" s="2" t="n">
        <v>2</v>
      </c>
      <c r="D5568" s="2" t="n">
        <v>3</v>
      </c>
      <c r="E5568" s="2" t="n">
        <v>2</v>
      </c>
      <c r="F5568" s="2" t="n">
        <v>90</v>
      </c>
      <c r="G5568" s="2" t="s">
        <v>2675</v>
      </c>
      <c r="H5568" s="2" t="str">
        <f aca="false">IFERROR(__xludf.dummyfunction("IF(I5626="""", """", REGEXEXTRACT(I5626, ""Padrao/([^/]+)""))"),"Bosque das Juritis")</f>
        <v>Bosque das Juritis</v>
      </c>
    </row>
    <row r="5569" customFormat="false" ht="15.75" hidden="false" customHeight="false" outlineLevel="0" collapsed="false">
      <c r="A5569" s="2" t="n">
        <v>143288</v>
      </c>
      <c r="B5569" s="2" t="s">
        <v>3993</v>
      </c>
      <c r="C5569" s="2" t="n">
        <v>3</v>
      </c>
      <c r="D5569" s="2" t="n">
        <v>3</v>
      </c>
      <c r="E5569" s="2" t="n">
        <v>2</v>
      </c>
      <c r="F5569" s="2" t="n">
        <v>159</v>
      </c>
      <c r="G5569" s="2" t="s">
        <v>2675</v>
      </c>
      <c r="H5569" s="2" t="str">
        <f aca="false">IFERROR(__xludf.dummyfunction("IF(I5627="""", """", REGEXEXTRACT(I5627, ""Padrao/([^/]+)""))"),"Centro")</f>
        <v>Centro</v>
      </c>
    </row>
    <row r="5570" customFormat="false" ht="15.75" hidden="false" customHeight="false" outlineLevel="0" collapsed="false">
      <c r="A5570" s="2" t="n">
        <v>142256</v>
      </c>
      <c r="B5570" s="2" t="s">
        <v>4597</v>
      </c>
      <c r="C5570" s="2" t="n">
        <v>4</v>
      </c>
      <c r="D5570" s="2" t="n">
        <v>4</v>
      </c>
      <c r="E5570" s="2" t="n">
        <v>2</v>
      </c>
      <c r="F5570" s="2" t="n">
        <v>146</v>
      </c>
      <c r="G5570" s="2" t="s">
        <v>2675</v>
      </c>
      <c r="H5570" s="2" t="str">
        <f aca="false">IFERROR(__xludf.dummyfunction("IF(I5628="""", """", REGEXEXTRACT(I5628, ""Padrao/([^/]+)""))"),"Jardim Sao Luiz")</f>
        <v>Jardim Sao Luiz</v>
      </c>
    </row>
    <row r="5571" customFormat="false" ht="15.75" hidden="false" customHeight="false" outlineLevel="0" collapsed="false">
      <c r="A5571" s="2" t="n">
        <v>132263</v>
      </c>
      <c r="B5571" s="2" t="s">
        <v>4598</v>
      </c>
      <c r="C5571" s="2" t="n">
        <v>4</v>
      </c>
      <c r="D5571" s="2" t="n">
        <v>5</v>
      </c>
      <c r="E5571" s="2" t="n">
        <v>2</v>
      </c>
      <c r="F5571" s="2" t="n">
        <v>232</v>
      </c>
      <c r="G5571" s="2" t="s">
        <v>2675</v>
      </c>
      <c r="H5571" s="2" t="str">
        <f aca="false">IFERROR(__xludf.dummyfunction("IF(I5629="""", """", REGEXEXTRACT(I5629, ""Padrao/([^/]+)""))"),"Centro")</f>
        <v>Centro</v>
      </c>
    </row>
    <row r="5572" customFormat="false" ht="15.75" hidden="false" customHeight="false" outlineLevel="0" collapsed="false">
      <c r="A5572" s="2" t="n">
        <v>119045</v>
      </c>
      <c r="B5572" s="2" t="s">
        <v>3427</v>
      </c>
      <c r="C5572" s="2" t="n">
        <v>3</v>
      </c>
      <c r="D5572" s="2" t="n">
        <v>2</v>
      </c>
      <c r="E5572" s="2" t="n">
        <v>2</v>
      </c>
      <c r="F5572" s="2" t="n">
        <v>75</v>
      </c>
      <c r="G5572" s="2" t="s">
        <v>2675</v>
      </c>
      <c r="H5572" s="2" t="str">
        <f aca="false">IFERROR(__xludf.dummyfunction("IF(I5630="""", """", REGEXEXTRACT(I5630, ""Padrao/([^/]+)""))"),"Jardim Botanico")</f>
        <v>Jardim Botanico</v>
      </c>
    </row>
    <row r="5573" customFormat="false" ht="15.75" hidden="false" customHeight="false" outlineLevel="0" collapsed="false">
      <c r="A5573" s="2" t="n">
        <v>109112</v>
      </c>
      <c r="B5573" s="2" t="s">
        <v>4599</v>
      </c>
      <c r="C5573" s="2" t="n">
        <v>3</v>
      </c>
      <c r="D5573" s="2" t="n">
        <v>2</v>
      </c>
      <c r="E5573" s="2" t="n">
        <v>2</v>
      </c>
      <c r="F5573" s="2" t="n">
        <v>80</v>
      </c>
      <c r="G5573" s="2" t="s">
        <v>2675</v>
      </c>
      <c r="H5573" s="2" t="str">
        <f aca="false">IFERROR(__xludf.dummyfunction("IF(I5631="""", """", REGEXEXTRACT(I5631, ""Padrao/([^/]+)""))"),"Bosque das Juritis")</f>
        <v>Bosque das Juritis</v>
      </c>
    </row>
    <row r="5574" customFormat="false" ht="15.75" hidden="false" customHeight="false" outlineLevel="0" collapsed="false">
      <c r="A5574" s="2" t="n">
        <v>100919</v>
      </c>
      <c r="B5574" s="2" t="s">
        <v>4600</v>
      </c>
      <c r="C5574" s="2" t="n">
        <v>2</v>
      </c>
      <c r="D5574" s="2" t="n">
        <v>3</v>
      </c>
      <c r="E5574" s="2" t="n">
        <v>2</v>
      </c>
      <c r="F5574" s="2" t="n">
        <v>90</v>
      </c>
      <c r="G5574" s="2" t="s">
        <v>2675</v>
      </c>
      <c r="H5574" s="2" t="str">
        <f aca="false">IFERROR(__xludf.dummyfunction("IF(I5632="""", """", REGEXEXTRACT(I5632, ""Padrao/([^/]+)""))"),"Bosque das Juritis")</f>
        <v>Bosque das Juritis</v>
      </c>
    </row>
    <row r="5575" customFormat="false" ht="15.75" hidden="false" customHeight="false" outlineLevel="0" collapsed="false">
      <c r="A5575" s="2" t="n">
        <v>80996</v>
      </c>
      <c r="B5575" s="2" t="s">
        <v>4601</v>
      </c>
      <c r="C5575" s="2" t="n">
        <v>3</v>
      </c>
      <c r="D5575" s="2" t="n">
        <v>4</v>
      </c>
      <c r="E5575" s="2" t="n">
        <v>2</v>
      </c>
      <c r="F5575" s="2" t="n">
        <v>147</v>
      </c>
      <c r="G5575" s="2" t="s">
        <v>2675</v>
      </c>
      <c r="H5575" s="2" t="str">
        <f aca="false">IFERROR(__xludf.dummyfunction("IF(I5633="""", """", REGEXEXTRACT(I5633, ""Padrao/([^/]+)""))"),"Jardim Sao Luiz")</f>
        <v>Jardim Sao Luiz</v>
      </c>
    </row>
    <row r="5576" customFormat="false" ht="15.75" hidden="false" customHeight="false" outlineLevel="0" collapsed="false">
      <c r="A5576" s="2" t="n">
        <v>201503</v>
      </c>
      <c r="B5576" s="2" t="s">
        <v>4602</v>
      </c>
      <c r="C5576" s="2" t="n">
        <v>2</v>
      </c>
      <c r="D5576" s="2" t="n">
        <v>3</v>
      </c>
      <c r="E5576" s="2" t="n">
        <v>2</v>
      </c>
      <c r="F5576" s="2" t="n">
        <v>97</v>
      </c>
      <c r="G5576" s="2" t="s">
        <v>4603</v>
      </c>
      <c r="H5576" s="2" t="str">
        <f aca="false">IFERROR(__xludf.dummyfunction("IF(I5634="""", """", REGEXEXTRACT(I5634, ""Padrao/([^/]+)""))"),"Jardim Iraja")</f>
        <v>Jardim Iraja</v>
      </c>
    </row>
    <row r="5577" customFormat="false" ht="15.75" hidden="false" customHeight="false" outlineLevel="0" collapsed="false">
      <c r="A5577" s="2" t="n">
        <v>225842</v>
      </c>
      <c r="B5577" s="2" t="s">
        <v>69</v>
      </c>
      <c r="C5577" s="2" t="n">
        <v>4</v>
      </c>
      <c r="D5577" s="2" t="n">
        <v>5</v>
      </c>
      <c r="E5577" s="2" t="n">
        <v>2</v>
      </c>
      <c r="F5577" s="2" t="n">
        <v>135</v>
      </c>
      <c r="G5577" s="2" t="s">
        <v>4181</v>
      </c>
      <c r="H5577" s="2" t="str">
        <f aca="false">IFERROR(__xludf.dummyfunction("IF(I5635="""", """", REGEXEXTRACT(I5635, ""Padrao/([^/]+)""))"),"Bosque das Juritis")</f>
        <v>Bosque das Juritis</v>
      </c>
    </row>
    <row r="5578" customFormat="false" ht="15.75" hidden="false" customHeight="false" outlineLevel="0" collapsed="false">
      <c r="A5578" s="2" t="n">
        <v>218537</v>
      </c>
      <c r="B5578" s="2" t="s">
        <v>4604</v>
      </c>
      <c r="C5578" s="2" t="n">
        <v>6</v>
      </c>
      <c r="D5578" s="2" t="n">
        <v>5</v>
      </c>
      <c r="E5578" s="2" t="n">
        <v>4</v>
      </c>
      <c r="F5578" s="2" t="n">
        <v>432</v>
      </c>
      <c r="G5578" s="2" t="s">
        <v>4181</v>
      </c>
      <c r="H5578" s="2" t="str">
        <f aca="false">IFERROR(__xludf.dummyfunction("IF(I5636="""", """", REGEXEXTRACT(I5636, ""Padrao/([^/]+)""))"),"Centro")</f>
        <v>Centro</v>
      </c>
    </row>
    <row r="5579" customFormat="false" ht="15.75" hidden="false" customHeight="false" outlineLevel="0" collapsed="false">
      <c r="A5579" s="2" t="n">
        <v>203426</v>
      </c>
      <c r="B5579" s="2" t="s">
        <v>4605</v>
      </c>
      <c r="C5579" s="2" t="n">
        <v>3</v>
      </c>
      <c r="D5579" s="2" t="n">
        <v>4</v>
      </c>
      <c r="E5579" s="2" t="n">
        <v>2</v>
      </c>
      <c r="F5579" s="2" t="n">
        <v>131</v>
      </c>
      <c r="G5579" s="2" t="s">
        <v>4181</v>
      </c>
      <c r="H5579" s="2" t="str">
        <f aca="false">IFERROR(__xludf.dummyfunction("IF(I5637="""", """", REGEXEXTRACT(I5637, ""Padrao/([^/]+)""))"),"Jardim Iraja")</f>
        <v>Jardim Iraja</v>
      </c>
    </row>
    <row r="5580" customFormat="false" ht="15.75" hidden="false" customHeight="false" outlineLevel="0" collapsed="false">
      <c r="A5580" s="2" t="n">
        <v>210983</v>
      </c>
      <c r="B5580" s="2" t="s">
        <v>4606</v>
      </c>
      <c r="C5580" s="2" t="n">
        <v>3</v>
      </c>
      <c r="D5580" s="2" t="n">
        <v>4</v>
      </c>
      <c r="E5580" s="2" t="n">
        <v>2</v>
      </c>
      <c r="F5580" s="2" t="n">
        <v>108</v>
      </c>
      <c r="G5580" s="2" t="s">
        <v>4607</v>
      </c>
      <c r="H5580" s="2" t="str">
        <f aca="false">IFERROR(__xludf.dummyfunction("IF(I5638="""", """", REGEXEXTRACT(I5638, ""Padrao/([^/]+)""))"),"Vila do Golf")</f>
        <v>Vila do Golf</v>
      </c>
    </row>
    <row r="5581" customFormat="false" ht="15.75" hidden="false" customHeight="false" outlineLevel="0" collapsed="false">
      <c r="A5581" s="2" t="n">
        <v>214952</v>
      </c>
      <c r="B5581" s="2" t="s">
        <v>4608</v>
      </c>
      <c r="C5581" s="2" t="n">
        <v>2</v>
      </c>
      <c r="D5581" s="2" t="n">
        <v>3</v>
      </c>
      <c r="E5581" s="2" t="n">
        <v>2</v>
      </c>
      <c r="F5581" s="2" t="n">
        <v>87</v>
      </c>
      <c r="G5581" s="2" t="s">
        <v>4609</v>
      </c>
      <c r="H5581" s="2" t="str">
        <f aca="false">IFERROR(__xludf.dummyfunction("IF(I5639="""", """", REGEXEXTRACT(I5639, ""Padrao/([^/]+)""))"),"Jardim Olhos DAgua")</f>
        <v>Jardim Olhos DAgua</v>
      </c>
    </row>
    <row r="5582" customFormat="false" ht="15.75" hidden="false" customHeight="false" outlineLevel="0" collapsed="false">
      <c r="A5582" s="2" t="n">
        <v>163190</v>
      </c>
      <c r="B5582" s="2" t="s">
        <v>4531</v>
      </c>
      <c r="C5582" s="2" t="n">
        <v>3</v>
      </c>
      <c r="D5582" s="2" t="n">
        <v>4</v>
      </c>
      <c r="E5582" s="2" t="n">
        <v>2</v>
      </c>
      <c r="F5582" s="2" t="n">
        <v>114</v>
      </c>
      <c r="G5582" s="2" t="s">
        <v>4610</v>
      </c>
      <c r="H5582" s="2" t="str">
        <f aca="false">IFERROR(__xludf.dummyfunction("IF(I5640="""", """", REGEXEXTRACT(I5640, ""Padrao/([^/]+)""))"),"Jardim Botanico")</f>
        <v>Jardim Botanico</v>
      </c>
    </row>
    <row r="5583" customFormat="false" ht="15.75" hidden="false" customHeight="false" outlineLevel="0" collapsed="false">
      <c r="A5583" s="2" t="n">
        <v>186617</v>
      </c>
      <c r="B5583" s="2" t="s">
        <v>363</v>
      </c>
      <c r="C5583" s="2" t="n">
        <v>2</v>
      </c>
      <c r="D5583" s="2" t="n">
        <v>1</v>
      </c>
      <c r="E5583" s="2" t="n">
        <v>1</v>
      </c>
      <c r="F5583" s="2" t="n">
        <v>65</v>
      </c>
      <c r="G5583" s="2" t="s">
        <v>4611</v>
      </c>
      <c r="H5583" s="2" t="str">
        <f aca="false">IFERROR(__xludf.dummyfunction("IF(I5641="""", """", REGEXEXTRACT(I5641, ""Padrao/([^/]+)""))"),"Residencial das Americas")</f>
        <v>Residencial das Americas</v>
      </c>
    </row>
    <row r="5584" customFormat="false" ht="15.75" hidden="false" customHeight="false" outlineLevel="0" collapsed="false">
      <c r="A5584" s="2" t="n">
        <v>224444</v>
      </c>
      <c r="B5584" s="2" t="s">
        <v>4612</v>
      </c>
      <c r="C5584" s="2" t="n">
        <v>3</v>
      </c>
      <c r="D5584" s="2" t="n">
        <v>4</v>
      </c>
      <c r="E5584" s="2" t="n">
        <v>3</v>
      </c>
      <c r="F5584" s="2" t="n">
        <v>133</v>
      </c>
      <c r="G5584" s="2" t="s">
        <v>4613</v>
      </c>
      <c r="H5584" s="2" t="str">
        <f aca="false">IFERROR(__xludf.dummyfunction("IF(I5642="""", """", REGEXEXTRACT(I5642, ""Padrao/([^/]+)""))"),"Jardim Nova Alianca Sul")</f>
        <v>Jardim Nova Alianca Sul</v>
      </c>
    </row>
    <row r="5585" customFormat="false" ht="15.75" hidden="false" customHeight="false" outlineLevel="0" collapsed="false">
      <c r="A5585" s="2" t="n">
        <v>210287</v>
      </c>
      <c r="B5585" s="2" t="s">
        <v>4614</v>
      </c>
      <c r="C5585" s="2" t="n">
        <v>2</v>
      </c>
      <c r="D5585" s="2" t="n">
        <v>3</v>
      </c>
      <c r="E5585" s="2" t="n">
        <v>2</v>
      </c>
      <c r="F5585" s="2" t="n">
        <v>80</v>
      </c>
      <c r="G5585" s="2" t="s">
        <v>4613</v>
      </c>
      <c r="H5585" s="2" t="str">
        <f aca="false">IFERROR(__xludf.dummyfunction("IF(I5643="""", """", REGEXEXTRACT(I5643, ""Padrao/([^/]+)""))"),"Bonfim Paulista")</f>
        <v>Bonfim Paulista</v>
      </c>
    </row>
    <row r="5586" customFormat="false" ht="15.75" hidden="false" customHeight="false" outlineLevel="0" collapsed="false">
      <c r="A5586" s="2" t="n">
        <v>210284</v>
      </c>
      <c r="B5586" s="2" t="s">
        <v>4614</v>
      </c>
      <c r="C5586" s="2" t="n">
        <v>2</v>
      </c>
      <c r="D5586" s="2" t="n">
        <v>3</v>
      </c>
      <c r="E5586" s="2" t="n">
        <v>2</v>
      </c>
      <c r="F5586" s="2" t="n">
        <v>80</v>
      </c>
      <c r="G5586" s="2" t="s">
        <v>4613</v>
      </c>
      <c r="H5586" s="2" t="str">
        <f aca="false">IFERROR(__xludf.dummyfunction("IF(I5644="""", """", REGEXEXTRACT(I5644, ""Padrao/([^/]+)""))"),"Bonfim Paulista")</f>
        <v>Bonfim Paulista</v>
      </c>
    </row>
    <row r="5587" customFormat="false" ht="15.75" hidden="false" customHeight="false" outlineLevel="0" collapsed="false">
      <c r="A5587" s="2" t="n">
        <v>188750</v>
      </c>
      <c r="B5587" s="2" t="s">
        <v>4615</v>
      </c>
      <c r="C5587" s="2" t="n">
        <v>3</v>
      </c>
      <c r="D5587" s="2" t="n">
        <v>3</v>
      </c>
      <c r="E5587" s="2" t="n">
        <v>2</v>
      </c>
      <c r="F5587" s="2" t="n">
        <v>88</v>
      </c>
      <c r="G5587" s="2" t="s">
        <v>4613</v>
      </c>
      <c r="H5587" s="2" t="str">
        <f aca="false">IFERROR(__xludf.dummyfunction("IF(I5645="""", """", REGEXEXTRACT(I5645, ""Padrao/([^/]+)""))"),"Jardim Olhos DAgua")</f>
        <v>Jardim Olhos DAgua</v>
      </c>
    </row>
    <row r="5588" customFormat="false" ht="15.75" hidden="false" customHeight="false" outlineLevel="0" collapsed="false">
      <c r="A5588" s="2" t="n">
        <v>165437</v>
      </c>
      <c r="B5588" s="2" t="s">
        <v>4616</v>
      </c>
      <c r="C5588" s="2" t="n">
        <v>3</v>
      </c>
      <c r="D5588" s="2" t="n">
        <v>2</v>
      </c>
      <c r="E5588" s="2" t="n">
        <v>2</v>
      </c>
      <c r="F5588" s="2" t="n">
        <v>133</v>
      </c>
      <c r="G5588" s="2" t="s">
        <v>4613</v>
      </c>
      <c r="H5588" s="2" t="str">
        <f aca="false">IFERROR(__xludf.dummyfunction("IF(I5646="""", """", REGEXEXTRACT(I5646, ""Padrao/([^/]+)""))"),"Jardim Nova Alianca Sul")</f>
        <v>Jardim Nova Alianca Sul</v>
      </c>
    </row>
    <row r="5589" customFormat="false" ht="15.75" hidden="false" customHeight="false" outlineLevel="0" collapsed="false">
      <c r="A5589" s="2" t="n">
        <v>239342</v>
      </c>
      <c r="B5589" s="2" t="s">
        <v>4617</v>
      </c>
      <c r="C5589" s="2" t="n">
        <v>3</v>
      </c>
      <c r="D5589" s="2" t="n">
        <v>3</v>
      </c>
      <c r="E5589" s="2" t="n">
        <v>2</v>
      </c>
      <c r="F5589" s="2" t="n">
        <v>95</v>
      </c>
      <c r="G5589" s="2" t="s">
        <v>4618</v>
      </c>
      <c r="H5589" s="2" t="str">
        <f aca="false">IFERROR(__xludf.dummyfunction("IF(I5647="""", """", REGEXEXTRACT(I5647, ""Padrao/([^/]+)""))"),"Bosque das Juritis")</f>
        <v>Bosque das Juritis</v>
      </c>
    </row>
    <row r="5590" customFormat="false" ht="15.75" hidden="false" customHeight="false" outlineLevel="0" collapsed="false">
      <c r="A5590" s="2" t="n">
        <v>116249</v>
      </c>
      <c r="B5590" s="2" t="s">
        <v>4619</v>
      </c>
      <c r="C5590" s="2" t="n">
        <v>2</v>
      </c>
      <c r="D5590" s="2" t="n">
        <v>3</v>
      </c>
      <c r="E5590" s="2" t="n">
        <v>2</v>
      </c>
      <c r="F5590" s="2" t="n">
        <v>86</v>
      </c>
      <c r="G5590" s="2" t="s">
        <v>4520</v>
      </c>
      <c r="H5590" s="2" t="str">
        <f aca="false">IFERROR(__xludf.dummyfunction("IF(I5648="""", """", REGEXEXTRACT(I5648, ""Padrao/([^/]+)""))"),"Bosque das Juritis")</f>
        <v>Bosque das Juritis</v>
      </c>
    </row>
    <row r="5591" customFormat="false" ht="15.75" hidden="false" customHeight="false" outlineLevel="0" collapsed="false">
      <c r="A5591" s="2" t="n">
        <v>197921</v>
      </c>
      <c r="B5591" s="2" t="s">
        <v>3598</v>
      </c>
      <c r="C5591" s="2" t="n">
        <v>3</v>
      </c>
      <c r="D5591" s="2" t="n">
        <v>4</v>
      </c>
      <c r="E5591" s="2" t="n">
        <v>2</v>
      </c>
      <c r="F5591" s="2" t="n">
        <v>120</v>
      </c>
      <c r="G5591" s="2" t="s">
        <v>4620</v>
      </c>
      <c r="H5591" s="2" t="str">
        <f aca="false">IFERROR(__xludf.dummyfunction("IF(I5649="""", """", REGEXEXTRACT(I5649, ""Padrao/([^/]+)""))"),"Jardim Botanico")</f>
        <v>Jardim Botanico</v>
      </c>
    </row>
    <row r="5592" customFormat="false" ht="15.75" hidden="false" customHeight="false" outlineLevel="0" collapsed="false">
      <c r="A5592" s="2" t="n">
        <v>225710</v>
      </c>
      <c r="B5592" s="2" t="s">
        <v>4621</v>
      </c>
      <c r="C5592" s="2" t="n">
        <v>3</v>
      </c>
      <c r="D5592" s="2" t="n">
        <v>4</v>
      </c>
      <c r="E5592" s="2" t="n">
        <v>2</v>
      </c>
      <c r="F5592" s="2" t="n">
        <v>133</v>
      </c>
      <c r="G5592" s="2" t="s">
        <v>4622</v>
      </c>
      <c r="H5592" s="2" t="str">
        <f aca="false">IFERROR(__xludf.dummyfunction("IF(I5650="""", """", REGEXEXTRACT(I5650, ""Padrao/([^/]+)""))"),"Jardim Nova Alianca Sul")</f>
        <v>Jardim Nova Alianca Sul</v>
      </c>
    </row>
    <row r="5593" customFormat="false" ht="15.75" hidden="false" customHeight="false" outlineLevel="0" collapsed="false">
      <c r="A5593" s="2" t="n">
        <v>202469</v>
      </c>
      <c r="B5593" s="2" t="s">
        <v>4623</v>
      </c>
      <c r="C5593" s="2" t="n">
        <v>3</v>
      </c>
      <c r="D5593" s="2" t="n">
        <v>3</v>
      </c>
      <c r="E5593" s="2" t="n">
        <v>2</v>
      </c>
      <c r="F5593" s="2" t="n">
        <v>97</v>
      </c>
      <c r="G5593" s="2" t="s">
        <v>4624</v>
      </c>
      <c r="H5593" s="2" t="str">
        <f aca="false">IFERROR(__xludf.dummyfunction("IF(I5651="""", """", REGEXEXTRACT(I5651, ""Padrao/([^/]+)""))"),"Jardim Iraja")</f>
        <v>Jardim Iraja</v>
      </c>
    </row>
    <row r="5594" customFormat="false" ht="15.75" hidden="false" customHeight="false" outlineLevel="0" collapsed="false">
      <c r="A5594" s="2" t="n">
        <v>233513</v>
      </c>
      <c r="B5594" s="2" t="s">
        <v>4614</v>
      </c>
      <c r="C5594" s="2" t="n">
        <v>2</v>
      </c>
      <c r="D5594" s="2" t="n">
        <v>3</v>
      </c>
      <c r="E5594" s="2" t="n">
        <v>2</v>
      </c>
      <c r="F5594" s="2" t="n">
        <v>80</v>
      </c>
      <c r="G5594" s="2" t="s">
        <v>2716</v>
      </c>
      <c r="H5594" s="2" t="str">
        <f aca="false">IFERROR(__xludf.dummyfunction("IF(I5652="""", """", REGEXEXTRACT(I5652, ""Padrao/([^/]+)""))"),"Bonfim Paulista")</f>
        <v>Bonfim Paulista</v>
      </c>
    </row>
    <row r="5595" customFormat="false" ht="15.75" hidden="false" customHeight="false" outlineLevel="0" collapsed="false">
      <c r="A5595" s="2" t="n">
        <v>244412</v>
      </c>
      <c r="B5595" s="2" t="s">
        <v>4625</v>
      </c>
      <c r="C5595" s="2" t="n">
        <v>3</v>
      </c>
      <c r="D5595" s="2" t="n">
        <v>4</v>
      </c>
      <c r="E5595" s="2" t="n">
        <v>2</v>
      </c>
      <c r="F5595" s="2" t="n">
        <v>108</v>
      </c>
      <c r="G5595" s="2" t="s">
        <v>652</v>
      </c>
      <c r="H5595" s="2" t="str">
        <f aca="false">IFERROR(__xludf.dummyfunction("IF(I5653="""", """", REGEXEXTRACT(I5653, ""Padrao/([^/]+)""))"),"Jardim Botanico")</f>
        <v>Jardim Botanico</v>
      </c>
    </row>
    <row r="5596" customFormat="false" ht="15.75" hidden="false" customHeight="false" outlineLevel="0" collapsed="false">
      <c r="A5596" s="2" t="n">
        <v>239399</v>
      </c>
      <c r="B5596" s="2" t="s">
        <v>4626</v>
      </c>
      <c r="C5596" s="2" t="n">
        <v>2</v>
      </c>
      <c r="D5596" s="2" t="n">
        <v>3</v>
      </c>
      <c r="E5596" s="2" t="n">
        <v>2</v>
      </c>
      <c r="F5596" s="2" t="n">
        <v>75</v>
      </c>
      <c r="G5596" s="2" t="s">
        <v>652</v>
      </c>
      <c r="H5596" s="2" t="str">
        <f aca="false">IFERROR(__xludf.dummyfunction("IF(I5654="""", """", REGEXEXTRACT(I5654, ""Padrao/([^/]+)""))"),"Nova Alianca")</f>
        <v>Nova Alianca</v>
      </c>
    </row>
    <row r="5597" customFormat="false" ht="15.75" hidden="false" customHeight="false" outlineLevel="0" collapsed="false">
      <c r="A5597" s="2" t="n">
        <v>235181</v>
      </c>
      <c r="B5597" s="2" t="s">
        <v>4627</v>
      </c>
      <c r="C5597" s="2" t="n">
        <v>3</v>
      </c>
      <c r="D5597" s="2" t="n">
        <v>5</v>
      </c>
      <c r="E5597" s="2" t="n">
        <v>2</v>
      </c>
      <c r="F5597" s="2" t="n">
        <v>140</v>
      </c>
      <c r="G5597" s="2" t="s">
        <v>652</v>
      </c>
      <c r="H5597" s="2" t="str">
        <f aca="false">IFERROR(__xludf.dummyfunction("IF(I5655="""", """", REGEXEXTRACT(I5655, ""Padrao/([^/]+)""))"),"Nova Alianca")</f>
        <v>Nova Alianca</v>
      </c>
    </row>
    <row r="5598" customFormat="false" ht="15.75" hidden="false" customHeight="false" outlineLevel="0" collapsed="false">
      <c r="A5598" s="2" t="n">
        <v>195998</v>
      </c>
      <c r="B5598" s="2" t="s">
        <v>4344</v>
      </c>
      <c r="C5598" s="2" t="n">
        <v>3</v>
      </c>
      <c r="D5598" s="2" t="n">
        <v>3</v>
      </c>
      <c r="E5598" s="2" t="n">
        <v>1</v>
      </c>
      <c r="F5598" s="2" t="n">
        <v>83</v>
      </c>
      <c r="G5598" s="2" t="s">
        <v>4628</v>
      </c>
      <c r="H5598" s="2" t="str">
        <f aca="false">IFERROR(__xludf.dummyfunction("IF(I5656="""", """", REGEXEXTRACT(I5656, ""Padrao/([^/]+)""))"),"Jardim Botanico")</f>
        <v>Jardim Botanico</v>
      </c>
    </row>
    <row r="5599" customFormat="false" ht="15.75" hidden="false" customHeight="false" outlineLevel="0" collapsed="false">
      <c r="A5599" s="2" t="n">
        <v>172853</v>
      </c>
      <c r="B5599" s="2" t="s">
        <v>4629</v>
      </c>
      <c r="C5599" s="2" t="n">
        <v>3</v>
      </c>
      <c r="D5599" s="2" t="n">
        <v>4</v>
      </c>
      <c r="E5599" s="2" t="n">
        <v>2</v>
      </c>
      <c r="F5599" s="2" t="n">
        <v>114</v>
      </c>
      <c r="G5599" s="2" t="s">
        <v>4630</v>
      </c>
      <c r="H5599" s="2" t="str">
        <f aca="false">IFERROR(__xludf.dummyfunction("IF(I5657="""", """", REGEXEXTRACT(I5657, ""Padrao/([^/]+)""))"),"Vila Ana Maria")</f>
        <v>Vila Ana Maria</v>
      </c>
    </row>
    <row r="5600" customFormat="false" ht="15.75" hidden="false" customHeight="false" outlineLevel="0" collapsed="false">
      <c r="A5600" s="2" t="n">
        <v>243752</v>
      </c>
      <c r="B5600" s="2" t="s">
        <v>4631</v>
      </c>
      <c r="C5600" s="2" t="n">
        <v>2</v>
      </c>
      <c r="D5600" s="2" t="n">
        <v>3</v>
      </c>
      <c r="E5600" s="2" t="n">
        <v>2</v>
      </c>
      <c r="F5600" s="2" t="n">
        <v>93</v>
      </c>
      <c r="G5600" s="2" t="s">
        <v>3497</v>
      </c>
      <c r="H5600" s="2" t="str">
        <f aca="false">IFERROR(__xludf.dummyfunction("IF(I5658="""", """", REGEXEXTRACT(I5658, ""Padrao/([^/]+)""))"),"Jardim Botanico")</f>
        <v>Jardim Botanico</v>
      </c>
    </row>
    <row r="5601" customFormat="false" ht="15.75" hidden="false" customHeight="false" outlineLevel="0" collapsed="false">
      <c r="A5601" s="2" t="n">
        <v>240608</v>
      </c>
      <c r="B5601" s="2" t="s">
        <v>4632</v>
      </c>
      <c r="C5601" s="2" t="n">
        <v>3</v>
      </c>
      <c r="D5601" s="2" t="n">
        <v>5</v>
      </c>
      <c r="E5601" s="2" t="n">
        <v>4</v>
      </c>
      <c r="F5601" s="2" t="n">
        <v>432</v>
      </c>
      <c r="G5601" s="2" t="s">
        <v>3497</v>
      </c>
      <c r="H5601" s="2" t="str">
        <f aca="false">IFERROR(__xludf.dummyfunction("IF(I5659="""", """", REGEXEXTRACT(I5659, ""Padrao/([^/]+)""))"),"Centro")</f>
        <v>Centro</v>
      </c>
    </row>
    <row r="5602" customFormat="false" ht="15.75" hidden="false" customHeight="false" outlineLevel="0" collapsed="false">
      <c r="A5602" s="2" t="n">
        <v>207230</v>
      </c>
      <c r="B5602" s="2" t="s">
        <v>4633</v>
      </c>
      <c r="C5602" s="2" t="n">
        <v>4</v>
      </c>
      <c r="D5602" s="2" t="n">
        <v>5</v>
      </c>
      <c r="E5602" s="2" t="n">
        <v>4</v>
      </c>
      <c r="F5602" s="2" t="n">
        <v>442</v>
      </c>
      <c r="G5602" s="2" t="s">
        <v>3497</v>
      </c>
      <c r="H5602" s="2" t="str">
        <f aca="false">IFERROR(__xludf.dummyfunction("IF(I5660="""", """", REGEXEXTRACT(I5660, ""Padrao/([^/]+)""))"),"Centro")</f>
        <v>Centro</v>
      </c>
    </row>
    <row r="5603" customFormat="false" ht="15.75" hidden="false" customHeight="false" outlineLevel="0" collapsed="false">
      <c r="A5603" s="2" t="n">
        <v>206444</v>
      </c>
      <c r="B5603" s="2" t="s">
        <v>4634</v>
      </c>
      <c r="C5603" s="2" t="n">
        <v>3</v>
      </c>
      <c r="D5603" s="2" t="n">
        <v>3</v>
      </c>
      <c r="E5603" s="2" t="n">
        <v>2</v>
      </c>
      <c r="F5603" s="2" t="n">
        <v>183</v>
      </c>
      <c r="G5603" s="2" t="s">
        <v>3497</v>
      </c>
      <c r="H5603" s="2" t="str">
        <f aca="false">IFERROR(__xludf.dummyfunction("IF(I5661="""", """", REGEXEXTRACT(I5661, ""Padrao/([^/]+)""))"),"Santa Cruz do Jose Jacques")</f>
        <v>Santa Cruz do Jose Jacques</v>
      </c>
    </row>
    <row r="5604" customFormat="false" ht="15.75" hidden="false" customHeight="false" outlineLevel="0" collapsed="false">
      <c r="A5604" s="2" t="n">
        <v>218570</v>
      </c>
      <c r="B5604" s="2" t="s">
        <v>4635</v>
      </c>
      <c r="C5604" s="2" t="n">
        <v>3</v>
      </c>
      <c r="D5604" s="2" t="n">
        <v>5</v>
      </c>
      <c r="E5604" s="2" t="n">
        <v>3</v>
      </c>
      <c r="F5604" s="2" t="n">
        <v>218</v>
      </c>
      <c r="G5604" s="2" t="s">
        <v>324</v>
      </c>
      <c r="H5604" s="2" t="str">
        <f aca="false">IFERROR(__xludf.dummyfunction("IF(I5662="""", """", REGEXEXTRACT(I5662, ""Padrao/([^/]+)""))"),"Bosque das Juritis")</f>
        <v>Bosque das Juritis</v>
      </c>
    </row>
    <row r="5605" customFormat="false" ht="15.75" hidden="false" customHeight="false" outlineLevel="0" collapsed="false">
      <c r="A5605" s="2" t="n">
        <v>168002</v>
      </c>
      <c r="B5605" s="2" t="s">
        <v>1274</v>
      </c>
      <c r="C5605" s="2" t="n">
        <v>2</v>
      </c>
      <c r="D5605" s="2" t="n">
        <v>1</v>
      </c>
      <c r="E5605" s="2" t="n">
        <v>1</v>
      </c>
      <c r="F5605" s="2" t="n">
        <v>42</v>
      </c>
      <c r="G5605" s="2" t="s">
        <v>4636</v>
      </c>
      <c r="H5605" s="2" t="str">
        <f aca="false">IFERROR(__xludf.dummyfunction("IF(I5663="""", """", REGEXEXTRACT(I5663, ""Padrao/([^/]+)""))"),"Jardim Doutor Paulo Gomes Romeo")</f>
        <v>Jardim Doutor Paulo Gomes Romeo</v>
      </c>
    </row>
    <row r="5606" customFormat="false" ht="15.75" hidden="false" customHeight="false" outlineLevel="0" collapsed="false">
      <c r="A5606" s="2" t="n">
        <v>184742</v>
      </c>
      <c r="B5606" s="2" t="s">
        <v>4637</v>
      </c>
      <c r="C5606" s="2" t="n">
        <v>2</v>
      </c>
      <c r="D5606" s="2" t="n">
        <v>1</v>
      </c>
      <c r="E5606" s="2" t="n">
        <v>1</v>
      </c>
      <c r="F5606" s="2" t="n">
        <v>41</v>
      </c>
      <c r="G5606" s="2" t="s">
        <v>742</v>
      </c>
      <c r="H5606" s="2" t="str">
        <f aca="false">IFERROR(__xludf.dummyfunction("IF(I5664="""", """", REGEXEXTRACT(I5664, ""Padrao/([^/]+)""))"),"Conjunto Habitacional Silvio Passalacqua")</f>
        <v>Conjunto Habitacional Silvio Passalacqua</v>
      </c>
    </row>
    <row r="5607" customFormat="false" ht="15.75" hidden="false" customHeight="false" outlineLevel="0" collapsed="false">
      <c r="A5607" s="2" t="n">
        <v>238469</v>
      </c>
      <c r="B5607" s="2" t="s">
        <v>704</v>
      </c>
      <c r="C5607" s="2" t="n">
        <v>2</v>
      </c>
      <c r="D5607" s="2" t="n">
        <v>1</v>
      </c>
      <c r="E5607" s="2" t="n">
        <v>1</v>
      </c>
      <c r="F5607" s="2" t="n">
        <v>42</v>
      </c>
      <c r="G5607" s="2" t="s">
        <v>394</v>
      </c>
      <c r="H5607" s="2" t="str">
        <f aca="false">IFERROR(__xludf.dummyfunction("IF(I5665="""", """", REGEXEXTRACT(I5665, ""Padrao/([^/]+)""))"),"Jardim Joao Rossi")</f>
        <v>Jardim Joao Rossi</v>
      </c>
    </row>
    <row r="5608" customFormat="false" ht="15.75" hidden="false" customHeight="false" outlineLevel="0" collapsed="false">
      <c r="A5608" s="2" t="n">
        <v>229652</v>
      </c>
      <c r="B5608" s="2" t="s">
        <v>438</v>
      </c>
      <c r="C5608" s="2" t="n">
        <v>2</v>
      </c>
      <c r="D5608" s="2" t="n">
        <v>1</v>
      </c>
      <c r="E5608" s="2" t="n">
        <v>1</v>
      </c>
      <c r="F5608" s="2" t="n">
        <v>43</v>
      </c>
      <c r="G5608" s="2" t="s">
        <v>4638</v>
      </c>
      <c r="H5608" s="2" t="str">
        <f aca="false">IFERROR(__xludf.dummyfunction("IF(I5666="""", """", REGEXEXTRACT(I5666, ""Padrao/([^/]+)""))"),"Jardim Heitor Rigon")</f>
        <v>Jardim Heitor Rigon</v>
      </c>
    </row>
    <row r="5609" customFormat="false" ht="15.75" hidden="false" customHeight="false" outlineLevel="0" collapsed="false">
      <c r="A5609" s="2" t="n">
        <v>208799</v>
      </c>
      <c r="B5609" s="2" t="s">
        <v>4639</v>
      </c>
      <c r="C5609" s="2" t="n">
        <v>2</v>
      </c>
      <c r="D5609" s="2" t="n">
        <v>1</v>
      </c>
      <c r="E5609" s="2" t="n">
        <v>1</v>
      </c>
      <c r="F5609" s="2" t="n">
        <v>45</v>
      </c>
      <c r="G5609" s="2" t="s">
        <v>394</v>
      </c>
      <c r="H5609" s="2" t="str">
        <f aca="false">IFERROR(__xludf.dummyfunction("IF(I5667="""", """", REGEXEXTRACT(I5667, ""Padrao/([^/]+)""))"),"Vila Abranches")</f>
        <v>Vila Abranches</v>
      </c>
    </row>
    <row r="5610" customFormat="false" ht="15.75" hidden="false" customHeight="false" outlineLevel="0" collapsed="false">
      <c r="A5610" s="2" t="n">
        <v>231347</v>
      </c>
      <c r="B5610" s="2" t="s">
        <v>438</v>
      </c>
      <c r="C5610" s="2" t="n">
        <v>2</v>
      </c>
      <c r="D5610" s="2" t="n">
        <v>1</v>
      </c>
      <c r="E5610" s="2" t="n">
        <v>1</v>
      </c>
      <c r="F5610" s="2" t="n">
        <v>43</v>
      </c>
      <c r="G5610" s="2" t="s">
        <v>414</v>
      </c>
      <c r="H5610" s="2" t="str">
        <f aca="false">IFERROR(__xludf.dummyfunction("IF(I5668="""", """", REGEXEXTRACT(I5668, ""Padrao/([^/]+)""))"),"Jardim Heitor Rigon")</f>
        <v>Jardim Heitor Rigon</v>
      </c>
    </row>
    <row r="5611" customFormat="false" ht="15.75" hidden="false" customHeight="false" outlineLevel="0" collapsed="false">
      <c r="A5611" s="2" t="n">
        <v>226559</v>
      </c>
      <c r="B5611" s="2" t="s">
        <v>4640</v>
      </c>
      <c r="C5611" s="2" t="n">
        <v>2</v>
      </c>
      <c r="D5611" s="2" t="n">
        <v>1</v>
      </c>
      <c r="E5611" s="2" t="n">
        <v>1</v>
      </c>
      <c r="F5611" s="2" t="n">
        <v>42</v>
      </c>
      <c r="G5611" s="2" t="s">
        <v>700</v>
      </c>
      <c r="H5611" s="2" t="str">
        <f aca="false">IFERROR(__xludf.dummyfunction("IF(I5669="""", """", REGEXEXTRACT(I5669, ""Padrao/([^/]+)""))"),"Valentina Figueiredo")</f>
        <v>Valentina Figueiredo</v>
      </c>
    </row>
    <row r="5612" customFormat="false" ht="15.75" hidden="false" customHeight="false" outlineLevel="0" collapsed="false">
      <c r="A5612" s="2" t="n">
        <v>216671</v>
      </c>
      <c r="B5612" s="2" t="s">
        <v>1903</v>
      </c>
      <c r="C5612" s="2" t="n">
        <v>2</v>
      </c>
      <c r="D5612" s="2" t="n">
        <v>1</v>
      </c>
      <c r="E5612" s="2" t="n">
        <v>1</v>
      </c>
      <c r="F5612" s="2" t="n">
        <v>40</v>
      </c>
      <c r="G5612" s="2" t="s">
        <v>425</v>
      </c>
      <c r="H5612" s="2" t="str">
        <f aca="false">IFERROR(__xludf.dummyfunction("IF(I5670="""", """", REGEXEXTRACT(I5670, ""Padrao/([^/]+)""))"),"Jardim Ouro Branco")</f>
        <v>Jardim Ouro Branco</v>
      </c>
    </row>
    <row r="5613" customFormat="false" ht="15.75" hidden="false" customHeight="false" outlineLevel="0" collapsed="false">
      <c r="A5613" s="2" t="n">
        <v>214121</v>
      </c>
      <c r="B5613" s="2" t="s">
        <v>429</v>
      </c>
      <c r="C5613" s="2" t="n">
        <v>2</v>
      </c>
      <c r="D5613" s="2" t="n">
        <v>1</v>
      </c>
      <c r="E5613" s="2" t="n">
        <v>1</v>
      </c>
      <c r="F5613" s="2" t="n">
        <v>43</v>
      </c>
      <c r="G5613" s="2" t="s">
        <v>435</v>
      </c>
      <c r="H5613" s="2" t="str">
        <f aca="false">IFERROR(__xludf.dummyfunction("IF(I5671="""", """", REGEXEXTRACT(I5671, ""Padrao/([^/]+)""))"),"Reserva Macauba")</f>
        <v>Reserva Macauba</v>
      </c>
    </row>
    <row r="5614" customFormat="false" ht="15.75" hidden="false" customHeight="false" outlineLevel="0" collapsed="false">
      <c r="A5614" s="2" t="n">
        <v>213248</v>
      </c>
      <c r="B5614" s="2" t="s">
        <v>454</v>
      </c>
      <c r="C5614" s="2" t="n">
        <v>2</v>
      </c>
      <c r="D5614" s="2" t="n">
        <v>1</v>
      </c>
      <c r="E5614" s="2" t="n">
        <v>1</v>
      </c>
      <c r="F5614" s="2" t="n">
        <v>41</v>
      </c>
      <c r="G5614" s="2" t="s">
        <v>443</v>
      </c>
      <c r="H5614" s="2" t="str">
        <f aca="false">IFERROR(__xludf.dummyfunction("IF(I5672="""", """", REGEXEXTRACT(I5672, ""Padrao/([^/]+)""))"),"Reserva Real")</f>
        <v>Reserva Real</v>
      </c>
    </row>
    <row r="5615" customFormat="false" ht="15.75" hidden="false" customHeight="false" outlineLevel="0" collapsed="false">
      <c r="A5615" s="2" t="n">
        <v>225014</v>
      </c>
      <c r="B5615" s="2" t="s">
        <v>704</v>
      </c>
      <c r="C5615" s="2" t="n">
        <v>2</v>
      </c>
      <c r="D5615" s="2" t="n">
        <v>1</v>
      </c>
      <c r="E5615" s="2" t="n">
        <v>1</v>
      </c>
      <c r="F5615" s="2" t="n">
        <v>42</v>
      </c>
      <c r="G5615" s="2" t="s">
        <v>394</v>
      </c>
      <c r="H5615" s="2" t="str">
        <f aca="false">IFERROR(__xludf.dummyfunction("IF(I5673="""", """", REGEXEXTRACT(I5673, ""Padrao/([^/]+)""))"),"Jardim Joao Rossi")</f>
        <v>Jardim Joao Rossi</v>
      </c>
    </row>
    <row r="5616" customFormat="false" ht="15.75" hidden="false" customHeight="false" outlineLevel="0" collapsed="false">
      <c r="A5616" s="2" t="n">
        <v>181610</v>
      </c>
      <c r="B5616" s="2" t="s">
        <v>4641</v>
      </c>
      <c r="C5616" s="2" t="n">
        <v>2</v>
      </c>
      <c r="D5616" s="2" t="n">
        <v>1</v>
      </c>
      <c r="E5616" s="2" t="n">
        <v>1</v>
      </c>
      <c r="F5616" s="2" t="n">
        <v>55</v>
      </c>
      <c r="G5616" s="2" t="s">
        <v>464</v>
      </c>
      <c r="H5616" s="2" t="str">
        <f aca="false">IFERROR(__xludf.dummyfunction("IF(I5674="""", """", REGEXEXTRACT(I5674, ""Padrao/([^/]+)""))"),"Vila Virginia")</f>
        <v>Vila Virginia</v>
      </c>
    </row>
    <row r="5617" customFormat="false" ht="15.75" hidden="false" customHeight="false" outlineLevel="0" collapsed="false">
      <c r="A5617" s="2" t="n">
        <v>37400</v>
      </c>
      <c r="B5617" s="2" t="s">
        <v>4642</v>
      </c>
      <c r="C5617" s="2" t="n">
        <v>1</v>
      </c>
      <c r="D5617" s="2" t="n">
        <v>1</v>
      </c>
      <c r="E5617" s="2" t="n">
        <v>1</v>
      </c>
      <c r="F5617" s="2" t="n">
        <v>34</v>
      </c>
      <c r="G5617" s="2" t="s">
        <v>464</v>
      </c>
      <c r="H5617" s="2" t="str">
        <f aca="false">IFERROR(__xludf.dummyfunction("IF(I5675="""", """", REGEXEXTRACT(I5675, ""Padrao/([^/]+)""))"),"Jardim Palma Travassos")</f>
        <v>Jardim Palma Travassos</v>
      </c>
    </row>
    <row r="5618" customFormat="false" ht="15.75" hidden="false" customHeight="false" outlineLevel="0" collapsed="false">
      <c r="A5618" s="2" t="n">
        <v>155255</v>
      </c>
      <c r="B5618" s="2" t="s">
        <v>4643</v>
      </c>
      <c r="C5618" s="2" t="n">
        <v>3</v>
      </c>
      <c r="D5618" s="2" t="n">
        <v>2</v>
      </c>
      <c r="E5618" s="2" t="n">
        <v>2</v>
      </c>
      <c r="F5618" s="2" t="n">
        <v>80</v>
      </c>
      <c r="G5618" s="2" t="s">
        <v>4644</v>
      </c>
      <c r="H5618" s="2" t="str">
        <f aca="false">IFERROR(__xludf.dummyfunction("IF(I5676="""", """", REGEXEXTRACT(I5676, ""Padrao/([^/]+)""))"),"Bosque das Juritis")</f>
        <v>Bosque das Juritis</v>
      </c>
    </row>
    <row r="5619" customFormat="false" ht="15.75" hidden="false" customHeight="false" outlineLevel="0" collapsed="false">
      <c r="A5619" s="2" t="n">
        <v>122186</v>
      </c>
      <c r="B5619" s="2" t="s">
        <v>4551</v>
      </c>
      <c r="C5619" s="2" t="n">
        <v>4</v>
      </c>
      <c r="D5619" s="2" t="n">
        <v>4</v>
      </c>
      <c r="E5619" s="2" t="n">
        <v>2</v>
      </c>
      <c r="F5619" s="2" t="n">
        <v>173</v>
      </c>
      <c r="G5619" s="2" t="s">
        <v>2667</v>
      </c>
      <c r="H5619" s="2" t="str">
        <f aca="false">IFERROR(__xludf.dummyfunction("IF(I5677="""", """", REGEXEXTRACT(I5677, ""Padrao/([^/]+)""))"),"Centro")</f>
        <v>Centro</v>
      </c>
    </row>
    <row r="5620" customFormat="false" ht="15.75" hidden="false" customHeight="false" outlineLevel="0" collapsed="false">
      <c r="A5620" s="2" t="n">
        <v>86573</v>
      </c>
      <c r="B5620" s="2" t="s">
        <v>4645</v>
      </c>
      <c r="C5620" s="2" t="n">
        <v>3</v>
      </c>
      <c r="D5620" s="2" t="n">
        <v>4</v>
      </c>
      <c r="E5620" s="2" t="n">
        <v>2</v>
      </c>
      <c r="F5620" s="2" t="n">
        <v>144</v>
      </c>
      <c r="G5620" s="2" t="s">
        <v>2667</v>
      </c>
      <c r="H5620" s="2" t="str">
        <f aca="false">IFERROR(__xludf.dummyfunction("IF(I5678="""", """", REGEXEXTRACT(I5678, ""Padrao/([^/]+)""))"),"Jardim Iraja")</f>
        <v>Jardim Iraja</v>
      </c>
    </row>
    <row r="5621" customFormat="false" ht="15.75" hidden="false" customHeight="false" outlineLevel="0" collapsed="false">
      <c r="A5621" s="2" t="n">
        <v>218789</v>
      </c>
      <c r="B5621" s="2" t="s">
        <v>4646</v>
      </c>
      <c r="C5621" s="2" t="n">
        <v>4</v>
      </c>
      <c r="D5621" s="2" t="n">
        <v>5</v>
      </c>
      <c r="E5621" s="2" t="n">
        <v>3</v>
      </c>
      <c r="F5621" s="2" t="n">
        <v>180</v>
      </c>
      <c r="G5621" s="2" t="s">
        <v>2675</v>
      </c>
      <c r="H5621" s="2" t="str">
        <f aca="false">IFERROR(__xludf.dummyfunction("IF(I5679="""", """", REGEXEXTRACT(I5679, ""Padrao/([^/]+)""))"),"Jardim Sao Luiz")</f>
        <v>Jardim Sao Luiz</v>
      </c>
    </row>
    <row r="5622" customFormat="false" ht="15.75" hidden="false" customHeight="false" outlineLevel="0" collapsed="false">
      <c r="A5622" s="2" t="n">
        <v>134846</v>
      </c>
      <c r="B5622" s="2" t="s">
        <v>4647</v>
      </c>
      <c r="C5622" s="2" t="n">
        <v>4</v>
      </c>
      <c r="D5622" s="2" t="n">
        <v>6</v>
      </c>
      <c r="E5622" s="2" t="n">
        <v>4</v>
      </c>
      <c r="F5622" s="2" t="n">
        <v>318</v>
      </c>
      <c r="G5622" s="2" t="s">
        <v>4613</v>
      </c>
      <c r="H5622" s="2" t="str">
        <f aca="false">IFERROR(__xludf.dummyfunction("IF(I5680="""", """", REGEXEXTRACT(I5680, ""Padrao/([^/]+)""))"),"Higienopolis")</f>
        <v>Higienopolis</v>
      </c>
    </row>
    <row r="5623" customFormat="false" ht="15.75" hidden="false" customHeight="false" outlineLevel="0" collapsed="false">
      <c r="A5623" s="2" t="n">
        <v>243371</v>
      </c>
      <c r="B5623" s="2" t="s">
        <v>4648</v>
      </c>
      <c r="C5623" s="2" t="n">
        <v>3</v>
      </c>
      <c r="D5623" s="2" t="n">
        <v>3</v>
      </c>
      <c r="E5623" s="2" t="n">
        <v>2</v>
      </c>
      <c r="F5623" s="2" t="n">
        <v>108</v>
      </c>
      <c r="G5623" s="2" t="s">
        <v>653</v>
      </c>
      <c r="H5623" s="2" t="str">
        <f aca="false">IFERROR(__xludf.dummyfunction("IF(I5681="""", """", REGEXEXTRACT(I5681, ""Padrao/([^/]+)""))"),"Bosque das Juritis")</f>
        <v>Bosque das Juritis</v>
      </c>
    </row>
    <row r="5624" customFormat="false" ht="15.75" hidden="false" customHeight="false" outlineLevel="0" collapsed="false">
      <c r="A5624" s="2" t="n">
        <v>243344</v>
      </c>
      <c r="B5624" s="2" t="s">
        <v>4649</v>
      </c>
      <c r="C5624" s="2" t="n">
        <v>3</v>
      </c>
      <c r="D5624" s="2" t="n">
        <v>4</v>
      </c>
      <c r="E5624" s="2" t="n">
        <v>3</v>
      </c>
      <c r="F5624" s="2" t="n">
        <v>108</v>
      </c>
      <c r="G5624" s="2" t="s">
        <v>653</v>
      </c>
      <c r="H5624" s="2" t="str">
        <f aca="false">IFERROR(__xludf.dummyfunction("IF(I5682="""", """", REGEXEXTRACT(I5682, ""Padrao/([^/]+)""))"),"Bosque das Juritis")</f>
        <v>Bosque das Juritis</v>
      </c>
    </row>
    <row r="5625" customFormat="false" ht="15.75" hidden="false" customHeight="false" outlineLevel="0" collapsed="false">
      <c r="A5625" s="2" t="n">
        <v>232313</v>
      </c>
      <c r="B5625" s="2" t="s">
        <v>658</v>
      </c>
      <c r="C5625" s="2" t="n">
        <v>3</v>
      </c>
      <c r="D5625" s="2" t="n">
        <v>5</v>
      </c>
      <c r="E5625" s="2" t="n">
        <v>2</v>
      </c>
      <c r="F5625" s="2" t="n">
        <v>131</v>
      </c>
      <c r="G5625" s="2" t="s">
        <v>653</v>
      </c>
      <c r="H5625" s="2" t="str">
        <f aca="false">IFERROR(__xludf.dummyfunction("IF(I5683="""", """", REGEXEXTRACT(I5683, ""Padrao/([^/]+)""))"),"Nova Alianca")</f>
        <v>Nova Alianca</v>
      </c>
    </row>
    <row r="5626" customFormat="false" ht="15.75" hidden="false" customHeight="false" outlineLevel="0" collapsed="false">
      <c r="A5626" s="2" t="n">
        <v>222260</v>
      </c>
      <c r="B5626" s="2" t="s">
        <v>4650</v>
      </c>
      <c r="C5626" s="2" t="n">
        <v>3</v>
      </c>
      <c r="D5626" s="2" t="n">
        <v>5</v>
      </c>
      <c r="E5626" s="2" t="n">
        <v>2</v>
      </c>
      <c r="F5626" s="2" t="n">
        <v>99</v>
      </c>
      <c r="G5626" s="2" t="s">
        <v>653</v>
      </c>
      <c r="H5626" s="2" t="str">
        <f aca="false">IFERROR(__xludf.dummyfunction("IF(I5684="""", """", REGEXEXTRACT(I5684, ""Padrao/([^/]+)""))"),"Jardim Botanico")</f>
        <v>Jardim Botanico</v>
      </c>
    </row>
    <row r="5627" customFormat="false" ht="15.75" hidden="false" customHeight="false" outlineLevel="0" collapsed="false">
      <c r="A5627" s="2" t="n">
        <v>203414</v>
      </c>
      <c r="B5627" s="2" t="s">
        <v>4651</v>
      </c>
      <c r="C5627" s="2" t="n">
        <v>3</v>
      </c>
      <c r="D5627" s="2" t="n">
        <v>4</v>
      </c>
      <c r="E5627" s="2" t="n">
        <v>2</v>
      </c>
      <c r="F5627" s="2" t="n">
        <v>131</v>
      </c>
      <c r="G5627" s="2" t="s">
        <v>653</v>
      </c>
      <c r="H5627" s="2" t="str">
        <f aca="false">IFERROR(__xludf.dummyfunction("IF(I5685="""", """", REGEXEXTRACT(I5685, ""Padrao/([^/]+)""))"),"Jardim Iraja")</f>
        <v>Jardim Iraja</v>
      </c>
    </row>
    <row r="5628" customFormat="false" ht="15.75" hidden="false" customHeight="false" outlineLevel="0" collapsed="false">
      <c r="A5628" s="2" t="n">
        <v>198911</v>
      </c>
      <c r="B5628" s="2" t="s">
        <v>4652</v>
      </c>
      <c r="C5628" s="2" t="n">
        <v>2</v>
      </c>
      <c r="D5628" s="2" t="n">
        <v>3</v>
      </c>
      <c r="E5628" s="2" t="n">
        <v>2</v>
      </c>
      <c r="F5628" s="2" t="n">
        <v>90</v>
      </c>
      <c r="G5628" s="2" t="s">
        <v>653</v>
      </c>
      <c r="H5628" s="2" t="str">
        <f aca="false">IFERROR(__xludf.dummyfunction("IF(I5686="""", """", REGEXEXTRACT(I5686, ""Padrao/([^/]+)""))"),"Quinta da Primavera")</f>
        <v>Quinta da Primavera</v>
      </c>
    </row>
    <row r="5629" customFormat="false" ht="15.75" hidden="false" customHeight="false" outlineLevel="0" collapsed="false">
      <c r="A5629" s="2" t="n">
        <v>193055</v>
      </c>
      <c r="B5629" s="2" t="s">
        <v>4653</v>
      </c>
      <c r="C5629" s="2" t="n">
        <v>4</v>
      </c>
      <c r="D5629" s="2" t="n">
        <v>4</v>
      </c>
      <c r="E5629" s="2" t="n">
        <v>2</v>
      </c>
      <c r="F5629" s="2" t="n">
        <v>156</v>
      </c>
      <c r="G5629" s="2" t="s">
        <v>653</v>
      </c>
      <c r="H5629" s="2" t="str">
        <f aca="false">IFERROR(__xludf.dummyfunction("IF(I5687="""", """", REGEXEXTRACT(I5687, ""Padrao/([^/]+)""))"),"Centro")</f>
        <v>Centro</v>
      </c>
    </row>
    <row r="5630" customFormat="false" ht="15.75" hidden="false" customHeight="false" outlineLevel="0" collapsed="false">
      <c r="A5630" s="2" t="n">
        <v>174080</v>
      </c>
      <c r="B5630" s="2" t="s">
        <v>4646</v>
      </c>
      <c r="C5630" s="2" t="n">
        <v>4</v>
      </c>
      <c r="D5630" s="2" t="n">
        <v>5</v>
      </c>
      <c r="E5630" s="2" t="n">
        <v>3</v>
      </c>
      <c r="F5630" s="2" t="n">
        <v>180</v>
      </c>
      <c r="G5630" s="2" t="s">
        <v>653</v>
      </c>
      <c r="H5630" s="2" t="str">
        <f aca="false">IFERROR(__xludf.dummyfunction("IF(I5688="""", """", REGEXEXTRACT(I5688, ""Padrao/([^/]+)""))"),"Jardim Sao Luiz")</f>
        <v>Jardim Sao Luiz</v>
      </c>
    </row>
    <row r="5631" customFormat="false" ht="15.75" hidden="false" customHeight="false" outlineLevel="0" collapsed="false">
      <c r="A5631" s="2" t="n">
        <v>151652</v>
      </c>
      <c r="B5631" s="2" t="s">
        <v>135</v>
      </c>
      <c r="C5631" s="2" t="n">
        <v>3</v>
      </c>
      <c r="D5631" s="2" t="n">
        <v>3</v>
      </c>
      <c r="E5631" s="2" t="n">
        <v>2</v>
      </c>
      <c r="F5631" s="2" t="n">
        <v>108</v>
      </c>
      <c r="G5631" s="2" t="s">
        <v>653</v>
      </c>
      <c r="H5631" s="2" t="str">
        <f aca="false">IFERROR(__xludf.dummyfunction("IF(I5689="""", """", REGEXEXTRACT(I5689, ""Padrao/([^/]+)""))"),"Jardim Olhos DAgua")</f>
        <v>Jardim Olhos DAgua</v>
      </c>
    </row>
    <row r="5632" customFormat="false" ht="15.75" hidden="false" customHeight="false" outlineLevel="0" collapsed="false">
      <c r="A5632" s="2" t="n">
        <v>147698</v>
      </c>
      <c r="B5632" s="2" t="s">
        <v>4654</v>
      </c>
      <c r="C5632" s="2" t="n">
        <v>3</v>
      </c>
      <c r="D5632" s="2" t="n">
        <v>4</v>
      </c>
      <c r="E5632" s="2" t="n">
        <v>2</v>
      </c>
      <c r="F5632" s="2" t="n">
        <v>128</v>
      </c>
      <c r="G5632" s="2" t="s">
        <v>653</v>
      </c>
      <c r="H5632" s="2" t="str">
        <f aca="false">IFERROR(__xludf.dummyfunction("IF(I5690="""", """", REGEXEXTRACT(I5690, ""Padrao/([^/]+)""))"),"Vila do Golf")</f>
        <v>Vila do Golf</v>
      </c>
    </row>
    <row r="5633" customFormat="false" ht="15.75" hidden="false" customHeight="false" outlineLevel="0" collapsed="false">
      <c r="A5633" s="2" t="n">
        <v>101741</v>
      </c>
      <c r="B5633" s="2" t="s">
        <v>4655</v>
      </c>
      <c r="C5633" s="2" t="n">
        <v>3</v>
      </c>
      <c r="D5633" s="2" t="n">
        <v>5</v>
      </c>
      <c r="E5633" s="2" t="n">
        <v>2</v>
      </c>
      <c r="F5633" s="2" t="n">
        <v>135</v>
      </c>
      <c r="G5633" s="2" t="s">
        <v>653</v>
      </c>
      <c r="H5633" s="2" t="str">
        <f aca="false">IFERROR(__xludf.dummyfunction("IF(I5691="""", """", REGEXEXTRACT(I5691, ""Padrao/([^/]+)""))"),"Jardim Botanico")</f>
        <v>Jardim Botanico</v>
      </c>
    </row>
    <row r="5634" customFormat="false" ht="15.75" hidden="false" customHeight="false" outlineLevel="0" collapsed="false">
      <c r="A5634" s="2" t="n">
        <v>72767</v>
      </c>
      <c r="B5634" s="2" t="s">
        <v>4656</v>
      </c>
      <c r="C5634" s="2" t="n">
        <v>4</v>
      </c>
      <c r="D5634" s="2" t="n">
        <v>4</v>
      </c>
      <c r="E5634" s="2" t="n">
        <v>2</v>
      </c>
      <c r="F5634" s="2" t="n">
        <v>131</v>
      </c>
      <c r="G5634" s="2" t="s">
        <v>653</v>
      </c>
      <c r="H5634" s="2" t="str">
        <f aca="false">IFERROR(__xludf.dummyfunction("IF(I5692="""", """", REGEXEXTRACT(I5692, ""Padrao/([^/]+)""))"),"Jardim Iraja")</f>
        <v>Jardim Iraja</v>
      </c>
    </row>
    <row r="5635" customFormat="false" ht="15.75" hidden="false" customHeight="false" outlineLevel="0" collapsed="false">
      <c r="A5635" s="2" t="n">
        <v>72509</v>
      </c>
      <c r="B5635" s="2" t="s">
        <v>4657</v>
      </c>
      <c r="C5635" s="2" t="n">
        <v>3</v>
      </c>
      <c r="D5635" s="2" t="n">
        <v>2</v>
      </c>
      <c r="E5635" s="2" t="n">
        <v>2</v>
      </c>
      <c r="F5635" s="2" t="n">
        <v>79</v>
      </c>
      <c r="G5635" s="2" t="s">
        <v>653</v>
      </c>
      <c r="H5635" s="2" t="str">
        <f aca="false">IFERROR(__xludf.dummyfunction("IF(I5693="""", """", REGEXEXTRACT(I5693, ""Padrao/([^/]+)""))"),"Jardim Nova Alianca Sul")</f>
        <v>Jardim Nova Alianca Sul</v>
      </c>
    </row>
    <row r="5636" customFormat="false" ht="15.75" hidden="false" customHeight="false" outlineLevel="0" collapsed="false">
      <c r="A5636" s="2" t="n">
        <v>233183</v>
      </c>
      <c r="B5636" s="2" t="s">
        <v>4658</v>
      </c>
      <c r="C5636" s="2" t="n">
        <v>1</v>
      </c>
      <c r="D5636" s="2" t="n">
        <v>2</v>
      </c>
      <c r="E5636" s="2" t="n">
        <v>1</v>
      </c>
      <c r="F5636" s="2" t="n">
        <v>56</v>
      </c>
      <c r="G5636" s="2" t="s">
        <v>4659</v>
      </c>
      <c r="H5636" s="2" t="str">
        <f aca="false">IFERROR(__xludf.dummyfunction("IF(I5694="""", """", REGEXEXTRACT(I5694, ""Padrao/([^/]+)""))"),"Jardim Botanico")</f>
        <v>Jardim Botanico</v>
      </c>
    </row>
    <row r="5637" customFormat="false" ht="15.75" hidden="false" customHeight="false" outlineLevel="0" collapsed="false">
      <c r="A5637" s="2" t="n">
        <v>233003</v>
      </c>
      <c r="B5637" s="2" t="s">
        <v>4658</v>
      </c>
      <c r="C5637" s="2" t="n">
        <v>1</v>
      </c>
      <c r="D5637" s="2" t="n">
        <v>2</v>
      </c>
      <c r="E5637" s="2" t="n">
        <v>1</v>
      </c>
      <c r="F5637" s="2" t="n">
        <v>56</v>
      </c>
      <c r="G5637" s="2" t="s">
        <v>4659</v>
      </c>
      <c r="H5637" s="2" t="str">
        <f aca="false">IFERROR(__xludf.dummyfunction("IF(I5695="""", """", REGEXEXTRACT(I5695, ""Padrao/([^/]+)""))"),"Jardim Botanico")</f>
        <v>Jardim Botanico</v>
      </c>
    </row>
    <row r="5638" customFormat="false" ht="15.75" hidden="false" customHeight="false" outlineLevel="0" collapsed="false">
      <c r="A5638" s="2" t="n">
        <v>231671</v>
      </c>
      <c r="B5638" s="2" t="s">
        <v>4660</v>
      </c>
      <c r="C5638" s="2" t="n">
        <v>1</v>
      </c>
      <c r="D5638" s="2" t="n">
        <v>2</v>
      </c>
      <c r="E5638" s="2" t="n">
        <v>1</v>
      </c>
      <c r="F5638" s="2" t="n">
        <v>56</v>
      </c>
      <c r="G5638" s="2" t="s">
        <v>4659</v>
      </c>
      <c r="H5638" s="2" t="str">
        <f aca="false">IFERROR(__xludf.dummyfunction("IF(I5696="""", """", REGEXEXTRACT(I5696, ""Padrao/([^/]+)""))"),"Jardim Botanico")</f>
        <v>Jardim Botanico</v>
      </c>
    </row>
    <row r="5639" customFormat="false" ht="15.75" hidden="false" customHeight="false" outlineLevel="0" collapsed="false">
      <c r="A5639" s="2" t="n">
        <v>188036</v>
      </c>
      <c r="B5639" s="2" t="s">
        <v>4661</v>
      </c>
      <c r="C5639" s="2" t="n">
        <v>2</v>
      </c>
      <c r="D5639" s="2" t="n">
        <v>3</v>
      </c>
      <c r="E5639" s="2" t="n">
        <v>2</v>
      </c>
      <c r="F5639" s="2" t="n">
        <v>92</v>
      </c>
      <c r="G5639" s="2" t="s">
        <v>4662</v>
      </c>
      <c r="H5639" s="2" t="str">
        <f aca="false">IFERROR(__xludf.dummyfunction("IF(I5697="""", """", REGEXEXTRACT(I5697, ""Padrao/([^/]+)""))"),"Jardim Ilhas do Sul")</f>
        <v>Jardim Ilhas do Sul</v>
      </c>
    </row>
    <row r="5640" customFormat="false" ht="15.75" hidden="false" customHeight="false" outlineLevel="0" collapsed="false">
      <c r="A5640" s="2" t="n">
        <v>92033</v>
      </c>
      <c r="B5640" s="2" t="s">
        <v>4663</v>
      </c>
      <c r="C5640" s="2" t="n">
        <v>3</v>
      </c>
      <c r="D5640" s="2" t="n">
        <v>4</v>
      </c>
      <c r="E5640" s="2" t="n">
        <v>2</v>
      </c>
      <c r="F5640" s="2" t="n">
        <v>212</v>
      </c>
      <c r="G5640" s="2" t="s">
        <v>4664</v>
      </c>
      <c r="H5640" s="2" t="str">
        <f aca="false">IFERROR(__xludf.dummyfunction("IF(I5698="""", """", REGEXEXTRACT(I5698, ""Padrao/([^/]+)""))"),"Centro")</f>
        <v>Centro</v>
      </c>
    </row>
    <row r="5641" customFormat="false" ht="15.75" hidden="false" customHeight="false" outlineLevel="0" collapsed="false">
      <c r="A5641" s="2" t="n">
        <v>182780</v>
      </c>
      <c r="B5641" s="2" t="s">
        <v>4665</v>
      </c>
      <c r="C5641" s="2" t="n">
        <v>2</v>
      </c>
      <c r="D5641" s="2" t="n">
        <v>3</v>
      </c>
      <c r="E5641" s="2" t="n">
        <v>2</v>
      </c>
      <c r="F5641" s="2" t="n">
        <v>87</v>
      </c>
      <c r="G5641" s="2" t="s">
        <v>4666</v>
      </c>
      <c r="H5641" s="2" t="str">
        <f aca="false">IFERROR(__xludf.dummyfunction("IF(I5699="""", """", REGEXEXTRACT(I5699, ""Padrao/([^/]+)""))"),"Jardim Olhos DAgua")</f>
        <v>Jardim Olhos DAgua</v>
      </c>
    </row>
    <row r="5642" customFormat="false" ht="15.75" hidden="false" customHeight="false" outlineLevel="0" collapsed="false">
      <c r="A5642" s="2" t="n">
        <v>178853</v>
      </c>
      <c r="B5642" s="2" t="s">
        <v>4667</v>
      </c>
      <c r="C5642" s="2" t="n">
        <v>2</v>
      </c>
      <c r="D5642" s="2" t="n">
        <v>3</v>
      </c>
      <c r="E5642" s="2" t="n">
        <v>2</v>
      </c>
      <c r="F5642" s="2" t="n">
        <v>88</v>
      </c>
      <c r="G5642" s="2" t="s">
        <v>4668</v>
      </c>
      <c r="H5642" s="2" t="str">
        <f aca="false">IFERROR(__xludf.dummyfunction("IF(I5700="""", """", REGEXEXTRACT(I5700, ""Padrao/([^/]+)""))"),"Jardim Olhos DAgua")</f>
        <v>Jardim Olhos DAgua</v>
      </c>
    </row>
    <row r="5643" customFormat="false" ht="15.75" hidden="false" customHeight="false" outlineLevel="0" collapsed="false">
      <c r="A5643" s="2" t="n">
        <v>99848</v>
      </c>
      <c r="B5643" s="2" t="s">
        <v>4669</v>
      </c>
      <c r="C5643" s="2" t="n">
        <v>4</v>
      </c>
      <c r="D5643" s="2" t="n">
        <v>4</v>
      </c>
      <c r="E5643" s="2" t="n">
        <v>2</v>
      </c>
      <c r="F5643" s="2" t="n">
        <v>133</v>
      </c>
      <c r="G5643" s="2" t="s">
        <v>4670</v>
      </c>
      <c r="H5643" s="2" t="str">
        <f aca="false">IFERROR(__xludf.dummyfunction("IF(I5701="""", """", REGEXEXTRACT(I5701, ""Padrao/([^/]+)""))"),"Jardim Nova Alianca Sul")</f>
        <v>Jardim Nova Alianca Sul</v>
      </c>
    </row>
    <row r="5644" customFormat="false" ht="15.75" hidden="false" customHeight="false" outlineLevel="0" collapsed="false">
      <c r="A5644" s="2" t="n">
        <v>213962</v>
      </c>
      <c r="B5644" s="2" t="s">
        <v>4671</v>
      </c>
      <c r="C5644" s="2" t="n">
        <v>3</v>
      </c>
      <c r="D5644" s="2" t="n">
        <v>4</v>
      </c>
      <c r="E5644" s="2" t="n">
        <v>2</v>
      </c>
      <c r="F5644" s="2" t="n">
        <v>121</v>
      </c>
      <c r="G5644" s="2" t="s">
        <v>4672</v>
      </c>
      <c r="H5644" s="2" t="str">
        <f aca="false">IFERROR(__xludf.dummyfunction("IF(I5702="""", """", REGEXEXTRACT(I5702, ""Padrao/([^/]+)""))"),"Nova Alianca")</f>
        <v>Nova Alianca</v>
      </c>
    </row>
    <row r="5645" customFormat="false" ht="15.75" hidden="false" customHeight="false" outlineLevel="0" collapsed="false">
      <c r="A5645" s="2" t="n">
        <v>191678</v>
      </c>
      <c r="B5645" s="2" t="s">
        <v>4673</v>
      </c>
      <c r="C5645" s="2" t="n">
        <v>2</v>
      </c>
      <c r="D5645" s="2" t="n">
        <v>3</v>
      </c>
      <c r="E5645" s="2" t="n">
        <v>2</v>
      </c>
      <c r="F5645" s="2" t="n">
        <v>93</v>
      </c>
      <c r="G5645" s="2" t="s">
        <v>4672</v>
      </c>
      <c r="H5645" s="2" t="str">
        <f aca="false">IFERROR(__xludf.dummyfunction("IF(I5703="""", """", REGEXEXTRACT(I5703, ""Padrao/([^/]+)""))"),"Jardim Botanico")</f>
        <v>Jardim Botanico</v>
      </c>
    </row>
    <row r="5646" customFormat="false" ht="15.75" hidden="false" customHeight="false" outlineLevel="0" collapsed="false">
      <c r="A5646" s="2" t="n">
        <v>173000</v>
      </c>
      <c r="B5646" s="2" t="s">
        <v>4674</v>
      </c>
      <c r="C5646" s="2" t="n">
        <v>3</v>
      </c>
      <c r="D5646" s="2" t="n">
        <v>4</v>
      </c>
      <c r="E5646" s="2" t="n">
        <v>2</v>
      </c>
      <c r="F5646" s="2" t="n">
        <v>113</v>
      </c>
      <c r="G5646" s="2" t="s">
        <v>4675</v>
      </c>
      <c r="H5646" s="2" t="str">
        <f aca="false">IFERROR(__xludf.dummyfunction("IF(I5704="""", """", REGEXEXTRACT(I5704, ""Padrao/([^/]+)""))"),"Jardim Olhos DAgua")</f>
        <v>Jardim Olhos DAgua</v>
      </c>
    </row>
    <row r="5647" customFormat="false" ht="15.75" hidden="false" customHeight="false" outlineLevel="0" collapsed="false">
      <c r="A5647" s="2" t="n">
        <v>180194</v>
      </c>
      <c r="B5647" s="2" t="s">
        <v>4676</v>
      </c>
      <c r="C5647" s="2" t="n">
        <v>3</v>
      </c>
      <c r="D5647" s="2" t="n">
        <v>4</v>
      </c>
      <c r="E5647" s="2" t="n">
        <v>2</v>
      </c>
      <c r="F5647" s="2" t="n">
        <v>221</v>
      </c>
      <c r="G5647" s="2" t="s">
        <v>2716</v>
      </c>
      <c r="H5647" s="2" t="str">
        <f aca="false">IFERROR(__xludf.dummyfunction("IF(I5705="""", """", REGEXEXTRACT(I5705, ""Padrao/([^/]+)""))"),"Centro")</f>
        <v>Centro</v>
      </c>
    </row>
    <row r="5648" customFormat="false" ht="15.75" hidden="false" customHeight="false" outlineLevel="0" collapsed="false">
      <c r="A5648" s="2" t="n">
        <v>204710</v>
      </c>
      <c r="B5648" s="2" t="s">
        <v>4677</v>
      </c>
      <c r="C5648" s="2" t="n">
        <v>2</v>
      </c>
      <c r="D5648" s="2" t="n">
        <v>2</v>
      </c>
      <c r="E5648" s="2" t="n">
        <v>1</v>
      </c>
      <c r="F5648" s="2" t="n">
        <v>130</v>
      </c>
      <c r="G5648" s="2" t="s">
        <v>4678</v>
      </c>
      <c r="H5648" s="2" t="str">
        <f aca="false">IFERROR(__xludf.dummyfunction("IF(I5706="""", """", REGEXEXTRACT(I5706, ""Padrao/([^/]+)""))"),"Campos Eliseos")</f>
        <v>Campos Eliseos</v>
      </c>
    </row>
    <row r="5649" customFormat="false" ht="15.75" hidden="false" customHeight="false" outlineLevel="0" collapsed="false">
      <c r="A5649" s="2" t="n">
        <v>163280</v>
      </c>
      <c r="B5649" s="2" t="s">
        <v>4679</v>
      </c>
      <c r="C5649" s="2" t="n">
        <v>3</v>
      </c>
      <c r="D5649" s="2" t="n">
        <v>4</v>
      </c>
      <c r="E5649" s="2" t="n">
        <v>2</v>
      </c>
      <c r="F5649" s="2" t="n">
        <v>111</v>
      </c>
      <c r="G5649" s="2" t="s">
        <v>4680</v>
      </c>
      <c r="H5649" s="2" t="str">
        <f aca="false">IFERROR(__xludf.dummyfunction("IF(I5707="""", """", REGEXEXTRACT(I5707, ""Padrao/([^/]+)""))"),"Jardim Olhos DAgua")</f>
        <v>Jardim Olhos DAgua</v>
      </c>
    </row>
    <row r="5650" customFormat="false" ht="15.75" hidden="false" customHeight="false" outlineLevel="0" collapsed="false">
      <c r="A5650" s="2" t="n">
        <v>116243</v>
      </c>
      <c r="B5650" s="2" t="s">
        <v>4509</v>
      </c>
      <c r="C5650" s="2" t="n">
        <v>2</v>
      </c>
      <c r="D5650" s="2" t="n">
        <v>3</v>
      </c>
      <c r="E5650" s="2" t="n">
        <v>2</v>
      </c>
      <c r="F5650" s="2" t="n">
        <v>86</v>
      </c>
      <c r="G5650" s="2" t="s">
        <v>4177</v>
      </c>
      <c r="H5650" s="2" t="str">
        <f aca="false">IFERROR(__xludf.dummyfunction("IF(I5708="""", """", REGEXEXTRACT(I5708, ""Padrao/([^/]+)""))"),"Bosque das Juritis")</f>
        <v>Bosque das Juritis</v>
      </c>
    </row>
    <row r="5651" customFormat="false" ht="15.75" hidden="false" customHeight="false" outlineLevel="0" collapsed="false">
      <c r="A5651" s="2" t="n">
        <v>223658</v>
      </c>
      <c r="B5651" s="2" t="s">
        <v>663</v>
      </c>
      <c r="C5651" s="2" t="n">
        <v>3</v>
      </c>
      <c r="D5651" s="2" t="n">
        <v>4</v>
      </c>
      <c r="E5651" s="2" t="n">
        <v>2</v>
      </c>
      <c r="F5651" s="2" t="n">
        <v>113</v>
      </c>
      <c r="G5651" s="2" t="s">
        <v>4681</v>
      </c>
      <c r="H5651" s="2" t="str">
        <f aca="false">IFERROR(__xludf.dummyfunction("IF(I5709="""", """", REGEXEXTRACT(I5709, ""Padrao/([^/]+)""))"),"Jardim Olhos DAgua")</f>
        <v>Jardim Olhos DAgua</v>
      </c>
    </row>
    <row r="5652" customFormat="false" ht="15.75" hidden="false" customHeight="false" outlineLevel="0" collapsed="false">
      <c r="A5652" s="2" t="n">
        <v>243950</v>
      </c>
      <c r="B5652" s="2" t="s">
        <v>54</v>
      </c>
      <c r="C5652" s="2" t="n">
        <v>3</v>
      </c>
      <c r="D5652" s="2" t="n">
        <v>5</v>
      </c>
      <c r="E5652" s="2" t="n">
        <v>2</v>
      </c>
      <c r="F5652" s="2" t="n">
        <v>132</v>
      </c>
      <c r="G5652" s="2" t="s">
        <v>4682</v>
      </c>
      <c r="H5652" s="2" t="str">
        <f aca="false">IFERROR(__xludf.dummyfunction("IF(I5710="""", """", REGEXEXTRACT(I5710, ""Padrao/([^/]+)""))"),"Jardim Botanico")</f>
        <v>Jardim Botanico</v>
      </c>
    </row>
    <row r="5653" customFormat="false" ht="15.75" hidden="false" customHeight="false" outlineLevel="0" collapsed="false">
      <c r="A5653" s="2" t="n">
        <v>191348</v>
      </c>
      <c r="B5653" s="2" t="s">
        <v>3762</v>
      </c>
      <c r="C5653" s="2" t="n">
        <v>3</v>
      </c>
      <c r="D5653" s="2" t="n">
        <v>3</v>
      </c>
      <c r="E5653" s="2" t="n">
        <v>2</v>
      </c>
      <c r="F5653" s="2" t="n">
        <v>100</v>
      </c>
      <c r="G5653" s="2" t="s">
        <v>4670</v>
      </c>
      <c r="H5653" s="2" t="str">
        <f aca="false">IFERROR(__xludf.dummyfunction("IF(I5711="""", """", REGEXEXTRACT(I5711, ""Padrao/([^/]+)""))"),"Jardim Iraja")</f>
        <v>Jardim Iraja</v>
      </c>
    </row>
    <row r="5654" customFormat="false" ht="15.75" hidden="false" customHeight="false" outlineLevel="0" collapsed="false">
      <c r="A5654" s="2" t="n">
        <v>130190</v>
      </c>
      <c r="B5654" s="2" t="s">
        <v>162</v>
      </c>
      <c r="C5654" s="2" t="n">
        <v>2</v>
      </c>
      <c r="D5654" s="2" t="n">
        <v>1</v>
      </c>
      <c r="E5654" s="2" t="n">
        <v>1</v>
      </c>
      <c r="F5654" s="2" t="n">
        <v>42</v>
      </c>
      <c r="G5654" s="2" t="s">
        <v>4683</v>
      </c>
      <c r="H5654" s="2" t="str">
        <f aca="false">IFERROR(__xludf.dummyfunction("IF(I5712="""", """", REGEXEXTRACT(I5712, ""Padrao/([^/]+)""))"),"Jardim Joao Rossi")</f>
        <v>Jardim Joao Rossi</v>
      </c>
    </row>
    <row r="5655" customFormat="false" ht="15.75" hidden="false" customHeight="false" outlineLevel="0" collapsed="false">
      <c r="A5655" s="2" t="n">
        <v>203540</v>
      </c>
      <c r="B5655" s="2" t="s">
        <v>458</v>
      </c>
      <c r="C5655" s="2" t="n">
        <v>2</v>
      </c>
      <c r="D5655" s="2" t="n">
        <v>1</v>
      </c>
      <c r="E5655" s="2" t="n">
        <v>1</v>
      </c>
      <c r="F5655" s="2" t="n">
        <v>46</v>
      </c>
      <c r="G5655" s="2" t="s">
        <v>464</v>
      </c>
      <c r="H5655" s="2" t="str">
        <f aca="false">IFERROR(__xludf.dummyfunction("IF(I5713="""", """", REGEXEXTRACT(I5713, ""Padrao/([^/]+)""))"),"Parque Sao Sebastiao")</f>
        <v>Parque Sao Sebastiao</v>
      </c>
    </row>
    <row r="5656" customFormat="false" ht="15.75" hidden="false" customHeight="false" outlineLevel="0" collapsed="false">
      <c r="A5656" s="2" t="n">
        <v>157217</v>
      </c>
      <c r="B5656" s="2" t="s">
        <v>704</v>
      </c>
      <c r="C5656" s="2" t="n">
        <v>2</v>
      </c>
      <c r="D5656" s="2" t="n">
        <v>1</v>
      </c>
      <c r="E5656" s="2" t="n">
        <v>1</v>
      </c>
      <c r="F5656" s="2" t="n">
        <v>42</v>
      </c>
      <c r="G5656" s="2" t="s">
        <v>381</v>
      </c>
      <c r="H5656" s="2" t="str">
        <f aca="false">IFERROR(__xludf.dummyfunction("IF(I5714="""", """", REGEXEXTRACT(I5714, ""Padrao/([^/]+)""))"),"Jardim Joao Rossi")</f>
        <v>Jardim Joao Rossi</v>
      </c>
    </row>
    <row r="5657" customFormat="false" ht="15.75" hidden="false" customHeight="false" outlineLevel="0" collapsed="false">
      <c r="A5657" s="2" t="n">
        <v>146312</v>
      </c>
      <c r="B5657" s="2" t="s">
        <v>1406</v>
      </c>
      <c r="C5657" s="2" t="n">
        <v>2</v>
      </c>
      <c r="D5657" s="2" t="n">
        <v>1</v>
      </c>
      <c r="E5657" s="2" t="n">
        <v>1</v>
      </c>
      <c r="F5657" s="2" t="n">
        <v>52</v>
      </c>
      <c r="G5657" s="2" t="s">
        <v>4684</v>
      </c>
      <c r="H5657" s="2" t="str">
        <f aca="false">IFERROR(__xludf.dummyfunction("IF(I5715="""", """", REGEXEXTRACT(I5715, ""Padrao/([^/]+)""))"),"Jardim Palma Travassos")</f>
        <v>Jardim Palma Travassos</v>
      </c>
    </row>
    <row r="5658" customFormat="false" ht="15.75" hidden="false" customHeight="false" outlineLevel="0" collapsed="false">
      <c r="A5658" s="2" t="n">
        <v>227864</v>
      </c>
      <c r="B5658" s="2" t="s">
        <v>1903</v>
      </c>
      <c r="C5658" s="2" t="n">
        <v>2</v>
      </c>
      <c r="D5658" s="2" t="n">
        <v>1</v>
      </c>
      <c r="E5658" s="2" t="n">
        <v>1</v>
      </c>
      <c r="F5658" s="2" t="n">
        <v>40</v>
      </c>
      <c r="G5658" s="2" t="s">
        <v>425</v>
      </c>
      <c r="H5658" s="2" t="str">
        <f aca="false">IFERROR(__xludf.dummyfunction("IF(I5716="""", """", REGEXEXTRACT(I5716, ""Padrao/([^/]+)""))"),"Jardim Ouro Branco")</f>
        <v>Jardim Ouro Branco</v>
      </c>
    </row>
    <row r="5659" customFormat="false" ht="15.75" hidden="false" customHeight="false" outlineLevel="0" collapsed="false">
      <c r="A5659" s="2" t="n">
        <v>226583</v>
      </c>
      <c r="B5659" s="2" t="s">
        <v>1330</v>
      </c>
      <c r="C5659" s="2" t="n">
        <v>2</v>
      </c>
      <c r="D5659" s="2" t="n">
        <v>1</v>
      </c>
      <c r="E5659" s="2" t="n">
        <v>1</v>
      </c>
      <c r="F5659" s="2" t="n">
        <v>41</v>
      </c>
      <c r="G5659" s="2" t="s">
        <v>443</v>
      </c>
      <c r="H5659" s="2" t="str">
        <f aca="false">IFERROR(__xludf.dummyfunction("IF(I5717="""", """", REGEXEXTRACT(I5717, ""Padrao/([^/]+)""))"),"Conjunto Habitacional Silvio Passalacqua")</f>
        <v>Conjunto Habitacional Silvio Passalacqua</v>
      </c>
    </row>
    <row r="5660" customFormat="false" ht="15.75" hidden="false" customHeight="false" outlineLevel="0" collapsed="false">
      <c r="A5660" s="2" t="n">
        <v>210218</v>
      </c>
      <c r="B5660" s="2" t="s">
        <v>4685</v>
      </c>
      <c r="C5660" s="2" t="n">
        <v>2</v>
      </c>
      <c r="D5660" s="2" t="n">
        <v>1</v>
      </c>
      <c r="E5660" s="2" t="n">
        <v>1</v>
      </c>
      <c r="F5660" s="2" t="n">
        <v>42</v>
      </c>
      <c r="G5660" s="2" t="s">
        <v>459</v>
      </c>
      <c r="H5660" s="2" t="str">
        <f aca="false">IFERROR(__xludf.dummyfunction("IF(I5718="""", """", REGEXEXTRACT(I5718, ""Padrao/([^/]+)""))"),"Quintino Facci II")</f>
        <v>Quintino Facci II</v>
      </c>
    </row>
    <row r="5661" customFormat="false" ht="15.75" hidden="false" customHeight="false" outlineLevel="0" collapsed="false">
      <c r="A5661" s="2" t="n">
        <v>236978</v>
      </c>
      <c r="B5661" s="2" t="s">
        <v>4686</v>
      </c>
      <c r="C5661" s="2" t="n">
        <v>4</v>
      </c>
      <c r="D5661" s="2" t="n">
        <v>5</v>
      </c>
      <c r="E5661" s="2" t="n">
        <v>3</v>
      </c>
      <c r="F5661" s="2" t="n">
        <v>173</v>
      </c>
      <c r="G5661" s="2" t="s">
        <v>653</v>
      </c>
      <c r="H5661" s="2" t="str">
        <f aca="false">IFERROR(__xludf.dummyfunction("IF(I5719="""", """", REGEXEXTRACT(I5719, ""Padrao/([^/]+)""))"),"Jardim Sao Luiz")</f>
        <v>Jardim Sao Luiz</v>
      </c>
    </row>
    <row r="5662" customFormat="false" ht="15.75" hidden="false" customHeight="false" outlineLevel="0" collapsed="false">
      <c r="A5662" s="2" t="n">
        <v>234419</v>
      </c>
      <c r="B5662" s="2" t="s">
        <v>4687</v>
      </c>
      <c r="C5662" s="2" t="n">
        <v>3</v>
      </c>
      <c r="D5662" s="2" t="n">
        <v>4</v>
      </c>
      <c r="E5662" s="2" t="n">
        <v>2</v>
      </c>
      <c r="F5662" s="2" t="n">
        <v>124</v>
      </c>
      <c r="G5662" s="2" t="s">
        <v>3478</v>
      </c>
      <c r="H5662" s="2" t="str">
        <f aca="false">IFERROR(__xludf.dummyfunction("IF(I5720="""", """", REGEXEXTRACT(I5720, ""Padrao/([^/]+)""))"),"Bonfim Paulista")</f>
        <v>Bonfim Paulista</v>
      </c>
    </row>
    <row r="5663" customFormat="false" ht="15.75" hidden="false" customHeight="false" outlineLevel="0" collapsed="false">
      <c r="A5663" s="2" t="n">
        <v>231395</v>
      </c>
      <c r="B5663" s="2" t="s">
        <v>4688</v>
      </c>
      <c r="C5663" s="2" t="n">
        <v>3</v>
      </c>
      <c r="D5663" s="2" t="n">
        <v>4</v>
      </c>
      <c r="E5663" s="2" t="n">
        <v>2</v>
      </c>
      <c r="F5663" s="2" t="n">
        <v>137</v>
      </c>
      <c r="G5663" s="2" t="s">
        <v>3478</v>
      </c>
      <c r="H5663" s="2" t="str">
        <f aca="false">IFERROR(__xludf.dummyfunction("IF(I5721="""", """", REGEXEXTRACT(I5721, ""Padrao/([^/]+)""))"),"Jardim Sao Luiz")</f>
        <v>Jardim Sao Luiz</v>
      </c>
    </row>
    <row r="5664" customFormat="false" ht="15.75" hidden="false" customHeight="false" outlineLevel="0" collapsed="false">
      <c r="A5664" s="2" t="n">
        <v>222170</v>
      </c>
      <c r="B5664" s="2" t="s">
        <v>4689</v>
      </c>
      <c r="C5664" s="2" t="n">
        <v>3</v>
      </c>
      <c r="D5664" s="2" t="n">
        <v>4</v>
      </c>
      <c r="E5664" s="2" t="n">
        <v>2</v>
      </c>
      <c r="F5664" s="2" t="n">
        <v>109</v>
      </c>
      <c r="G5664" s="2" t="s">
        <v>3478</v>
      </c>
      <c r="H5664" s="2" t="str">
        <f aca="false">IFERROR(__xludf.dummyfunction("IF(I5722="""", """", REGEXEXTRACT(I5722, ""Padrao/([^/]+)""))"),"Plazas de Espana")</f>
        <v>Plazas de Espana</v>
      </c>
    </row>
    <row r="5665" customFormat="false" ht="15.75" hidden="false" customHeight="false" outlineLevel="0" collapsed="false">
      <c r="A5665" s="2" t="n">
        <v>215912</v>
      </c>
      <c r="B5665" s="2" t="s">
        <v>4690</v>
      </c>
      <c r="C5665" s="2" t="n">
        <v>2</v>
      </c>
      <c r="D5665" s="2" t="n">
        <v>3</v>
      </c>
      <c r="E5665" s="2" t="n">
        <v>2</v>
      </c>
      <c r="F5665" s="2" t="n">
        <v>100</v>
      </c>
      <c r="G5665" s="2" t="s">
        <v>3478</v>
      </c>
      <c r="H5665" s="2" t="str">
        <f aca="false">IFERROR(__xludf.dummyfunction("IF(I5723="""", """", REGEXEXTRACT(I5723, ""Padrao/([^/]+)""))"),"Jardim Botanico")</f>
        <v>Jardim Botanico</v>
      </c>
    </row>
    <row r="5666" customFormat="false" ht="15.75" hidden="false" customHeight="false" outlineLevel="0" collapsed="false">
      <c r="A5666" s="2" t="n">
        <v>207749</v>
      </c>
      <c r="B5666" s="2" t="s">
        <v>4292</v>
      </c>
      <c r="C5666" s="2" t="n">
        <v>3</v>
      </c>
      <c r="D5666" s="2" t="n">
        <v>4</v>
      </c>
      <c r="E5666" s="2" t="n">
        <v>2</v>
      </c>
      <c r="F5666" s="2" t="n">
        <v>106</v>
      </c>
      <c r="G5666" s="2" t="s">
        <v>3478</v>
      </c>
      <c r="H5666" s="2" t="str">
        <f aca="false">IFERROR(__xludf.dummyfunction("IF(I5724="""", """", REGEXEXTRACT(I5724, ""Padrao/([^/]+)""))"),"Jardim Botanico")</f>
        <v>Jardim Botanico</v>
      </c>
    </row>
    <row r="5667" customFormat="false" ht="15.75" hidden="false" customHeight="false" outlineLevel="0" collapsed="false">
      <c r="A5667" s="2" t="n">
        <v>187151</v>
      </c>
      <c r="B5667" s="2" t="s">
        <v>658</v>
      </c>
      <c r="C5667" s="2" t="n">
        <v>3</v>
      </c>
      <c r="D5667" s="2" t="n">
        <v>3</v>
      </c>
      <c r="E5667" s="2" t="n">
        <v>2</v>
      </c>
      <c r="F5667" s="2" t="n">
        <v>131</v>
      </c>
      <c r="G5667" s="2" t="s">
        <v>3478</v>
      </c>
      <c r="H5667" s="2" t="str">
        <f aca="false">IFERROR(__xludf.dummyfunction("IF(I5725="""", """", REGEXEXTRACT(I5725, ""Padrao/([^/]+)""))"),"Nova Alianca")</f>
        <v>Nova Alianca</v>
      </c>
    </row>
    <row r="5668" customFormat="false" ht="15.75" hidden="false" customHeight="false" outlineLevel="0" collapsed="false">
      <c r="A5668" s="2" t="n">
        <v>127421</v>
      </c>
      <c r="B5668" s="2" t="s">
        <v>4691</v>
      </c>
      <c r="C5668" s="2" t="n">
        <v>3</v>
      </c>
      <c r="D5668" s="2" t="n">
        <v>3</v>
      </c>
      <c r="E5668" s="2" t="n">
        <v>3</v>
      </c>
      <c r="F5668" s="2" t="n">
        <v>107</v>
      </c>
      <c r="G5668" s="2" t="s">
        <v>3478</v>
      </c>
      <c r="H5668" s="2" t="str">
        <f aca="false">IFERROR(__xludf.dummyfunction("IF(I5726="""", """", REGEXEXTRACT(I5726, ""Padrao/([^/]+)""))"),"Santa Cruz do Jose Jacques")</f>
        <v>Santa Cruz do Jose Jacques</v>
      </c>
    </row>
    <row r="5669" customFormat="false" ht="15.75" hidden="false" customHeight="false" outlineLevel="0" collapsed="false">
      <c r="A5669" s="2" t="n">
        <v>117782</v>
      </c>
      <c r="B5669" s="2" t="s">
        <v>4692</v>
      </c>
      <c r="C5669" s="2" t="n">
        <v>3</v>
      </c>
      <c r="D5669" s="2" t="n">
        <v>5</v>
      </c>
      <c r="E5669" s="2" t="n">
        <v>3</v>
      </c>
      <c r="F5669" s="2" t="n">
        <v>264</v>
      </c>
      <c r="G5669" s="2" t="s">
        <v>3478</v>
      </c>
      <c r="H5669" s="2" t="str">
        <f aca="false">IFERROR(__xludf.dummyfunction("IF(I5727="""", """", REGEXEXTRACT(I5727, ""Padrao/([^/]+)""))"),"Centro")</f>
        <v>Centro</v>
      </c>
    </row>
    <row r="5670" customFormat="false" ht="15.75" hidden="false" customHeight="false" outlineLevel="0" collapsed="false">
      <c r="A5670" s="2" t="n">
        <v>109256</v>
      </c>
      <c r="B5670" s="2" t="s">
        <v>4693</v>
      </c>
      <c r="C5670" s="2" t="n">
        <v>3</v>
      </c>
      <c r="D5670" s="2" t="n">
        <v>3</v>
      </c>
      <c r="E5670" s="2" t="n">
        <v>2</v>
      </c>
      <c r="F5670" s="2" t="n">
        <v>137</v>
      </c>
      <c r="G5670" s="2" t="s">
        <v>3478</v>
      </c>
      <c r="H5670" s="2" t="str">
        <f aca="false">IFERROR(__xludf.dummyfunction("IF(I5728="""", """", REGEXEXTRACT(I5728, ""Padrao/([^/]+)""))"),"Jardim Botanico")</f>
        <v>Jardim Botanico</v>
      </c>
    </row>
    <row r="5671" customFormat="false" ht="15.75" hidden="false" customHeight="false" outlineLevel="0" collapsed="false">
      <c r="A5671" s="2" t="n">
        <v>107387</v>
      </c>
      <c r="B5671" s="2" t="s">
        <v>135</v>
      </c>
      <c r="C5671" s="2" t="n">
        <v>3</v>
      </c>
      <c r="D5671" s="2" t="n">
        <v>2</v>
      </c>
      <c r="E5671" s="2" t="n">
        <v>2</v>
      </c>
      <c r="F5671" s="2" t="n">
        <v>108</v>
      </c>
      <c r="G5671" s="2" t="s">
        <v>3478</v>
      </c>
      <c r="H5671" s="2" t="str">
        <f aca="false">IFERROR(__xludf.dummyfunction("IF(I5729="""", """", REGEXEXTRACT(I5729, ""Padrao/([^/]+)""))"),"Jardim Olhos DAgua")</f>
        <v>Jardim Olhos DAgua</v>
      </c>
    </row>
    <row r="5672" customFormat="false" ht="15.75" hidden="false" customHeight="false" outlineLevel="0" collapsed="false">
      <c r="A5672" s="2" t="n">
        <v>88007</v>
      </c>
      <c r="B5672" s="2" t="s">
        <v>4694</v>
      </c>
      <c r="C5672" s="2" t="n">
        <v>5</v>
      </c>
      <c r="D5672" s="2" t="n">
        <v>5</v>
      </c>
      <c r="E5672" s="2" t="n">
        <v>3</v>
      </c>
      <c r="F5672" s="2" t="n">
        <v>187</v>
      </c>
      <c r="G5672" s="2" t="s">
        <v>3478</v>
      </c>
      <c r="H5672" s="2" t="str">
        <f aca="false">IFERROR(__xludf.dummyfunction("IF(I5730="""", """", REGEXEXTRACT(I5730, ""Padrao/([^/]+)""))"),"Vila Seixas")</f>
        <v>Vila Seixas</v>
      </c>
    </row>
    <row r="5673" customFormat="false" ht="15.75" hidden="false" customHeight="false" outlineLevel="0" collapsed="false">
      <c r="A5673" s="2" t="n">
        <v>80879</v>
      </c>
      <c r="B5673" s="2" t="s">
        <v>162</v>
      </c>
      <c r="C5673" s="2" t="n">
        <v>4</v>
      </c>
      <c r="D5673" s="2" t="n">
        <v>5</v>
      </c>
      <c r="E5673" s="2" t="n">
        <v>3</v>
      </c>
      <c r="F5673" s="2" t="n">
        <v>200</v>
      </c>
      <c r="G5673" s="2" t="s">
        <v>3478</v>
      </c>
      <c r="H5673" s="2" t="str">
        <f aca="false">IFERROR(__xludf.dummyfunction("IF(I5731="""", """", REGEXEXTRACT(I5731, ""Padrao/([^/]+)""))"),"Vila Seixas")</f>
        <v>Vila Seixas</v>
      </c>
    </row>
    <row r="5674" customFormat="false" ht="15.75" hidden="false" customHeight="false" outlineLevel="0" collapsed="false">
      <c r="A5674" s="2" t="n">
        <v>187847</v>
      </c>
      <c r="B5674" s="2" t="s">
        <v>4695</v>
      </c>
      <c r="C5674" s="2" t="n">
        <v>4</v>
      </c>
      <c r="D5674" s="2" t="n">
        <v>2</v>
      </c>
      <c r="E5674" s="2" t="n">
        <v>2</v>
      </c>
      <c r="F5674" s="2" t="n">
        <v>114</v>
      </c>
      <c r="G5674" s="2" t="s">
        <v>4696</v>
      </c>
      <c r="H5674" s="2" t="str">
        <f aca="false">IFERROR(__xludf.dummyfunction("IF(I5732="""", """", REGEXEXTRACT(I5732, ""Padrao/([^/]+)""))"),"Jardim Iraja")</f>
        <v>Jardim Iraja</v>
      </c>
    </row>
    <row r="5675" customFormat="false" ht="15.75" hidden="false" customHeight="false" outlineLevel="0" collapsed="false">
      <c r="A5675" s="2" t="n">
        <v>96437</v>
      </c>
      <c r="B5675" s="2" t="s">
        <v>4697</v>
      </c>
      <c r="C5675" s="2" t="n">
        <v>4</v>
      </c>
      <c r="D5675" s="2" t="n">
        <v>4</v>
      </c>
      <c r="E5675" s="2" t="n">
        <v>3</v>
      </c>
      <c r="F5675" s="2" t="n">
        <v>202</v>
      </c>
      <c r="G5675" s="2" t="s">
        <v>4696</v>
      </c>
      <c r="H5675" s="2" t="str">
        <f aca="false">IFERROR(__xludf.dummyfunction("IF(I5733="""", """", REGEXEXTRACT(I5733, ""Padrao/([^/]+)""))"),"Jardim Iraja")</f>
        <v>Jardim Iraja</v>
      </c>
    </row>
    <row r="5676" customFormat="false" ht="15.75" hidden="false" customHeight="false" outlineLevel="0" collapsed="false">
      <c r="A5676" s="2" t="n">
        <v>204365</v>
      </c>
      <c r="B5676" s="2" t="s">
        <v>4698</v>
      </c>
      <c r="C5676" s="2" t="n">
        <v>3</v>
      </c>
      <c r="D5676" s="2" t="n">
        <v>4</v>
      </c>
      <c r="E5676" s="2" t="n">
        <v>2</v>
      </c>
      <c r="F5676" s="2" t="n">
        <v>127</v>
      </c>
      <c r="G5676" s="2" t="s">
        <v>4664</v>
      </c>
      <c r="H5676" s="2" t="str">
        <f aca="false">IFERROR(__xludf.dummyfunction("IF(I5734="""", """", REGEXEXTRACT(I5734, ""Padrao/([^/]+)""))"),"Nova Alianca")</f>
        <v>Nova Alianca</v>
      </c>
    </row>
    <row r="5677" customFormat="false" ht="15.75" hidden="false" customHeight="false" outlineLevel="0" collapsed="false">
      <c r="A5677" s="2" t="n">
        <v>236357</v>
      </c>
      <c r="B5677" s="2" t="s">
        <v>111</v>
      </c>
      <c r="C5677" s="2" t="n">
        <v>3</v>
      </c>
      <c r="D5677" s="2" t="n">
        <v>5</v>
      </c>
      <c r="E5677" s="2" t="n">
        <v>1</v>
      </c>
      <c r="F5677" s="2" t="n">
        <v>133</v>
      </c>
      <c r="G5677" s="2" t="s">
        <v>4699</v>
      </c>
      <c r="H5677" s="2" t="str">
        <f aca="false">IFERROR(__xludf.dummyfunction("IF(I5735="""", """", REGEXEXTRACT(I5735, ""Padrao/([^/]+)""))"),"Nova Alianca")</f>
        <v>Nova Alianca</v>
      </c>
    </row>
    <row r="5678" customFormat="false" ht="15.75" hidden="false" customHeight="false" outlineLevel="0" collapsed="false">
      <c r="A5678" s="2" t="n">
        <v>186317</v>
      </c>
      <c r="B5678" s="2" t="s">
        <v>4700</v>
      </c>
      <c r="C5678" s="2" t="n">
        <v>2</v>
      </c>
      <c r="D5678" s="2" t="n">
        <v>2</v>
      </c>
      <c r="E5678" s="2" t="n">
        <v>1</v>
      </c>
      <c r="F5678" s="2" t="n">
        <v>59</v>
      </c>
      <c r="G5678" s="2" t="s">
        <v>4699</v>
      </c>
      <c r="H5678" s="2" t="str">
        <f aca="false">IFERROR(__xludf.dummyfunction("IF(I5736="""", """", REGEXEXTRACT(I5736, ""Padrao/([^/]+)""))"),"Ribeirania")</f>
        <v>Ribeirania</v>
      </c>
    </row>
    <row r="5679" customFormat="false" ht="15.75" hidden="false" customHeight="false" outlineLevel="0" collapsed="false">
      <c r="A5679" s="2" t="n">
        <v>224471</v>
      </c>
      <c r="B5679" s="2" t="s">
        <v>23</v>
      </c>
      <c r="C5679" s="2" t="n">
        <v>3</v>
      </c>
      <c r="D5679" s="2" t="n">
        <v>4</v>
      </c>
      <c r="E5679" s="2" t="n">
        <v>2</v>
      </c>
      <c r="F5679" s="2" t="n">
        <v>126</v>
      </c>
      <c r="G5679" s="2" t="s">
        <v>4701</v>
      </c>
      <c r="H5679" s="2" t="str">
        <f aca="false">IFERROR(__xludf.dummyfunction("IF(I5737="""", """", REGEXEXTRACT(I5737, ""Padrao/([^/]+)""))"),"Jardim Olhos DAgua")</f>
        <v>Jardim Olhos DAgua</v>
      </c>
    </row>
    <row r="5680" customFormat="false" ht="15.75" hidden="false" customHeight="false" outlineLevel="0" collapsed="false">
      <c r="A5680" s="2" t="n">
        <v>223661</v>
      </c>
      <c r="B5680" s="2" t="s">
        <v>663</v>
      </c>
      <c r="C5680" s="2" t="n">
        <v>3</v>
      </c>
      <c r="D5680" s="2" t="n">
        <v>4</v>
      </c>
      <c r="E5680" s="2" t="n">
        <v>2</v>
      </c>
      <c r="F5680" s="2" t="n">
        <v>113</v>
      </c>
      <c r="G5680" s="2" t="s">
        <v>4702</v>
      </c>
      <c r="H5680" s="2" t="str">
        <f aca="false">IFERROR(__xludf.dummyfunction("IF(I5738="""", """", REGEXEXTRACT(I5738, ""Padrao/([^/]+)""))"),"Jardim Olhos DAgua")</f>
        <v>Jardim Olhos DAgua</v>
      </c>
    </row>
    <row r="5681" customFormat="false" ht="15.75" hidden="false" customHeight="false" outlineLevel="0" collapsed="false">
      <c r="A5681" s="2" t="n">
        <v>236996</v>
      </c>
      <c r="B5681" s="2" t="s">
        <v>770</v>
      </c>
      <c r="C5681" s="2" t="n">
        <v>2</v>
      </c>
      <c r="D5681" s="2" t="n">
        <v>1</v>
      </c>
      <c r="E5681" s="2" t="n">
        <v>1</v>
      </c>
      <c r="F5681" s="2" t="n">
        <v>42</v>
      </c>
      <c r="G5681" s="2" t="s">
        <v>4703</v>
      </c>
      <c r="H5681" s="2" t="str">
        <f aca="false">IFERROR(__xludf.dummyfunction("IF(I5739="""", """", REGEXEXTRACT(I5739, ""Padrao/([^/]+)""))"),"Ipiranga")</f>
        <v>Ipiranga</v>
      </c>
    </row>
    <row r="5682" customFormat="false" ht="15.75" hidden="false" customHeight="false" outlineLevel="0" collapsed="false">
      <c r="A5682" s="2" t="n">
        <v>166925</v>
      </c>
      <c r="B5682" s="2" t="s">
        <v>4704</v>
      </c>
      <c r="C5682" s="2" t="n">
        <v>2</v>
      </c>
      <c r="D5682" s="2" t="n">
        <v>1</v>
      </c>
      <c r="E5682" s="2" t="n">
        <v>1</v>
      </c>
      <c r="F5682" s="2" t="n">
        <v>42</v>
      </c>
      <c r="G5682" s="2" t="s">
        <v>4703</v>
      </c>
      <c r="H5682" s="2" t="str">
        <f aca="false">IFERROR(__xludf.dummyfunction("IF(I5740="""", """", REGEXEXTRACT(I5740, ""Padrao/([^/]+)""))"),"Residencial das Americas")</f>
        <v>Residencial das Americas</v>
      </c>
    </row>
    <row r="5683" customFormat="false" ht="15.75" hidden="false" customHeight="false" outlineLevel="0" collapsed="false">
      <c r="A5683" s="2" t="n">
        <v>177218</v>
      </c>
      <c r="B5683" s="2" t="s">
        <v>4705</v>
      </c>
      <c r="C5683" s="2" t="n">
        <v>4</v>
      </c>
      <c r="D5683" s="2" t="n">
        <v>4</v>
      </c>
      <c r="E5683" s="2" t="n">
        <v>3</v>
      </c>
      <c r="F5683" s="2" t="n">
        <v>314</v>
      </c>
      <c r="G5683" s="2" t="s">
        <v>3908</v>
      </c>
      <c r="H5683" s="2" t="str">
        <f aca="false">IFERROR(__xludf.dummyfunction("IF(I5741="""", """", REGEXEXTRACT(I5741, ""Padrao/([^/]+)""))"),"Centro")</f>
        <v>Centro</v>
      </c>
    </row>
    <row r="5684" customFormat="false" ht="15.75" hidden="false" customHeight="false" outlineLevel="0" collapsed="false">
      <c r="A5684" s="2" t="n">
        <v>218189</v>
      </c>
      <c r="B5684" s="2" t="s">
        <v>4706</v>
      </c>
      <c r="C5684" s="2" t="n">
        <v>3</v>
      </c>
      <c r="D5684" s="2" t="n">
        <v>4</v>
      </c>
      <c r="E5684" s="2" t="n">
        <v>2</v>
      </c>
      <c r="F5684" s="2" t="n">
        <v>143</v>
      </c>
      <c r="G5684" s="2" t="s">
        <v>4670</v>
      </c>
      <c r="H5684" s="2" t="str">
        <f aca="false">IFERROR(__xludf.dummyfunction("IF(I5742="""", """", REGEXEXTRACT(I5742, ""Padrao/([^/]+)""))"),"Jardim Iraja")</f>
        <v>Jardim Iraja</v>
      </c>
    </row>
    <row r="5685" customFormat="false" ht="15.75" hidden="false" customHeight="false" outlineLevel="0" collapsed="false">
      <c r="A5685" s="2" t="n">
        <v>223928</v>
      </c>
      <c r="B5685" s="2" t="s">
        <v>658</v>
      </c>
      <c r="C5685" s="2" t="n">
        <v>3</v>
      </c>
      <c r="D5685" s="2" t="n">
        <v>5</v>
      </c>
      <c r="E5685" s="2" t="n">
        <v>2</v>
      </c>
      <c r="F5685" s="2" t="n">
        <v>131</v>
      </c>
      <c r="G5685" s="2" t="s">
        <v>654</v>
      </c>
      <c r="H5685" s="2" t="str">
        <f aca="false">IFERROR(__xludf.dummyfunction("IF(I5743="""", """", REGEXEXTRACT(I5743, ""Padrao/([^/]+)""))"),"Nova Alianca")</f>
        <v>Nova Alianca</v>
      </c>
    </row>
    <row r="5686" customFormat="false" ht="15.75" hidden="false" customHeight="false" outlineLevel="0" collapsed="false">
      <c r="A5686" s="2" t="n">
        <v>212876</v>
      </c>
      <c r="B5686" s="2" t="s">
        <v>4707</v>
      </c>
      <c r="C5686" s="2" t="n">
        <v>3</v>
      </c>
      <c r="D5686" s="2" t="n">
        <v>4</v>
      </c>
      <c r="E5686" s="2" t="n">
        <v>2</v>
      </c>
      <c r="F5686" s="2" t="n">
        <v>109</v>
      </c>
      <c r="G5686" s="2" t="s">
        <v>654</v>
      </c>
      <c r="H5686" s="2" t="str">
        <f aca="false">IFERROR(__xludf.dummyfunction("IF(I5744="""", """", REGEXEXTRACT(I5744, ""Padrao/([^/]+)""))"),"Plazas de Espana")</f>
        <v>Plazas de Espana</v>
      </c>
    </row>
    <row r="5687" customFormat="false" ht="15.75" hidden="false" customHeight="false" outlineLevel="0" collapsed="false">
      <c r="A5687" s="2" t="n">
        <v>208853</v>
      </c>
      <c r="B5687" s="2" t="s">
        <v>4708</v>
      </c>
      <c r="C5687" s="2" t="n">
        <v>3</v>
      </c>
      <c r="D5687" s="2" t="n">
        <v>3</v>
      </c>
      <c r="E5687" s="2" t="n">
        <v>2</v>
      </c>
      <c r="F5687" s="2" t="n">
        <v>90</v>
      </c>
      <c r="G5687" s="2" t="s">
        <v>654</v>
      </c>
      <c r="H5687" s="2" t="str">
        <f aca="false">IFERROR(__xludf.dummyfunction("IF(I5745="""", """", REGEXEXTRACT(I5745, ""Padrao/([^/]+)""))"),"Nova Alianca")</f>
        <v>Nova Alianca</v>
      </c>
    </row>
    <row r="5688" customFormat="false" ht="15.75" hidden="false" customHeight="false" outlineLevel="0" collapsed="false">
      <c r="A5688" s="2" t="n">
        <v>98015</v>
      </c>
      <c r="B5688" s="2" t="s">
        <v>4709</v>
      </c>
      <c r="C5688" s="2" t="n">
        <v>3</v>
      </c>
      <c r="D5688" s="2" t="n">
        <v>4</v>
      </c>
      <c r="E5688" s="2" t="n">
        <v>3</v>
      </c>
      <c r="F5688" s="2" t="n">
        <v>106</v>
      </c>
      <c r="G5688" s="2" t="s">
        <v>654</v>
      </c>
      <c r="H5688" s="2" t="str">
        <f aca="false">IFERROR(__xludf.dummyfunction("IF(I5746="""", """", REGEXEXTRACT(I5746, ""Padrao/([^/]+)""))"),"Jardim Botanico")</f>
        <v>Jardim Botanico</v>
      </c>
    </row>
    <row r="5689" customFormat="false" ht="15.75" hidden="false" customHeight="false" outlineLevel="0" collapsed="false">
      <c r="A5689" s="2" t="n">
        <v>172862</v>
      </c>
      <c r="B5689" s="2" t="s">
        <v>4710</v>
      </c>
      <c r="C5689" s="2" t="n">
        <v>3</v>
      </c>
      <c r="D5689" s="2" t="n">
        <v>4</v>
      </c>
      <c r="E5689" s="2" t="n">
        <v>2</v>
      </c>
      <c r="F5689" s="2" t="n">
        <v>126</v>
      </c>
      <c r="G5689" s="2" t="s">
        <v>4711</v>
      </c>
      <c r="H5689" s="2" t="str">
        <f aca="false">IFERROR(__xludf.dummyfunction("IF(I5747="""", """", REGEXEXTRACT(I5747, ""Padrao/([^/]+)""))"),"Nova Alianca")</f>
        <v>Nova Alianca</v>
      </c>
    </row>
    <row r="5690" customFormat="false" ht="15.75" hidden="false" customHeight="false" outlineLevel="0" collapsed="false">
      <c r="A5690" s="2" t="n">
        <v>224486</v>
      </c>
      <c r="B5690" s="2" t="s">
        <v>23</v>
      </c>
      <c r="C5690" s="2" t="n">
        <v>3</v>
      </c>
      <c r="D5690" s="2" t="n">
        <v>4</v>
      </c>
      <c r="E5690" s="2" t="n">
        <v>4</v>
      </c>
      <c r="F5690" s="2" t="n">
        <v>126</v>
      </c>
      <c r="G5690" s="2" t="s">
        <v>4712</v>
      </c>
      <c r="H5690" s="2" t="str">
        <f aca="false">IFERROR(__xludf.dummyfunction("IF(I5748="""", """", REGEXEXTRACT(I5748, ""Padrao/([^/]+)""))"),"Jardim Olhos DAgua")</f>
        <v>Jardim Olhos DAgua</v>
      </c>
    </row>
    <row r="5691" customFormat="false" ht="15.75" hidden="false" customHeight="false" outlineLevel="0" collapsed="false">
      <c r="A5691" s="2" t="n">
        <v>240269</v>
      </c>
      <c r="B5691" s="2" t="s">
        <v>4713</v>
      </c>
      <c r="C5691" s="2" t="n">
        <v>2</v>
      </c>
      <c r="D5691" s="2" t="n">
        <v>1</v>
      </c>
      <c r="E5691" s="2" t="n">
        <v>1</v>
      </c>
      <c r="F5691" s="2" t="n">
        <v>45</v>
      </c>
      <c r="G5691" s="2" t="s">
        <v>4714</v>
      </c>
      <c r="H5691" s="2" t="str">
        <f aca="false">IFERROR(__xludf.dummyfunction("IF(I5749="""", """", REGEXEXTRACT(I5749, ""Padrao/([^/]+)""))"),"Jardim Joao Rossi")</f>
        <v>Jardim Joao Rossi</v>
      </c>
    </row>
    <row r="5692" customFormat="false" ht="15.75" hidden="false" customHeight="false" outlineLevel="0" collapsed="false">
      <c r="A5692" s="2" t="n">
        <v>207908</v>
      </c>
      <c r="B5692" s="2" t="s">
        <v>12</v>
      </c>
      <c r="C5692" s="2" t="n">
        <v>3</v>
      </c>
      <c r="D5692" s="2" t="n">
        <v>4</v>
      </c>
      <c r="E5692" s="2" t="n">
        <v>2</v>
      </c>
      <c r="F5692" s="2" t="n">
        <v>144</v>
      </c>
      <c r="G5692" s="2" t="s">
        <v>656</v>
      </c>
      <c r="H5692" s="2" t="str">
        <f aca="false">IFERROR(__xludf.dummyfunction("IF(I5750="""", """", REGEXEXTRACT(I5750, ""Padrao/([^/]+)""))"),"Jardim Botanico")</f>
        <v>Jardim Botanico</v>
      </c>
    </row>
    <row r="5693" customFormat="false" ht="15.75" hidden="false" customHeight="false" outlineLevel="0" collapsed="false">
      <c r="A5693" s="2" t="n">
        <v>114152</v>
      </c>
      <c r="B5693" s="2" t="s">
        <v>4715</v>
      </c>
      <c r="C5693" s="2" t="n">
        <v>3</v>
      </c>
      <c r="D5693" s="2" t="n">
        <v>5</v>
      </c>
      <c r="E5693" s="2" t="n">
        <v>2</v>
      </c>
      <c r="F5693" s="2" t="n">
        <v>131</v>
      </c>
      <c r="G5693" s="2" t="s">
        <v>656</v>
      </c>
      <c r="H5693" s="2" t="str">
        <f aca="false">IFERROR(__xludf.dummyfunction("IF(I5751="""", """", REGEXEXTRACT(I5751, ""Padrao/([^/]+)""))"),"Nova Alianca")</f>
        <v>Nova Alianca</v>
      </c>
    </row>
    <row r="5694" customFormat="false" ht="15.75" hidden="false" customHeight="false" outlineLevel="0" collapsed="false">
      <c r="A5694" s="2" t="n">
        <v>120743</v>
      </c>
      <c r="B5694" s="2" t="s">
        <v>162</v>
      </c>
      <c r="C5694" s="2" t="n">
        <v>3</v>
      </c>
      <c r="D5694" s="2" t="n">
        <v>4</v>
      </c>
      <c r="E5694" s="2" t="n">
        <v>2</v>
      </c>
      <c r="F5694" s="2" t="n">
        <v>124</v>
      </c>
      <c r="G5694" s="2" t="s">
        <v>4716</v>
      </c>
      <c r="H5694" s="2" t="str">
        <f aca="false">IFERROR(__xludf.dummyfunction("IF(I5752="""", """", REGEXEXTRACT(I5752, ""Padrao/([^/]+)""))"),"Jardim Iraja")</f>
        <v>Jardim Iraja</v>
      </c>
    </row>
    <row r="5695" customFormat="false" ht="15.75" hidden="false" customHeight="false" outlineLevel="0" collapsed="false">
      <c r="A5695" s="2" t="n">
        <v>170474</v>
      </c>
      <c r="B5695" s="2" t="s">
        <v>29</v>
      </c>
      <c r="C5695" s="2" t="n">
        <v>3</v>
      </c>
      <c r="D5695" s="2" t="n">
        <v>4</v>
      </c>
      <c r="E5695" s="2" t="n">
        <v>2</v>
      </c>
      <c r="F5695" s="2" t="n">
        <v>134</v>
      </c>
      <c r="G5695" s="2" t="s">
        <v>4717</v>
      </c>
      <c r="H5695" s="2" t="str">
        <f aca="false">IFERROR(__xludf.dummyfunction("IF(I5753="""", """", REGEXEXTRACT(I5753, ""Padrao/([^/]+)""))"),"Jardim Olhos DAgua")</f>
        <v>Jardim Olhos DAgua</v>
      </c>
    </row>
    <row r="5696" customFormat="false" ht="15.75" hidden="false" customHeight="false" outlineLevel="0" collapsed="false">
      <c r="A5696" s="2" t="n">
        <v>172844</v>
      </c>
      <c r="B5696" s="2" t="s">
        <v>4629</v>
      </c>
      <c r="C5696" s="2" t="n">
        <v>3</v>
      </c>
      <c r="D5696" s="2" t="n">
        <v>4</v>
      </c>
      <c r="E5696" s="2" t="n">
        <v>2</v>
      </c>
      <c r="F5696" s="2" t="n">
        <v>114</v>
      </c>
      <c r="G5696" s="2" t="s">
        <v>4718</v>
      </c>
      <c r="H5696" s="2" t="str">
        <f aca="false">IFERROR(__xludf.dummyfunction("IF(I5754="""", """", REGEXEXTRACT(I5754, ""Padrao/([^/]+)""))"),"Nova Alianca")</f>
        <v>Nova Alianca</v>
      </c>
    </row>
    <row r="5697" customFormat="false" ht="15.75" hidden="false" customHeight="false" outlineLevel="0" collapsed="false">
      <c r="A5697" s="2" t="n">
        <v>188039</v>
      </c>
      <c r="B5697" s="2" t="s">
        <v>4661</v>
      </c>
      <c r="C5697" s="2" t="n">
        <v>2</v>
      </c>
      <c r="D5697" s="2" t="n">
        <v>3</v>
      </c>
      <c r="E5697" s="2" t="n">
        <v>2</v>
      </c>
      <c r="F5697" s="2" t="n">
        <v>92</v>
      </c>
      <c r="G5697" s="2" t="s">
        <v>4719</v>
      </c>
      <c r="H5697" s="2" t="str">
        <f aca="false">IFERROR(__xludf.dummyfunction("IF(I5755="""", """", REGEXEXTRACT(I5755, ""Padrao/([^/]+)""))"),"Jardim Ilhas do Sul")</f>
        <v>Jardim Ilhas do Sul</v>
      </c>
    </row>
    <row r="5698" customFormat="false" ht="15.75" hidden="false" customHeight="false" outlineLevel="0" collapsed="false">
      <c r="A5698" s="2" t="n">
        <v>206672</v>
      </c>
      <c r="B5698" s="2" t="s">
        <v>4720</v>
      </c>
      <c r="C5698" s="2" t="n">
        <v>3</v>
      </c>
      <c r="D5698" s="2" t="n">
        <v>4</v>
      </c>
      <c r="E5698" s="2" t="n">
        <v>2</v>
      </c>
      <c r="F5698" s="2" t="n">
        <v>132</v>
      </c>
      <c r="G5698" s="2" t="s">
        <v>3478</v>
      </c>
      <c r="H5698" s="2" t="str">
        <f aca="false">IFERROR(__xludf.dummyfunction("IF(I5756="""", """", REGEXEXTRACT(I5756, ""Padrao/([^/]+)""))"),"Residencial Alto do Ipe")</f>
        <v>Residencial Alto do Ipe</v>
      </c>
    </row>
    <row r="5699" customFormat="false" ht="15.75" hidden="false" customHeight="false" outlineLevel="0" collapsed="false">
      <c r="A5699" s="2" t="n">
        <v>133790</v>
      </c>
      <c r="B5699" s="2" t="s">
        <v>162</v>
      </c>
      <c r="C5699" s="2" t="n">
        <v>2</v>
      </c>
      <c r="D5699" s="2" t="n">
        <v>1</v>
      </c>
      <c r="E5699" s="2" t="n">
        <v>1</v>
      </c>
      <c r="F5699" s="2" t="n">
        <v>42</v>
      </c>
      <c r="G5699" s="2" t="s">
        <v>4721</v>
      </c>
      <c r="H5699" s="2" t="str">
        <f aca="false">IFERROR(__xludf.dummyfunction("IF(I5757="""", """", REGEXEXTRACT(I5757, ""Padrao/([^/]+)""))"),"Jardim Jose Wilson Toni")</f>
        <v>Jardim Jose Wilson Toni</v>
      </c>
    </row>
    <row r="5700" customFormat="false" ht="15.75" hidden="false" customHeight="false" outlineLevel="0" collapsed="false">
      <c r="A5700" s="2" t="n">
        <v>54779</v>
      </c>
      <c r="B5700" s="2" t="s">
        <v>4722</v>
      </c>
      <c r="C5700" s="2" t="n">
        <v>1</v>
      </c>
      <c r="D5700" s="2" t="n">
        <v>1</v>
      </c>
      <c r="E5700" s="2" t="n">
        <v>1</v>
      </c>
      <c r="F5700" s="2" t="n">
        <v>34</v>
      </c>
      <c r="G5700" s="2" t="s">
        <v>549</v>
      </c>
      <c r="H5700" s="2" t="str">
        <f aca="false">IFERROR(__xludf.dummyfunction("IF(I5758="""", """", REGEXEXTRACT(I5758, ""Padrao/([^/]+)""))"),"Vila Monte Alegre")</f>
        <v>Vila Monte Alegre</v>
      </c>
    </row>
    <row r="5701" customFormat="false" ht="15.75" hidden="false" customHeight="false" outlineLevel="0" collapsed="false">
      <c r="A5701" s="2" t="n">
        <v>100814</v>
      </c>
      <c r="B5701" s="2" t="s">
        <v>4723</v>
      </c>
      <c r="C5701" s="2" t="n">
        <v>2</v>
      </c>
      <c r="D5701" s="2" t="n">
        <v>3</v>
      </c>
      <c r="E5701" s="2" t="n">
        <v>2</v>
      </c>
      <c r="F5701" s="2" t="n">
        <v>86</v>
      </c>
      <c r="G5701" s="2" t="s">
        <v>3497</v>
      </c>
      <c r="H5701" s="2" t="str">
        <f aca="false">IFERROR(__xludf.dummyfunction("IF(I5759="""", """", REGEXEXTRACT(I5759, ""Padrao/([^/]+)""))"),"Bosque das Juritis")</f>
        <v>Bosque das Juritis</v>
      </c>
    </row>
    <row r="5702" customFormat="false" ht="15.75" hidden="false" customHeight="false" outlineLevel="0" collapsed="false">
      <c r="A5702" s="2" t="n">
        <v>240314</v>
      </c>
      <c r="B5702" s="2" t="s">
        <v>4724</v>
      </c>
      <c r="C5702" s="2" t="n">
        <v>2</v>
      </c>
      <c r="D5702" s="2" t="n">
        <v>3</v>
      </c>
      <c r="E5702" s="2" t="n">
        <v>2</v>
      </c>
      <c r="F5702" s="2" t="n">
        <v>97</v>
      </c>
      <c r="G5702" s="2" t="s">
        <v>659</v>
      </c>
      <c r="H5702" s="2" t="str">
        <f aca="false">IFERROR(__xludf.dummyfunction("IF(I5760="""", """", REGEXEXTRACT(I5760, ""Padrao/([^/]+)""))"),"Jardim Olhos DAgua")</f>
        <v>Jardim Olhos DAgua</v>
      </c>
    </row>
    <row r="5703" customFormat="false" ht="15.75" hidden="false" customHeight="false" outlineLevel="0" collapsed="false">
      <c r="A5703" s="2" t="n">
        <v>228407</v>
      </c>
      <c r="B5703" s="2" t="s">
        <v>4725</v>
      </c>
      <c r="C5703" s="2" t="n">
        <v>2</v>
      </c>
      <c r="D5703" s="2" t="n">
        <v>2</v>
      </c>
      <c r="E5703" s="2" t="n">
        <v>2</v>
      </c>
      <c r="F5703" s="2" t="n">
        <v>100</v>
      </c>
      <c r="G5703" s="2" t="s">
        <v>659</v>
      </c>
      <c r="H5703" s="2" t="str">
        <f aca="false">IFERROR(__xludf.dummyfunction("IF(I5761="""", """", REGEXEXTRACT(I5761, ""Padrao/([^/]+)""))"),"Jardim Iraja")</f>
        <v>Jardim Iraja</v>
      </c>
    </row>
    <row r="5704" customFormat="false" ht="15.75" hidden="false" customHeight="false" outlineLevel="0" collapsed="false">
      <c r="A5704" s="2" t="n">
        <v>212879</v>
      </c>
      <c r="B5704" s="2" t="s">
        <v>4726</v>
      </c>
      <c r="C5704" s="2" t="n">
        <v>2</v>
      </c>
      <c r="D5704" s="2" t="n">
        <v>3</v>
      </c>
      <c r="E5704" s="2" t="n">
        <v>2</v>
      </c>
      <c r="F5704" s="2" t="n">
        <v>100</v>
      </c>
      <c r="G5704" s="2" t="s">
        <v>659</v>
      </c>
      <c r="H5704" s="2" t="str">
        <f aca="false">IFERROR(__xludf.dummyfunction("IF(I5762="""", """", REGEXEXTRACT(I5762, ""Padrao/([^/]+)""))"),"Jardim Botanico")</f>
        <v>Jardim Botanico</v>
      </c>
    </row>
    <row r="5705" customFormat="false" ht="15.75" hidden="false" customHeight="false" outlineLevel="0" collapsed="false">
      <c r="A5705" s="2" t="n">
        <v>163511</v>
      </c>
      <c r="B5705" s="2" t="s">
        <v>67</v>
      </c>
      <c r="C5705" s="2" t="n">
        <v>3</v>
      </c>
      <c r="D5705" s="2" t="n">
        <v>4</v>
      </c>
      <c r="E5705" s="2" t="n">
        <v>2</v>
      </c>
      <c r="F5705" s="2" t="n">
        <v>126</v>
      </c>
      <c r="G5705" s="2" t="s">
        <v>659</v>
      </c>
      <c r="H5705" s="2" t="str">
        <f aca="false">IFERROR(__xludf.dummyfunction("IF(I5763="""", """", REGEXEXTRACT(I5763, ""Padrao/([^/]+)""))"),"Jardim Olhos DAgua")</f>
        <v>Jardim Olhos DAgua</v>
      </c>
    </row>
    <row r="5706" customFormat="false" ht="15.75" hidden="false" customHeight="false" outlineLevel="0" collapsed="false">
      <c r="A5706" s="2" t="n">
        <v>115685</v>
      </c>
      <c r="B5706" s="2" t="s">
        <v>4727</v>
      </c>
      <c r="C5706" s="2" t="n">
        <v>2</v>
      </c>
      <c r="D5706" s="2" t="n">
        <v>1</v>
      </c>
      <c r="E5706" s="2" t="n">
        <v>1</v>
      </c>
      <c r="F5706" s="2" t="n">
        <v>54</v>
      </c>
      <c r="G5706" s="2" t="s">
        <v>4728</v>
      </c>
      <c r="H5706" s="2" t="str">
        <f aca="false">IFERROR(__xludf.dummyfunction("IF(I5764="""", """", REGEXEXTRACT(I5764, ""Padrao/([^/]+)""))"),"Jardim Anhanguera")</f>
        <v>Jardim Anhanguera</v>
      </c>
    </row>
    <row r="5707" customFormat="false" ht="15.75" hidden="false" customHeight="false" outlineLevel="0" collapsed="false">
      <c r="A5707" s="2" t="n">
        <v>107879</v>
      </c>
      <c r="B5707" s="2" t="s">
        <v>4729</v>
      </c>
      <c r="C5707" s="2" t="n">
        <v>3</v>
      </c>
      <c r="D5707" s="2" t="n">
        <v>3</v>
      </c>
      <c r="E5707" s="2" t="n">
        <v>2</v>
      </c>
      <c r="F5707" s="2" t="n">
        <v>100</v>
      </c>
      <c r="G5707" s="2" t="s">
        <v>3478</v>
      </c>
      <c r="H5707" s="2" t="str">
        <f aca="false">IFERROR(__xludf.dummyfunction("IF(I5765="""", """", REGEXEXTRACT(I5765, ""Padrao/([^/]+)""))"),"Jardim Iraja")</f>
        <v>Jardim Iraja</v>
      </c>
    </row>
    <row r="5708" customFormat="false" ht="15.75" hidden="false" customHeight="false" outlineLevel="0" collapsed="false">
      <c r="A5708" s="2" t="n">
        <v>233639</v>
      </c>
      <c r="B5708" s="2" t="s">
        <v>4730</v>
      </c>
      <c r="C5708" s="2" t="n">
        <v>3</v>
      </c>
      <c r="D5708" s="2" t="n">
        <v>5</v>
      </c>
      <c r="E5708" s="2" t="n">
        <v>2</v>
      </c>
      <c r="F5708" s="2" t="n">
        <v>144</v>
      </c>
      <c r="G5708" s="2" t="s">
        <v>662</v>
      </c>
      <c r="H5708" s="2" t="str">
        <f aca="false">IFERROR(__xludf.dummyfunction("IF(I5766="""", """", REGEXEXTRACT(I5766, ""Padrao/([^/]+)""))"),"Jardim Botanico")</f>
        <v>Jardim Botanico</v>
      </c>
    </row>
    <row r="5709" customFormat="false" ht="15.75" hidden="false" customHeight="false" outlineLevel="0" collapsed="false">
      <c r="A5709" s="2" t="n">
        <v>216818</v>
      </c>
      <c r="B5709" s="2" t="s">
        <v>4731</v>
      </c>
      <c r="C5709" s="2" t="n">
        <v>2</v>
      </c>
      <c r="D5709" s="2" t="n">
        <v>3</v>
      </c>
      <c r="E5709" s="2" t="n">
        <v>1</v>
      </c>
      <c r="F5709" s="2" t="n">
        <v>84</v>
      </c>
      <c r="G5709" s="2" t="s">
        <v>662</v>
      </c>
      <c r="H5709" s="2" t="str">
        <f aca="false">IFERROR(__xludf.dummyfunction("IF(I5767="""", """", REGEXEXTRACT(I5767, ""Padrao/([^/]+)""))"),"Jardim Iraja")</f>
        <v>Jardim Iraja</v>
      </c>
    </row>
    <row r="5710" customFormat="false" ht="15.75" hidden="false" customHeight="false" outlineLevel="0" collapsed="false">
      <c r="A5710" s="2" t="n">
        <v>210917</v>
      </c>
      <c r="B5710" s="2" t="s">
        <v>4732</v>
      </c>
      <c r="C5710" s="2" t="n">
        <v>3</v>
      </c>
      <c r="D5710" s="2" t="n">
        <v>3</v>
      </c>
      <c r="E5710" s="2" t="n">
        <v>2</v>
      </c>
      <c r="F5710" s="2" t="n">
        <v>100</v>
      </c>
      <c r="G5710" s="2" t="s">
        <v>662</v>
      </c>
      <c r="H5710" s="2" t="str">
        <f aca="false">IFERROR(__xludf.dummyfunction("IF(I5768="""", """", REGEXEXTRACT(I5768, ""Padrao/([^/]+)""))"),"Jardim Botanico")</f>
        <v>Jardim Botanico</v>
      </c>
    </row>
    <row r="5711" customFormat="false" ht="15.75" hidden="false" customHeight="false" outlineLevel="0" collapsed="false">
      <c r="A5711" s="2" t="n">
        <v>204839</v>
      </c>
      <c r="B5711" s="2" t="s">
        <v>4733</v>
      </c>
      <c r="C5711" s="2" t="n">
        <v>3</v>
      </c>
      <c r="D5711" s="2" t="n">
        <v>3</v>
      </c>
      <c r="E5711" s="2" t="n">
        <v>2</v>
      </c>
      <c r="F5711" s="2" t="n">
        <v>95</v>
      </c>
      <c r="G5711" s="2" t="s">
        <v>662</v>
      </c>
      <c r="H5711" s="2" t="str">
        <f aca="false">IFERROR(__xludf.dummyfunction("IF(I5769="""", """", REGEXEXTRACT(I5769, ""Padrao/([^/]+)""))"),"Bosque das Juritis")</f>
        <v>Bosque das Juritis</v>
      </c>
    </row>
    <row r="5712" customFormat="false" ht="15.75" hidden="false" customHeight="false" outlineLevel="0" collapsed="false">
      <c r="A5712" s="2" t="n">
        <v>204074</v>
      </c>
      <c r="B5712" s="2" t="s">
        <v>4734</v>
      </c>
      <c r="C5712" s="2" t="n">
        <v>3</v>
      </c>
      <c r="D5712" s="2" t="n">
        <v>3</v>
      </c>
      <c r="E5712" s="2" t="n">
        <v>2</v>
      </c>
      <c r="F5712" s="2" t="n">
        <v>107</v>
      </c>
      <c r="G5712" s="2" t="s">
        <v>662</v>
      </c>
      <c r="H5712" s="2" t="str">
        <f aca="false">IFERROR(__xludf.dummyfunction("IF(I5770="""", """", REGEXEXTRACT(I5770, ""Padrao/([^/]+)""))"),"Jardim Botanico")</f>
        <v>Jardim Botanico</v>
      </c>
    </row>
    <row r="5713" customFormat="false" ht="15.75" hidden="false" customHeight="false" outlineLevel="0" collapsed="false">
      <c r="A5713" s="2" t="n">
        <v>145538</v>
      </c>
      <c r="B5713" s="2" t="s">
        <v>4698</v>
      </c>
      <c r="C5713" s="2" t="n">
        <v>3</v>
      </c>
      <c r="D5713" s="2" t="n">
        <v>4</v>
      </c>
      <c r="E5713" s="2" t="n">
        <v>2</v>
      </c>
      <c r="F5713" s="2" t="n">
        <v>127</v>
      </c>
      <c r="G5713" s="2" t="s">
        <v>662</v>
      </c>
      <c r="H5713" s="2" t="str">
        <f aca="false">IFERROR(__xludf.dummyfunction("IF(I5771="""", """", REGEXEXTRACT(I5771, ""Padrao/([^/]+)""))"),"Nova Alianca")</f>
        <v>Nova Alianca</v>
      </c>
    </row>
    <row r="5714" customFormat="false" ht="15.75" hidden="false" customHeight="false" outlineLevel="0" collapsed="false">
      <c r="A5714" s="2" t="n">
        <v>196367</v>
      </c>
      <c r="B5714" s="2" t="s">
        <v>4724</v>
      </c>
      <c r="C5714" s="2" t="n">
        <v>2</v>
      </c>
      <c r="D5714" s="2" t="n">
        <v>3</v>
      </c>
      <c r="E5714" s="2" t="n">
        <v>2</v>
      </c>
      <c r="F5714" s="2" t="n">
        <v>97</v>
      </c>
      <c r="G5714" s="2" t="s">
        <v>4735</v>
      </c>
      <c r="H5714" s="2" t="str">
        <f aca="false">IFERROR(__xludf.dummyfunction("IF(I5772="""", """", REGEXEXTRACT(I5772, ""Padrao/([^/]+)""))"),"Jardim Olhos DAgua")</f>
        <v>Jardim Olhos DAgua</v>
      </c>
    </row>
    <row r="5715" customFormat="false" ht="15.75" hidden="false" customHeight="false" outlineLevel="0" collapsed="false">
      <c r="A5715" s="2" t="n">
        <v>224468</v>
      </c>
      <c r="B5715" s="2" t="s">
        <v>23</v>
      </c>
      <c r="C5715" s="2" t="n">
        <v>3</v>
      </c>
      <c r="D5715" s="2" t="n">
        <v>4</v>
      </c>
      <c r="E5715" s="2" t="n">
        <v>2</v>
      </c>
      <c r="F5715" s="2" t="n">
        <v>126</v>
      </c>
      <c r="G5715" s="2" t="s">
        <v>4736</v>
      </c>
      <c r="H5715" s="2" t="str">
        <f aca="false">IFERROR(__xludf.dummyfunction("IF(I5773="""", """", REGEXEXTRACT(I5773, ""Padrao/([^/]+)""))"),"Jardim Olhos DAgua")</f>
        <v>Jardim Olhos DAgua</v>
      </c>
    </row>
    <row r="5716" customFormat="false" ht="15.75" hidden="false" customHeight="false" outlineLevel="0" collapsed="false">
      <c r="A5716" s="2" t="n">
        <v>236822</v>
      </c>
      <c r="B5716" s="2" t="s">
        <v>4737</v>
      </c>
      <c r="C5716" s="2" t="n">
        <v>2</v>
      </c>
      <c r="D5716" s="2" t="n">
        <v>4</v>
      </c>
      <c r="E5716" s="2" t="n">
        <v>2</v>
      </c>
      <c r="F5716" s="2" t="n">
        <v>132</v>
      </c>
      <c r="G5716" s="2" t="s">
        <v>4738</v>
      </c>
      <c r="H5716" s="2" t="str">
        <f aca="false">IFERROR(__xludf.dummyfunction("IF(I5774="""", """", REGEXEXTRACT(I5774, ""Padrao/([^/]+)""))"),"Jardim Botanico")</f>
        <v>Jardim Botanico</v>
      </c>
    </row>
    <row r="5717" customFormat="false" ht="15.75" hidden="false" customHeight="false" outlineLevel="0" collapsed="false"/>
    <row r="5718" customFormat="false" ht="15.75" hidden="false" customHeight="false" outlineLevel="0" collapsed="false"/>
    <row r="5719" customFormat="false" ht="15.75" hidden="false" customHeight="fals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H546">
    <filterColumn colId="6">
      <filters blank="1"/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2026-07-18T20:45:02Z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